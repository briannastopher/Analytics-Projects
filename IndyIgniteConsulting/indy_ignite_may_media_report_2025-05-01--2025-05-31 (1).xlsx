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brian\OneDrive\Documents\Indy Ignite Summer Project\"/>
    </mc:Choice>
  </mc:AlternateContent>
  <xr:revisionPtr revIDLastSave="0" documentId="13_ncr:1_{2EDA7D45-6825-48F2-BBEC-342815D46BFA}" xr6:coauthVersionLast="47" xr6:coauthVersionMax="47" xr10:uidLastSave="{00000000-0000-0000-0000-000000000000}"/>
  <bookViews>
    <workbookView xWindow="384" yWindow="384" windowWidth="11112" windowHeight="11808" xr2:uid="{00000000-000D-0000-FFFF-FFFF00000000}"/>
  </bookViews>
  <sheets>
    <sheet name="Summary" sheetId="1" r:id="rId1"/>
    <sheet name="Articles" sheetId="2" r:id="rId2"/>
    <sheet name="Journalist Statu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3" l="1"/>
  <c r="N8" i="3"/>
  <c r="F8" i="3"/>
  <c r="E8" i="3"/>
  <c r="O7" i="3"/>
  <c r="N7" i="3"/>
  <c r="F7" i="3"/>
  <c r="E7" i="3"/>
  <c r="O6" i="3"/>
  <c r="N6" i="3"/>
  <c r="F6" i="3"/>
  <c r="E6" i="3"/>
  <c r="O5" i="3"/>
  <c r="N5" i="3"/>
  <c r="F5" i="3"/>
  <c r="E5" i="3"/>
  <c r="O4" i="3"/>
  <c r="N4" i="3"/>
  <c r="F4" i="3"/>
  <c r="E4" i="3"/>
  <c r="O3" i="3"/>
  <c r="N3" i="3"/>
  <c r="F3" i="3"/>
  <c r="E3" i="3"/>
  <c r="O2" i="3"/>
  <c r="N2" i="3"/>
  <c r="F2" i="3"/>
  <c r="E2" i="3"/>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2" i="1"/>
</calcChain>
</file>

<file path=xl/sharedStrings.xml><?xml version="1.0" encoding="utf-8"?>
<sst xmlns="http://schemas.openxmlformats.org/spreadsheetml/2006/main" count="641" uniqueCount="312">
  <si>
    <t>Report</t>
  </si>
  <si>
    <t>Indy Ignite May Media Report</t>
  </si>
  <si>
    <t>URL</t>
  </si>
  <si>
    <t>Exported On</t>
  </si>
  <si>
    <t>Generated By</t>
  </si>
  <si>
    <t>Cathy Kightlinger</t>
  </si>
  <si>
    <t>Links</t>
  </si>
  <si>
    <t>Total Engagement</t>
  </si>
  <si>
    <t>Average Engagement</t>
  </si>
  <si>
    <t>Total UVM (Insights by Similarweb)</t>
  </si>
  <si>
    <t>Total AVE</t>
  </si>
  <si>
    <t>Total Journalist Shares</t>
  </si>
  <si>
    <t>Total Journalist Reach</t>
  </si>
  <si>
    <t>Article</t>
  </si>
  <si>
    <t>Author</t>
  </si>
  <si>
    <t>Media Outlet</t>
  </si>
  <si>
    <t>Published</t>
  </si>
  <si>
    <t>Snippet</t>
  </si>
  <si>
    <t>UVM (Insights by Similarweb)</t>
  </si>
  <si>
    <t>Journalist Shares</t>
  </si>
  <si>
    <t>Journalist Reach</t>
  </si>
  <si>
    <t>Sentiment</t>
  </si>
  <si>
    <t>Advertising Value Equivalency</t>
  </si>
  <si>
    <t>Pitch Placement</t>
  </si>
  <si>
    <t>Sportskeeda</t>
  </si>
  <si>
    <t>Positive</t>
  </si>
  <si>
    <t>Former Louisville Volleyball Player Anna DeBeer shares highlights of rookie pro season with a short message</t>
  </si>
  <si>
    <t>Janhavi Shinde</t>
  </si>
  <si>
    <t>After competing for the Louisville Cardinals during her collegiate career, DeBeer joined the Indy Ignite squad during her first year of pro competition.
DeBeer was chosen as one of the top two players in the draft and was picked in the first round itself.</t>
  </si>
  <si>
    <t>Anna DeBeer, Elena Scott, and others react as LOVB Madison player Claire Chaussee announces engagement with dream proposal</t>
  </si>
  <si>
    <t>Nancy Singh</t>
  </si>
  <si>
    <t>Stringer’s comment on Instagram/@clairechaussee
Anna DeBeer opened up about missing the finals of the 2024 NCAA season
Anna DeBeer turned pro and joined the Indy Ignites after competing in the 2024 NCAA season; however, she missed the finals, citing injury.</t>
  </si>
  <si>
    <t>Naysayer: George Padjen Exits Indy Ignite</t>
  </si>
  <si>
    <t>Mike Botkin</t>
  </si>
  <si>
    <t>Indianapolis Monthly</t>
  </si>
  <si>
    <t>THIS WAS SUPPOSED to be a profile piece on the successful season of the Indy Ignite’s rookie coach. I had no idea head coach George Padjen was going to retire when speaking with him earlier this month while he drove to Minneapolis/St. Paul to reunite with his family and reconnect with friends.</t>
  </si>
  <si>
    <t>Naysayer: George Padgen Exits Indy Ignite</t>
  </si>
  <si>
    <t>Who owns Indy Ignite, owners net worth, source of wealth and ownership history</t>
  </si>
  <si>
    <t>Interesting Football</t>
  </si>
  <si>
    <t>Who owns Indy Ignite, owners net worth, source of wealth and ownership history 
Find out who owns the Indy Ignite, their owners net worth, source of wealth and ownership history of the women's Pro volleyball team.</t>
  </si>
  <si>
    <t>Lilly’s support fuels Indy Ignite’s community volleyball debut</t>
  </si>
  <si>
    <t>NewsBreak</t>
  </si>
  <si>
    <t>Sandy Paws Rescue Inc., a dedicated foster-based dog rescue in Massachusetts, recently shared that Cherry, a petite one-year-old, weighing just 12 pounds, is still looking for her forever family. This small dog has already overcome significant challenges on her journey to finding a forever home. "Cherry is as sweet as her name- and after a rough start, she's ready for the good life," shares the local rescue organization.</t>
  </si>
  <si>
    <t>Lilly’s support fuels Indy Ignite’s community volleyball debut  - Indianapolis Recorder</t>
  </si>
  <si>
    <t>Hanna Rauworth</t>
  </si>
  <si>
    <t>The Indianapolis Recorder</t>
  </si>
  <si>
    <t>Indy Ignite fostered community engagement and access to professional women’s volleyball for 14 Central Indiana community organizations during the Ignite’s home matches this year, partly through support from Lilly, the presenting sponsor of the team’s inaugural season. </t>
  </si>
  <si>
    <t>Anna DeBeer's Indy Ignite to witness major change with head coach's decision after successful PVF season</t>
  </si>
  <si>
    <t>Agnijeeta Majumder</t>
  </si>
  <si>
    <t>Anna DeBeer's Indy Ignite will be on the hunt for a new coach after George Padjen announced retirement after a successful season in Pro Volleyball Federation. The Ignite squad advanced to the PVF Finals in its debut season.</t>
  </si>
  <si>
    <t>Last Week around the Leagues</t>
  </si>
  <si>
    <t>Fran Stuchbury</t>
  </si>
  <si>
    <t>Our Sports Central</t>
  </si>
  <si>
    <t>get the out at first for Triple-A Norfolk Tides
Texas League
Astros prospect Colin Barber hits for the cycle for Double-A Corpus Christi Hooks
Midwest League
Dodgers No. 13 prospect Kendall George steals career-high six bases for High-A Great Lakes Loons
OTHER SPORTS
Pro Volleyball Federation
Indy … Ignite Pro Volleyball announced that Head Coach George Padjen will not return to the franchise for the 2026 season.</t>
  </si>
  <si>
    <t>Indy Ignite head coach steps down</t>
  </si>
  <si>
    <t>Current Publishing</t>
  </si>
  <si>
    <t>Indy Ignite Pro Volleyball announced May 19 that head coach George Padjen will not return to the franchise for the 2026 season.</t>
  </si>
  <si>
    <t>Indy Ignite initiates search for new head coach</t>
  </si>
  <si>
    <t>Noral Parham</t>
  </si>
  <si>
    <t>Indy Ignite, the city’s professional volleyball franchise, has officially begun its search for a new head coach following George Padjen’s resignation.  
Padjen, who guided the Ignite to a runner-up finish in the 2025 PVF Championship, resigned in May.</t>
  </si>
  <si>
    <t>Indy Ignite head coach resigns after 'successful' inaugural season</t>
  </si>
  <si>
    <t>Michaela Springer</t>
  </si>
  <si>
    <t>WISH-TV (Indianapolis, IN)</t>
  </si>
  <si>
    <t>INDIANAPOLIS (WISH) — Indy Ignite has announced its head coach will not return for the 2026 season. 
According to a release from the team Monday morning, Head Coach George Padjen announced resigned sometime last week, sharing he stepped back to spend more time with his family.</t>
  </si>
  <si>
    <t>Negative</t>
  </si>
  <si>
    <t>Indy Ignite coach steps down after one year with team</t>
  </si>
  <si>
    <t>Indianapolis Business Journal</t>
  </si>
  <si>
    <t>Listen to this story                  This audio file is brought to you by  0:00  0:00   Loading audio file, please wait.         0.25 0.50 0.75 1.00 1.25 1.50 1.75 2.00                                                 Please subscribe to IBJ to decode this article.</t>
  </si>
  <si>
    <t>Indy Ignite head coach resigns after successful inaugural season</t>
  </si>
  <si>
    <t>WTHR-TV (Indianapolis, IN)</t>
  </si>
  <si>
    <t>"While I have loved coaching in Indy, it's time for me to spend more time with my family," said George Padjen, head coach of the Indy Ignite.
INDIANAPOLIS - After a championship finish for the Indy Ignite in their inaugural season, the face of the team will look different for the 2026 season.</t>
  </si>
  <si>
    <t>Indy Ignite seek new coach after runner-up season in inaugural year</t>
  </si>
  <si>
    <t>Scott Horner</t>
  </si>
  <si>
    <t>IndyStar</t>
  </si>
  <si>
    <t>Indy Ignite seek new coach after runner-up season in inaugural year
 Scott Horner
The Indy Ignite are looking for a new coach after their first season.</t>
  </si>
  <si>
    <t>Neutral</t>
  </si>
  <si>
    <t>Indy Ignite Begin Search for New Head Coach</t>
  </si>
  <si>
    <t>May 19, 2025 - Pro Volleyball Federation (PVF)
Indy Ignite News Release
FISHERS, Ind. - Indy Ignite Pro Volleyball announced Monday that Head Coach George Padjen will not return to the franchise for the 2026 season.</t>
  </si>
  <si>
    <t>The WorldNews (WN) Network</t>
  </si>
  <si>
    <t>Abby Schnable</t>
  </si>
  <si>
    <t>Pittsburgh Post-Gazette</t>
  </si>
  <si>
    <t>Ignite catch fire in inaugural season</t>
  </si>
  <si>
    <t>Mark Ambrogi</t>
  </si>
  <si>
    <t>From Indy Ignite co-founder Jim Schumacher’s view, it was quite a successful year on several fronts for the expansion team.</t>
  </si>
  <si>
    <t>Upon Review, It's Unanimous: Ignite Had Great First Season</t>
  </si>
  <si>
    <t>May 16, 2025 - Pro Volleyball Federation (PVF)
Indy Ignite News Release
FISHERS, Ind. - A few days removed from the end of a magnificent inaugural season, Indy Ignite players, coaches and officials can look back with a smile on their Pro Volleyball Federation runner-up finish. … Upon Review, It's Unanimous: Ignite Had Great First Season - Indy Ignite
Lilly Supports Community Engagement Through Sponsorship of Indy Ignite's Inaugural Season - Indy Ignite
The opinions expressed in this release are those of the organization issuing it, and do not necessarily reflect the thoughts</t>
  </si>
  <si>
    <t>Lilly Supports Community Engagement Through Sponsorship of Indy Ignite's Inaugural Season</t>
  </si>
  <si>
    <t>May 16, 2025 - Pro Volleyball Federation (PVF)
Indy Ignite News Release
INDIANAPOLIS, IN - Indy Ignite fostered community engagement and access to professional women's volleyball for 14 Central Indiana community organizations during the Ignite's home matches this year, in part through support from … Lilly Supports Community Engagement Through Sponsorship of Indy Ignite's Inaugural Season - Indy Ignite
The opinions expressed in this release are those of the organization issuing it, and do not necessarily reflect the thoughts or opinions of OurSports Central or its staff.</t>
  </si>
  <si>
    <t>At the Net: May 21, 2025</t>
  </si>
  <si>
    <t>avca.org</t>
  </si>
  <si>
    <t>Indy Ignite Pro Volleyball announced that Head Coach George Padjen has resigned and will not return to the franchise for the 2026 season. The 2025 inaugural season culminated with the Ignite finishing as the runner-up to the Orlando Valkyries in the Pro Volleyball Federation Championship.</t>
  </si>
  <si>
    <t>Indy Ignite fall short in PVF title game</t>
  </si>
  <si>
    <t>Greenfield Daily Reporter</t>
  </si>
  <si>
    <t>By IBJ Staff
Indiana Business Journal
The Indy Ignite professional volleyball team capped off its very first season of existence by falling one victory short of a league championship.</t>
  </si>
  <si>
    <t>Unspoken Rules: Fishers Event Center</t>
  </si>
  <si>
    <t>Bandit = Fishers Freight; Pepper = Indy Ignite; Nitro = Indy Fuel. Leave cash at home. The venue is card- or digital wallet–only. And your go-to tote. The venue has a clear bag policy. Arrive early and hungry. Multiple eateries and food carts await, with gluten-free and vegan fare available.</t>
  </si>
  <si>
    <t>Our Community Now</t>
  </si>
  <si>
    <t>Orlando Valkyries beat out Indy Ignite to win 2025 Pro Volleyball Federation Championship</t>
  </si>
  <si>
    <t>Shafaqna</t>
  </si>
  <si>
    <t>OTHER SPORTS
Pro Volleyball Federation
In the second ever Pro Volleyball Federation championship, the Orlando Valkyries defeated the Indy Ignite in four sets, by set scores 25-21, 25-19, 19-25, 25-15.</t>
  </si>
  <si>
    <t>Indy Ignite finish debut season as PVF runner-up</t>
  </si>
  <si>
    <t>Brad Brown</t>
  </si>
  <si>
    <t>WRTV-TV (Indianapolis, IN)</t>
  </si>
  <si>
    <t>HENDERSON, NV — They may not have reached their ultimate destination, but the journey was well worth the ride for the Indy Ignite.
While they battled hard in Sunday’s BIC Soleil Pro Volleyball Federation Championship, the Ignite fell in four sets to the Orlando Valkyries.</t>
  </si>
  <si>
    <t>Adityan Pillai</t>
  </si>
  <si>
    <t>Halla Back</t>
  </si>
  <si>
    <t>Orlando Valkyries beat out Indy Ignite to win 2025 Pro Volleyball Federation Championship - CBS News</t>
  </si>
  <si>
    <t>CBS News</t>
  </si>
  <si>
    <t>Watch CBS News
Orlando Valkyries beat out Indy Ignite to win 2025 Pro Volleyball Federation Championship
 Kaz Brown, middle blocker for the Orlando Valkyries, joins "CBS Mornings Plus" to talk about the teams' win over the Indy Ignite to win the 2025 Pro</t>
  </si>
  <si>
    <t>Indy Ignite fall short in Pro Volleyball Federation championship game</t>
  </si>
  <si>
    <t>Not the Ending They Wanted, But Ignite Take Pride in PVF Runner-Up Finish</t>
  </si>
  <si>
    <t>May 11, 2025 - Pro Volleyball Federation (PVF)
Indy Ignite News Release
HENDERSON, Nev. - They may not have reached their ultimate destination, but the journey was well worth the ride for the Indy Ignite.</t>
  </si>
  <si>
    <t>Indy Ignite finish as runner-up to Orlando in inaugural Pro Volleyball Federation season</t>
  </si>
  <si>
    <t>Share
 In its inaugural season, the Indy Ignite came up one win short of the Professional Volleyball Federation championship.On May 11, Indy fell in four sets (25-21, 25-19, 19-25, 25-15) to the Orlando Valkyries.</t>
  </si>
  <si>
    <t>Indy Ignite's dream inaugural season comes up short of a championship</t>
  </si>
  <si>
    <t>. - The inaugural season for the Indy Ignite ended just one win shy of a championship after the team lost in four sets to the Orlando Valkyries in the PVF Championship Match. 
Orlando won 25-21, 25-19, 19-25 and 25-15, to claim the $1 million bonus as the 2025 PVF champions.</t>
  </si>
  <si>
    <t>Evan Frank</t>
  </si>
  <si>
    <t>Indy Ignite finish as runner-up to Orlando in inaugural Pro Volleyball Federation season
 Evan Frank
On May 11, Indy fell in four sets (25-21, 25-19, 19-25, 25-15) to the Orlando Valkyries.</t>
  </si>
  <si>
    <t>Yahoo Sports</t>
  </si>
  <si>
    <t>In its inaugural season, the Indy Ignite came up one win short of the Professional Volleyball Federation championship.
On May 11, Indy fell in four sets (25-21, 25-19, 19-25, 25-15) to the Orlando Valkyries.</t>
  </si>
  <si>
    <t>bluewaterhealthyliving.com</t>
  </si>
  <si>
    <t>Awful Announcing</t>
  </si>
  <si>
    <t>Indy Ignite earns berth in pro volleyball championship game</t>
  </si>
  <si>
    <t>Indy Ignite earns berth in pro volleyball championship</t>
  </si>
  <si>
    <t>It's the Million Dollar Question, Can Ignite Complete Run to PVF Championship?</t>
  </si>
  <si>
    <t>May 10, 2025 - Pro Volleyball Federation (PVF)
Indy Ignite News Release
HENDERSON, Nev. - In an amazing season that has put them on the precipice of claiming the championship in their first year of existence, the Indy Ignite are about to come full circle.</t>
  </si>
  <si>
    <t>Orlando Valkyries vs. Indy Ignite: Battle for Championship and $1 Million Prize – iVolley Magazine - Newsy Today</t>
  </si>
  <si>
    <t>Newsy-Today</t>
  </si>
  <si>
    <t>As the Orlando Valkyries and the Indy Ignite battle for supremacy, we look at emerging trends and potential transformations in the sport.
The A-League has been in the spotlight this year, with the Indy Ignite’s stunning victory over Omaha Supernovas capturing the hearts of fans.</t>
  </si>
  <si>
    <t>Supernovas fall in five sets to Ignite in PVF Semifinals</t>
  </si>
  <si>
    <t>KTIC-AM (West Point, NE)</t>
  </si>
  <si>
    <t>. — The Omaha Supernovas, Nebraska’s professional volleyball team and first Pro Volleyball Champions, battled to the final point in a 17-25, 25-23, 25-23, 20-25, 13-15 loss to the Indy Ignite (14-15) in the PVF Semifinals Friday night at Lee’s Family Forum in front of 1,312 spectators.</t>
  </si>
  <si>
    <t>Indy Ignite knocks off defending champ, top seed Omaha Supernovas in 5 sets</t>
  </si>
  <si>
    <t>INDIANAPOLIS - The Indy Ignite will play in the finals of the Pro Volleyball Federation Championship.</t>
  </si>
  <si>
    <t>Supernovas begin Title Defense in PVF Semifinal against Indy</t>
  </si>
  <si>
    <t>. – The No. 1 seed Omaha Supernovas, Nebraska’s professional volleyball team and first Pro Volleyball champions, officially begins its championship defense this Friday against the Indy Ignite in one of two PVF Semifinal matches at Lee’s Family Forum in the Las Vegas area. Riding a...</t>
  </si>
  <si>
    <t>PVF Championship Finals, Here We Come! Ignite Win Semifinal Thriller</t>
  </si>
  <si>
    <t>May 10, 2025 - Pro Volleyball Federation (PVF)
Indy Ignite News Release
HENDERSON, Nev. - It began as a dream. Now it's a single victory from reality. The Indy Ignite will play for the Pro Volleyball Federation Championship.</t>
  </si>
  <si>
    <t>Anna DeBeer drops a 2 word message as Indy Ignite defeats #1 Omaha Supernovas to advance to the finals</t>
  </si>
  <si>
    <t>Anna DeBeer expressed her thoughts as the Indy Ignite put forward a strong performance to defeat #1 Omaha Supernovas to advance to the finals of the Pro Volleyball Federation.</t>
  </si>
  <si>
    <t>It's Go Time for Ignite in PVF Championship Semifinals</t>
  </si>
  <si>
    <t>May 9, 2025 - Pro Volleyball Federation (PVF)
Indy Ignite News Release
HENDERSON, Nev. - It's time to get down to business.</t>
  </si>
  <si>
    <t>Indy Ignite's Hilley wins 2025 setter award</t>
  </si>
  <si>
    <t>Axios Indianapolis</t>
  </si>
  <si>
    <t>(WFYI)
ğ The Indy Ignite's Sydney Hilley has been named the Pro Volleyball Federation's 2025 Setter of the Year. (WTHR)
ğ Caitlin Clark is one of four players to be featured in the first-ever set of WNBA player Funko Pop! Figures. (Funko)</t>
  </si>
  <si>
    <t>What channel is Indy Ignite on today? How to watch Anna DeBeer, Elena Scott in PVF semis</t>
  </si>
  <si>
    <t>The Courier-Journal (Louisville, KY)</t>
  </si>
  <si>
    <t>Here is how you can watch Indy Ignite and Omaha Supernovas today:
What time is Indy Ignite vs Omaha Supernovas volleyball today?
Date: Friday, May 9
Start time: 8 p.m.
The Ignite and Valkyries are scheduled to play at 8 p.m. today at Lee's Family Forum in Henderson, Nevada.</t>
  </si>
  <si>
    <t>First-Year Fire: Indy Ignite Blaze Into PVF Playoffs</t>
  </si>
  <si>
    <t>Tony Vasquez</t>
  </si>
  <si>
    <t>Nuvo</t>
  </si>
  <si>
    <t>In their inaugural season, the Indy Ignite have lit up the Pro Volleyball Federation (PVF). They are now just two wins away from claiming the league's top prize, a championship title and a $1 million purse. … From newcomers to contenders, the Indy Ignite's meteoric rise has already made history. Two more wins, and they could add "champions" to that résumé.</t>
  </si>
  <si>
    <t>KOOQ-AM (North Platte, NE)</t>
  </si>
  <si>
    <t>. – The No. 1 seed Omaha Supernovas, Nebraska’s professional volleyball team and first Pro Volleyball champions, officially begins its championship defense this Friday against the Indy Ignite in one of two PVF Semifinal matches at Lee’s Family Forum in the Las Vegas area.  </t>
  </si>
  <si>
    <t>Snapshot: Support for children’s health</t>
  </si>
  <si>
    <t>During Indy Ignite’s final home game of the season May 1, Meijer Team Gives, in partnership with Indy Ignite, presented a $9,100 donation check to Riley Children’s Foundation to help fund programs supporting children’s health and wellbeing.</t>
  </si>
  <si>
    <t>Supernovas Begin Title Defense in PVF Semifinal against Indy</t>
  </si>
  <si>
    <t>. - The No. 1 seed Omaha Supernovas, Nebraska's professional volleyball team and first Pro Volleyball champions, officially begins its championship defense this Friday against the Indy Ignite in one of two PVF Semifinal matches at Lee's Family Forum in the Las Vegas area.</t>
  </si>
  <si>
    <t>Indy Ignite gets sweet sendoff from fans - Indianapolis News</t>
  </si>
  <si>
    <t>Hanna Mordoh</t>
  </si>
  <si>
    <t>INDIANAPOLIS (WISH) — The Indy Ignite are competing in the Pro Volleyball Federation Championship semifinals in Las Vegas with some sweet support from fans. </t>
  </si>
  <si>
    <t>Indy Ignite setter wins PVF Setter of the Year</t>
  </si>
  <si>
    <t>The Indy Ignite are playing in the PVF Championship tournament May 9-11, where they will face the top-seeded Omaha Supernovas in the first semifinal match. … On Wednesday, Indy Ignite's Sydney Hilley was named the PVF Setter of the Year.
She was the clear frontrunner this season after earning season records in assists (1,277) and assists per set (11.30).</t>
  </si>
  <si>
    <t>Ignite Firing up to Show Their Stuff in PVF Championship</t>
  </si>
  <si>
    <t>May 7, 2025 - Pro Volleyball Federation (PVF)
Indy Ignite News Release
FISHERS, Ind. - After successfully navigating a demanding first Pro Volleyball Federation regular season, the Indy Ignite are exactly where they want to be: playing in the postseason with a shot at capturing the 2025 championship</t>
  </si>
  <si>
    <t>PVF Announces 2025 Individual Awards</t>
  </si>
  <si>
    <t>Federation Season Awards
Libero of the Year: Morgan Hentz, Atlanta Vibe
Outside Hitter of the Year: Brooke Nuneviller, Omaha Supernovas
Middle Blocker of the Year: Ali Bastianelli, Grand Rapids Rise
Opposite Hitter of the Year: Brittany Abercrombie, Orlando Valkyries
Setter of the Year: Sydney Hilley, Indy … Ignite
Most Inspirational Player Award: Shara Venegas, San Diego Mojo
Rising Star Award: Khori Louis, Atlanta Vibe
• Discuss this story on the Pro Volleyball Federation message board...</t>
  </si>
  <si>
    <t>Ignite's Hilley Named PVF Setter of the Year</t>
  </si>
  <si>
    <t>May 7, 2025 - Pro Volleyball Federation (PVF)
Indy Ignite News Release
FISHERS, Ind. - Indy Ignite standout Sydney Hilley earned a Pro Volleyball Federation league-wide honor for the second straight day when she was named the PVF Setter of the Year today.</t>
  </si>
  <si>
    <t>2 Indy Ignite players named to PVF All-League First Team</t>
  </si>
  <si>
    <t>INDIANAPOLIS - After helping pave the way for an inaugural season 2025 PVF Championship berth for the Indy Ignite, two players are getting the recognition they deserve.</t>
  </si>
  <si>
    <t>The Indy Ignite made the PVF Championship; here's everything you need to know</t>
  </si>
  <si>
    <t>INDIANAPOLIS - In the team's inaugural season playing in the Pro Volleyball Federation, the Indy Ignite clinched a spot in the 2025 PVF Championship tournament!
The postseason in every sports league in the country has its own unique rules and regulations.</t>
  </si>
  <si>
    <t>PVF Championships Playoffs 2025: Bracket, league standings, when and where to watch</t>
  </si>
  <si>
    <t>Omaha Supernovas, Indy Ignite, Atlanta Vibe, and Orlando Valkyries surpassed Grand Rapids Rise, Vegas Thrill, San Diego Mojo, and Columbus Fury to earn a spot in the second-to-last round of the championships.</t>
  </si>
  <si>
    <t>Ignite's Hilley, Tealer Earn PVF All-League First Team Honors</t>
  </si>
  <si>
    <t>May 6, 2025 - Pro Volleyball Federation (PVF)
Indy Ignite News Release
FISHERS, Ind. - After leading their team to the postseason in the franchise's inaugural campaign, Indy Ignite setter Sydney Hilley and opposite hitter Azhani Tealer have been named to the Pro Volleyball Federation All-League First</t>
  </si>
  <si>
    <t>PVF Announcers 2025 All-League Teams</t>
  </si>
  <si>
    <t>The Atlanta Vibe lead all PVF squads with four players named to the first and second teams, followed by the Orlando Valkyries with three players, the Grand Rapids Rise, Indy Ignite and Omaha Supernovas with two apiece and the San Diego Mojo with one.</t>
  </si>
  <si>
    <t>Taylor's Bakery Hosting Ignite Playoffs Sendoff Thursday Morning</t>
  </si>
  <si>
    <t>May 5, 2025 - Pro Volleyball Federation (PVF)
Indy Ignite News Release
As the Indy Ignite prepare for the Pro Volleyball Federation Championship semifinals on Friday in Las Vegas, the Ignite staff and Taylor's Bakery are offering fans a sweet way to support the hometown team in the playoffs.</t>
  </si>
  <si>
    <t>San Diego Mojo closes out season with a backdoor sweep against playoff-bound Indy Ignite</t>
  </si>
  <si>
    <t>Chat Sports</t>
  </si>
  <si>
    <t>Back to the San Diego State Aztecs Newsfeed
Related Topics: San Diego Mojo, Greg Spicer, Indy Ignite
Led by rookie sensation Maya Tabron, the Mojo took control in set two and never let go
Categories: 
Sports
Volleyball
San Diego Mojo players celebrate after</t>
  </si>
  <si>
    <t>Greg Spicer</t>
  </si>
  <si>
    <t>The Daily Aztec</t>
  </si>
  <si>
    <t>Led by rookie sensation Maya Tabron, the Mojo took control in set two and never let go 
 Categories: 
It was a slow start for the Mojo as the Indy Ignite came into Viejas Arena firing.</t>
  </si>
  <si>
    <t>Mojo dominate Indy Ignite in season finale </t>
  </si>
  <si>
    <t>San Diego Community Newspaper Group</t>
  </si>
  <si>
    <t>The San Diego Mojo ended their regular season on a high note with a victory against the Indy Ignite in four sets, 22-25, 25-18, 25-19, 25-19, on Saturday night at Viejas Arena.</t>
  </si>
  <si>
    <t>Ignite Use Regular-Season Finale as Tune-Up for PVF Playoffs</t>
  </si>
  <si>
    <t>May 4, 2025 - Pro Volleyball Federation (PVF)
Indy Ignite News Release
SAN DIEGO - Saturday night's Pro Volleyball Federation match had no bearing on their upcoming trip to the league playoffs, so the Indy Ignite saw it as an opportunity to show the depth of their bench.</t>
  </si>
  <si>
    <t>Indy Ignite headed to Vegas after historic inaugural season</t>
  </si>
  <si>
    <t>Brittany Noble</t>
  </si>
  <si>
    <t>INDIANAPOLIS (WISH) — The Indy Ignite have wrapped up their very first season—and they’re not done yet. After an impressive run in the Pro Volleyball Federation’s debut year, the Ignite are now one of four teams headed to Las Vegas for the league’s championship tournament.</t>
  </si>
  <si>
    <t>Mojo Dominate Indy Ignite in Season Finale</t>
  </si>
  <si>
    <t>May 3, 2025 - Pro Volleyball Federation (PVF)
San Diego Mojo News Release
SAN DIEGO - The San Diego Mojo ended their regular season on a high note with a victory against the Indy Ignite in four sets, 22-25, 25-18, 25-19, 25-19, on Saturday night at Viejas Arena.</t>
  </si>
  <si>
    <t>Game Preview: Indy Ignite at San Diego Mojo: May 3, 2025</t>
  </si>
  <si>
    <t>May 2, 2025 - Pro Volleyball Federation (PVF)
San Diego Mojo News Release
Game 28: Indy Ignite (13-14) at San Diego Mojo (10-17)
The San Diego Mojo and Indy Ignite meet in the season finale on Saturday with San Diego looking to close out the season with a second-straight win and playoff-bound Indy</t>
  </si>
  <si>
    <t>'Indiana: Faces of the Fallen' honors veterans no longer with us - Local News 8</t>
  </si>
  <si>
    <t>WXPI-TV (Idaho Falls, ID)</t>
  </si>
  <si>
    <t>A special exhibit at the Fishers Event Center honored fallen Hoosier veterans at Thursday’s Indy Ignite Volleyball game.
173 faces of service men and women are on display.
“These individuals died for our freedom. We don’t wanna forget that,” Brad Bristow said.</t>
  </si>
  <si>
    <t>'Indiana: Faces of the Fallen' honors veterans no longer with us</t>
  </si>
  <si>
    <t>Nico Pennisi</t>
  </si>
  <si>
    <t>KVIA-TV (El Paso, TX)</t>
  </si>
  <si>
    <t>KEYT-TV (Santa Barbara, CA)</t>
  </si>
  <si>
    <t>KMIZ-TV (Columbia, MO)</t>
  </si>
  <si>
    <t>KION-TV (Salinas, CA)</t>
  </si>
  <si>
    <t>KRDO-TV (Colorado Springs, CO)</t>
  </si>
  <si>
    <t>KTVZ-TV (Bend, OR)</t>
  </si>
  <si>
    <t>Faces of the Fallen' honors veterans no longer with us</t>
  </si>
  <si>
    <t>KESQ-TV (Thousand Palms, CA)</t>
  </si>
  <si>
    <t>A special exhibit at the Fishers Event Center honored fallen Hoosier veterans at Thursday's Indy Ignite Volleyball game.
173 faces of service men and women are on display.
"These individuals died for our freedom. We don't wanna forget that," Brad Bristow said.</t>
  </si>
  <si>
    <t>More leagues doesn’t equal more viewers</t>
  </si>
  <si>
    <t>Maddie Moran</t>
  </si>
  <si>
    <t>The Wooster Voice</t>
  </si>
  <si>
    <t>PVF has 8 teams: Omaha Supernovas, Atlanta Vibe, Orlando Valkyries, Grand Rapids Rise, Vegas Thrill, San Diego Mojo, Columbus Fury and their newest addition this year: Indy Ignite. LOVB has 6 teams: LOVB Atlanta, LOVB Houston, LOVB Madison, LOVB Salt Lake, LOVB Austin and LOVB Omaha.</t>
  </si>
  <si>
    <t>Indy Ignite drop final home match of season to Atlanta Vibe</t>
  </si>
  <si>
    <t>INDIANAPOLIS - For the team's final home match of their inaugural season, the Indy Ignite fought hard against the also playoff-bound Atlanta Vibe. … For more on the Indy Ignite's inaugural season, click here.</t>
  </si>
  <si>
    <t>Final Home Match Helps Ignite Prepare for Rigors of Postseason</t>
  </si>
  <si>
    <t>May 1, 2025 - Pro Volleyball Federation (PVF)
Indy Ignite News Release
FISHERS, Ind. - It was a playoff-like atmosphere with two playoff-bound teams tonight at Fishers Event Center.</t>
  </si>
  <si>
    <t>Slideshow: Indy Ignite Lose Home Finale in a Five Set Thriller</t>
  </si>
  <si>
    <t>Matt Edwards</t>
  </si>
  <si>
    <t>State AlabamaAlaskaArizonaArkansasCaliforniaColoradoConnecticutDelawareFloridaGeorgiaHawaiiIdahoIllinoisIndianaIowaKansasKentuckyLouisianaMaineMarylandMassachusettsMichiganMinnesotaMississippiMissouriMontanaNebraskaNevadaNew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DakotaTennesseeTexasUtahVermontVirginiaWashingtonWashington D.C.West VirginiaWisconsinWyomingPuerto RicoUS Virgin IslandsArmed Forces AmericasArmed...</t>
  </si>
  <si>
    <t>'Indiana: Faces of the Fallen' honors Hoosier veterans no longer with us</t>
  </si>
  <si>
    <t>A special exhibit at the Fishers Event Center honored fallen Hoosier veterans at Thursday's Indy Ignite Volleyball game.
173 faces of service men and women.
“These individuals died for our freedom. We don’t wanna forget that," Brad Bristow said.</t>
  </si>
  <si>
    <t>Statistic - Indy Ignite - Pro Volleyball Federation</t>
  </si>
  <si>
    <t>provolleyball.com</t>
  </si>
  <si>
    <t>Severe weather tips on “Delaware County Today.”</t>
  </si>
  <si>
    <t>Woof Boom Radio News</t>
  </si>
  <si>
    <t>Two-time Yorktown state champion Kylie Murr is headed to the Pro Volleyball Federation playoffs with the Indy Ignite next week in Las Vegas.</t>
  </si>
  <si>
    <t>Indy Ignite host final match of the 2025 PVF season</t>
  </si>
  <si>
    <t>"The incredible backing from our fans, who have packed Fishers Event Center on more than one occasion, has been one of the highlights of our inaugural season for all of us at Indy Ignite," said Mary Kay Huse, president and general manager of Indy Ignite.</t>
  </si>
  <si>
    <t>New in Indiana</t>
  </si>
  <si>
    <t>Paula Aven-Gladych</t>
  </si>
  <si>
    <t>Small Market Meetings</t>
  </si>
  <si>
    <t>The event center is the home of the Indy Fuel minor league ice hockey team, Fishers Freight professional indoor football team and Indy Ignite professional women’s volleyball team. It can accommodate 7,500 guests for a concert or sporting event.</t>
  </si>
  <si>
    <t>Name</t>
  </si>
  <si>
    <t>Title</t>
  </si>
  <si>
    <t>Email</t>
  </si>
  <si>
    <t>X (Twitter) Screen Name</t>
  </si>
  <si>
    <t>X (Twitter) URL</t>
  </si>
  <si>
    <t>Muck Rack URL</t>
  </si>
  <si>
    <t>X (Twitter) Followers</t>
  </si>
  <si>
    <t>Location</t>
  </si>
  <si>
    <t>Description</t>
  </si>
  <si>
    <t>Beats</t>
  </si>
  <si>
    <t>Publications</t>
  </si>
  <si>
    <t>Status Text</t>
  </si>
  <si>
    <t>Status Time</t>
  </si>
  <si>
    <t>Status URL</t>
  </si>
  <si>
    <t>Link Shared</t>
  </si>
  <si>
    <t>Anne Marie Tiernon</t>
  </si>
  <si>
    <t>Journalist</t>
  </si>
  <si>
    <t>atiernon@wthr.com</t>
  </si>
  <si>
    <t>AnneMarieWTHR</t>
  </si>
  <si>
    <t>Indianapolis</t>
  </si>
  <si>
    <t>Wife, Mom, Journalist, WTHR/NBC Indy Anchor/Reporter Kelley/Medill</t>
  </si>
  <si>
    <t>Health,Sports,U.S. Regional</t>
  </si>
  <si>
    <t>Indy Ignite head coach resigns after successful inaugural season
“While I have loved coaching in Indy, it’s time for me to spend more time with my family," said George Padjen, head coach Indy Ignite.
https://t.co/7cKJ6KvWmX
@WTHRcom  @IndyIgniteVB</t>
  </si>
  <si>
    <t>Sports Journalist</t>
  </si>
  <si>
    <t>aschnable@post-gazette.com</t>
  </si>
  <si>
    <t>AbbySchnable</t>
  </si>
  <si>
    <t>Pittsburgh, PA</t>
  </si>
  <si>
    <t>She/her/hers | Pitt FB, MBB and VB for @PittsburghPG | Covered Loyola Chicago and Wisconsin Hoops | LUC 21 | aschnable@post-gazette.com</t>
  </si>
  <si>
    <t>Sports</t>
  </si>
  <si>
    <t>Former #Pitt libero Emmy Klika wasn’t sure she’d get a chance to play pro volleyball after going undrafted in the winter. 
A phone call came in March and by May she was in the game, helping the Orlando Valkyries win the PVF title. 
Check out her story: 
https://t.co/wZrShBwcdU</t>
  </si>
  <si>
    <t>Ken Fang</t>
  </si>
  <si>
    <t>Associate Editor</t>
  </si>
  <si>
    <t>fangsbites</t>
  </si>
  <si>
    <t>RI, USA</t>
  </si>
  <si>
    <t>Taiwanese-American. #VeryAsian. @aaja, Fang's Bites, Associate Editor @awfulannouncing, contributor to @thecomeback. IG: fangsbites. he/him RIP, Sampson</t>
  </si>
  <si>
    <t>RT @awfulannouncing: TV and Streaming Viewing Picks for May 11, 2025: how to watch NBA Playoffs https://t.co/s4JstsDjZV</t>
  </si>
  <si>
    <t>George Bremer</t>
  </si>
  <si>
    <t>News and Features Writer</t>
  </si>
  <si>
    <t>george.bremer@woofboom.com</t>
  </si>
  <si>
    <t>gmbremer</t>
  </si>
  <si>
    <t>Anderson, IN</t>
  </si>
  <si>
    <t>Woof Boom Radio. Writing news and features. Email: george.bremer@woofboom.com</t>
  </si>
  <si>
    <t>Sports,U.S. Regional</t>
  </si>
  <si>
    <t>RT @IndyIgniteVB: Final home game energy. Peep the lineup. 👀
🆚 Atlanta Vibe
📺 Roku
📍Fishers Event Center
📈 Stats: https://t.co/kfFDaHuCqA…</t>
  </si>
  <si>
    <t>RT @IndyIgniteVB: Jackpot Lineup 💰💰💰
🆚 Orlando Valkyries
📺 CBS Sports Network
📍Lee’s Family Forum
📈 Stats: https://t.co/kfFDaHuCqA
#IndyI…</t>
  </si>
  <si>
    <t>Writer</t>
  </si>
  <si>
    <t>CKightlinger</t>
  </si>
  <si>
    <t>Indianapolis, Ind.</t>
  </si>
  <si>
    <t>director of comms, @indyignitevb | writer | marketer | believer | mom to ringo, a fluffy dog | views = my own</t>
  </si>
  <si>
    <t>U.S. Regional</t>
  </si>
  <si>
    <t>Freelance</t>
  </si>
  <si>
    <t>RT @IndyIgniteVB: All in for the win. 🎲🏐
🆚 Omaha
📺 CBS Sports
📍Lee’s Family Forum
📈 Stats: https://t.co/kfFDaHuCqA
#IndyIgniteVB https://…</t>
  </si>
  <si>
    <t>TV and Streaming Viewing Picks for May 1, 2025: how to watch NHL Stanley Cup Double Doubleheader https://t.co/XynR7Qwdjk https://t.co/dZOZLN6BCF</t>
  </si>
  <si>
    <t>Indianapolis, IN</t>
  </si>
  <si>
    <t>USA</t>
  </si>
  <si>
    <t>Greenfield, IN</t>
  </si>
  <si>
    <t>West Point, NE</t>
  </si>
  <si>
    <t>Louisville, KY</t>
  </si>
  <si>
    <t>North Platte, NE</t>
  </si>
  <si>
    <t>Idaho Falls, ID</t>
  </si>
  <si>
    <t>El Paso, TX</t>
  </si>
  <si>
    <t>Santa Barbara, CA</t>
  </si>
  <si>
    <t>Columbia, MO</t>
  </si>
  <si>
    <t>Salinas, CA</t>
  </si>
  <si>
    <t>Colorado Springs, CO</t>
  </si>
  <si>
    <t>Bend, OR</t>
  </si>
  <si>
    <t>Thousand Palms, CA</t>
  </si>
  <si>
    <t>Global</t>
  </si>
  <si>
    <t>Afganistan</t>
  </si>
  <si>
    <t>San Diego, CA</t>
  </si>
  <si>
    <t>Wooster, OH</t>
  </si>
  <si>
    <t>Muncie, IN</t>
  </si>
  <si>
    <t>Location Category</t>
  </si>
  <si>
    <t>International</t>
  </si>
  <si>
    <t>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</si>
</sst>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yyyy\-mm\-dd"/>
    <numFmt numFmtId="165" formatCode="&quot;$&quot;#,##0.00_-"/>
    <numFmt numFmtId="166" formatCode="yyyy\-mm\-dd\ hh:mm:ss"/>
  </numFmts>
  <fonts count="4" x14ac:knownFonts="1">
    <font>
      <sz val="11"/>
      <color theme="1"/>
      <name val="Calibri"/>
      <family val="2"/>
      <scheme val="minor"/>
    </font>
    <font>
      <b/>
      <sz val="10"/>
      <name val="Arial"/>
    </font>
    <font>
      <sz val="10"/>
      <name val="Arial"/>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right/>
      <top/>
      <bottom/>
      <diagonal/>
    </border>
  </borders>
  <cellStyleXfs count="6">
    <xf numFmtId="0" fontId="0" fillId="0" borderId="0"/>
    <xf numFmtId="0" fontId="1" fillId="0" borderId="1"/>
    <xf numFmtId="0" fontId="2" fillId="0" borderId="1">
      <alignment vertical="top" wrapText="1"/>
    </xf>
    <xf numFmtId="164" fontId="2" fillId="0" borderId="1">
      <alignment vertical="top" wrapText="1"/>
    </xf>
    <xf numFmtId="165" fontId="2" fillId="0" borderId="1">
      <alignment vertical="top" wrapText="1"/>
    </xf>
    <xf numFmtId="166" fontId="2" fillId="0" borderId="1">
      <alignment vertical="top" wrapText="1"/>
    </xf>
  </cellStyleXfs>
  <cellXfs count="10">
    <xf numFmtId="0" fontId="0" fillId="0" borderId="0" xfId="0"/>
    <xf numFmtId="0" fontId="1" fillId="0" borderId="1" xfId="1"/>
    <xf numFmtId="0" fontId="2" fillId="0" borderId="1" xfId="2">
      <alignment vertical="top" wrapText="1"/>
    </xf>
    <xf numFmtId="164" fontId="2" fillId="0" borderId="1" xfId="3">
      <alignment vertical="top" wrapText="1"/>
    </xf>
    <xf numFmtId="165" fontId="2" fillId="0" borderId="1" xfId="4">
      <alignment vertical="top" wrapText="1"/>
    </xf>
    <xf numFmtId="166" fontId="2" fillId="0" borderId="1" xfId="5">
      <alignment vertical="top" wrapText="1"/>
    </xf>
    <xf numFmtId="165" fontId="0" fillId="0" borderId="0" xfId="0" applyNumberFormat="1"/>
    <xf numFmtId="0" fontId="0" fillId="2" borderId="0" xfId="0" applyFill="1"/>
    <xf numFmtId="8" fontId="0" fillId="2" borderId="0" xfId="0" applyNumberFormat="1" applyFill="1"/>
    <xf numFmtId="0" fontId="3" fillId="0" borderId="0" xfId="0" applyFont="1"/>
  </cellXfs>
  <cellStyles count="6">
    <cellStyle name="mr_currency" xfId="4" xr:uid="{00000000-0005-0000-0000-000004000000}"/>
    <cellStyle name="mr_date" xfId="3" xr:uid="{00000000-0005-0000-0000-000003000000}"/>
    <cellStyle name="mr_datetime" xfId="5" xr:uid="{00000000-0005-0000-0000-000005000000}"/>
    <cellStyle name="mr_header" xfId="1" xr:uid="{00000000-0005-0000-0000-000001000000}"/>
    <cellStyle name="mr_normal" xfId="2" xr:uid="{00000000-0005-0000-0000-000002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abSelected="1" workbookViewId="0">
      <selection activeCell="B20" sqref="B20"/>
    </sheetView>
  </sheetViews>
  <sheetFormatPr defaultRowHeight="14.4" x14ac:dyDescent="0.3"/>
  <cols>
    <col min="1" max="1" width="34" customWidth="1"/>
    <col min="2" max="2" width="32" customWidth="1"/>
    <col min="3" max="3" width="13.109375" bestFit="1" customWidth="1"/>
  </cols>
  <sheetData>
    <row r="1" spans="1:3" x14ac:dyDescent="0.3">
      <c r="A1" s="1" t="s">
        <v>0</v>
      </c>
      <c r="B1" s="2" t="s">
        <v>1</v>
      </c>
    </row>
    <row r="2" spans="1:3" x14ac:dyDescent="0.3">
      <c r="A2" s="1" t="s">
        <v>2</v>
      </c>
      <c r="B2" s="2" t="str">
        <f>HYPERLINK("https://indy-ignite-pro-volleyball.muckrack.com/coverage-reports/gUme/edit/")</f>
        <v>https://indy-ignite-pro-volleyball.muckrack.com/coverage-reports/gUme/edit/</v>
      </c>
    </row>
    <row r="3" spans="1:3" x14ac:dyDescent="0.3">
      <c r="A3" s="1" t="s">
        <v>3</v>
      </c>
      <c r="B3" s="3">
        <v>45818</v>
      </c>
    </row>
    <row r="4" spans="1:3" x14ac:dyDescent="0.3">
      <c r="A4" s="1" t="s">
        <v>4</v>
      </c>
      <c r="B4" s="2" t="s">
        <v>5</v>
      </c>
    </row>
    <row r="6" spans="1:3" x14ac:dyDescent="0.3">
      <c r="A6" s="1" t="s">
        <v>6</v>
      </c>
      <c r="B6" s="2">
        <v>209</v>
      </c>
      <c r="C6" s="7">
        <v>87</v>
      </c>
    </row>
    <row r="7" spans="1:3" x14ac:dyDescent="0.3">
      <c r="A7" s="1" t="s">
        <v>7</v>
      </c>
      <c r="B7" s="2">
        <v>613</v>
      </c>
      <c r="C7" s="7">
        <v>309</v>
      </c>
    </row>
    <row r="8" spans="1:3" x14ac:dyDescent="0.3">
      <c r="A8" s="1" t="s">
        <v>8</v>
      </c>
      <c r="B8" s="2">
        <v>2</v>
      </c>
      <c r="C8" s="7">
        <v>3.6</v>
      </c>
    </row>
    <row r="9" spans="1:3" x14ac:dyDescent="0.3">
      <c r="A9" s="1" t="s">
        <v>9</v>
      </c>
      <c r="B9" s="2">
        <v>453171071</v>
      </c>
      <c r="C9" s="7">
        <v>235824360</v>
      </c>
    </row>
    <row r="10" spans="1:3" x14ac:dyDescent="0.3">
      <c r="A10" s="1" t="s">
        <v>10</v>
      </c>
      <c r="B10" s="4">
        <v>4254365.6399999997</v>
      </c>
      <c r="C10" s="8">
        <v>2181375.33</v>
      </c>
    </row>
    <row r="11" spans="1:3" x14ac:dyDescent="0.3">
      <c r="A11" s="1" t="s">
        <v>11</v>
      </c>
      <c r="B11" s="2">
        <v>3</v>
      </c>
      <c r="C11" s="7">
        <v>1</v>
      </c>
    </row>
    <row r="12" spans="1:3" x14ac:dyDescent="0.3">
      <c r="A12" s="1" t="s">
        <v>12</v>
      </c>
      <c r="B12" s="2">
        <v>32993</v>
      </c>
      <c r="C12" s="7">
        <v>16799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9"/>
  <sheetViews>
    <sheetView topLeftCell="I85" workbookViewId="0">
      <selection activeCell="J93" sqref="J93"/>
    </sheetView>
  </sheetViews>
  <sheetFormatPr defaultRowHeight="14.4" x14ac:dyDescent="0.3"/>
  <cols>
    <col min="1" max="1" width="48" customWidth="1"/>
    <col min="2" max="2" width="32" customWidth="1"/>
    <col min="3" max="4" width="24" customWidth="1"/>
    <col min="5" max="5" width="19" customWidth="1"/>
    <col min="6" max="6" width="48" customWidth="1"/>
    <col min="7" max="7" width="28" customWidth="1"/>
    <col min="8" max="8" width="17" customWidth="1"/>
    <col min="9" max="10" width="16" customWidth="1"/>
    <col min="11" max="11" width="13" customWidth="1"/>
    <col min="12" max="12" width="29" customWidth="1"/>
    <col min="13" max="13" width="24" customWidth="1"/>
    <col min="14" max="14" width="18.21875" bestFit="1" customWidth="1"/>
  </cols>
  <sheetData>
    <row r="1" spans="1:15" x14ac:dyDescent="0.3">
      <c r="A1" s="1" t="s">
        <v>13</v>
      </c>
      <c r="B1" s="1" t="s">
        <v>2</v>
      </c>
      <c r="C1" s="1" t="s">
        <v>14</v>
      </c>
      <c r="D1" s="1" t="s">
        <v>15</v>
      </c>
      <c r="E1" s="1" t="s">
        <v>16</v>
      </c>
      <c r="F1" s="1" t="s">
        <v>17</v>
      </c>
      <c r="G1" s="1" t="s">
        <v>18</v>
      </c>
      <c r="H1" s="1" t="s">
        <v>19</v>
      </c>
      <c r="I1" s="1" t="s">
        <v>20</v>
      </c>
      <c r="J1" s="1" t="s">
        <v>7</v>
      </c>
      <c r="K1" s="1" t="s">
        <v>21</v>
      </c>
      <c r="L1" s="1" t="s">
        <v>22</v>
      </c>
      <c r="M1" s="1" t="s">
        <v>23</v>
      </c>
      <c r="N1" s="9" t="s">
        <v>244</v>
      </c>
      <c r="O1" s="1" t="s">
        <v>309</v>
      </c>
    </row>
    <row r="2" spans="1:15" ht="105.6" x14ac:dyDescent="0.3">
      <c r="A2" s="2" t="s">
        <v>26</v>
      </c>
      <c r="B2" s="2" t="str">
        <f>HYPERLINK("https://www.sportskeeda.com/us/olympics/news-former-louisville-volleyball-player-anna-debeer-shares-highlights-rookie-pro-season-short-message")</f>
        <v>https://www.sportskeeda.com/us/olympics/news-former-louisville-volleyball-player-anna-debeer-shares-highlights-rookie-pro-season-short-message</v>
      </c>
      <c r="C2" s="2" t="s">
        <v>27</v>
      </c>
      <c r="D2" s="2" t="s">
        <v>24</v>
      </c>
      <c r="E2" s="5">
        <v>45806.998611111107</v>
      </c>
      <c r="F2" s="2" t="s">
        <v>28</v>
      </c>
      <c r="G2" s="2">
        <v>22242243</v>
      </c>
      <c r="H2" s="2">
        <v>0</v>
      </c>
      <c r="I2" s="2">
        <v>0</v>
      </c>
      <c r="J2" s="2">
        <v>0</v>
      </c>
      <c r="K2" s="2" t="s">
        <v>25</v>
      </c>
      <c r="L2" s="4">
        <v>205740.75</v>
      </c>
      <c r="M2" s="2"/>
      <c r="N2" t="s">
        <v>304</v>
      </c>
      <c r="O2" t="s">
        <v>310</v>
      </c>
    </row>
    <row r="3" spans="1:15" ht="105.6" x14ac:dyDescent="0.3">
      <c r="A3" s="2" t="s">
        <v>29</v>
      </c>
      <c r="B3" s="2" t="str">
        <f>HYPERLINK("https://www.sportskeeda.com/us/olympics/news-anna-debeer-elena-scott-others-react-lovb-madison-player-claire-chaussee-announces-engagement-dream-proposal")</f>
        <v>https://www.sportskeeda.com/us/olympics/news-anna-debeer-elena-scott-others-react-lovb-madison-player-claire-chaussee-announces-engagement-dream-proposal</v>
      </c>
      <c r="C3" s="2" t="s">
        <v>30</v>
      </c>
      <c r="D3" s="2" t="s">
        <v>24</v>
      </c>
      <c r="E3" s="5">
        <v>45804.351504629631</v>
      </c>
      <c r="F3" s="2" t="s">
        <v>31</v>
      </c>
      <c r="G3" s="2">
        <v>22242243</v>
      </c>
      <c r="H3" s="2">
        <v>0</v>
      </c>
      <c r="I3" s="2">
        <v>0</v>
      </c>
      <c r="J3" s="2">
        <v>3</v>
      </c>
      <c r="K3" s="2" t="s">
        <v>25</v>
      </c>
      <c r="L3" s="4">
        <v>205740.75</v>
      </c>
      <c r="M3" s="2"/>
      <c r="N3" t="s">
        <v>304</v>
      </c>
      <c r="O3" t="s">
        <v>310</v>
      </c>
    </row>
    <row r="4" spans="1:15" ht="79.2" x14ac:dyDescent="0.3">
      <c r="A4" s="2" t="s">
        <v>32</v>
      </c>
      <c r="B4" s="2" t="str">
        <f>HYPERLINK("https://www.indianapolismonthly.com/arts-and-culture/sports/george-padjen-exits-indy-ignite/")</f>
        <v>https://www.indianapolismonthly.com/arts-and-culture/sports/george-padjen-exits-indy-ignite/</v>
      </c>
      <c r="C4" s="2" t="s">
        <v>33</v>
      </c>
      <c r="D4" s="2" t="s">
        <v>34</v>
      </c>
      <c r="E4" s="5">
        <v>45803.745891203696</v>
      </c>
      <c r="F4" s="2" t="s">
        <v>35</v>
      </c>
      <c r="G4" s="2">
        <v>18571</v>
      </c>
      <c r="H4" s="2">
        <v>0</v>
      </c>
      <c r="I4" s="2">
        <v>0</v>
      </c>
      <c r="J4" s="2">
        <v>0</v>
      </c>
      <c r="K4" s="2" t="s">
        <v>25</v>
      </c>
      <c r="L4" s="4">
        <v>171.78</v>
      </c>
      <c r="M4" s="2"/>
      <c r="N4" t="s">
        <v>290</v>
      </c>
      <c r="O4" t="s">
        <v>311</v>
      </c>
    </row>
    <row r="5" spans="1:15" ht="79.2" x14ac:dyDescent="0.3">
      <c r="A5" s="2" t="s">
        <v>36</v>
      </c>
      <c r="B5" s="2" t="str">
        <f>HYPERLINK("https://www.indianapolismonthly.com/arts-and-culture/sports/george-padgen-exits-indy-ignite/")</f>
        <v>https://www.indianapolismonthly.com/arts-and-culture/sports/george-padgen-exits-indy-ignite/</v>
      </c>
      <c r="C5" s="2" t="s">
        <v>33</v>
      </c>
      <c r="D5" s="2" t="s">
        <v>34</v>
      </c>
      <c r="E5" s="5">
        <v>45803.208553240736</v>
      </c>
      <c r="F5" s="2" t="s">
        <v>35</v>
      </c>
      <c r="G5" s="2">
        <v>18571</v>
      </c>
      <c r="H5" s="2">
        <v>0</v>
      </c>
      <c r="I5" s="2">
        <v>0</v>
      </c>
      <c r="J5" s="2">
        <v>0</v>
      </c>
      <c r="K5" s="2" t="s">
        <v>25</v>
      </c>
      <c r="L5" s="4">
        <v>171.78</v>
      </c>
      <c r="M5" s="2"/>
      <c r="N5" t="s">
        <v>290</v>
      </c>
      <c r="O5" t="s">
        <v>311</v>
      </c>
    </row>
    <row r="6" spans="1:15" ht="79.2" x14ac:dyDescent="0.3">
      <c r="A6" s="2" t="s">
        <v>37</v>
      </c>
      <c r="B6" s="2" t="str">
        <f>HYPERLINK("https://www.interestingfootball.com/2025/05/who-owns-indy-ignite-owners-net-worth.html")</f>
        <v>https://www.interestingfootball.com/2025/05/who-owns-indy-ignite-owners-net-worth.html</v>
      </c>
      <c r="C6" s="2"/>
      <c r="D6" s="2" t="s">
        <v>38</v>
      </c>
      <c r="E6" s="5">
        <v>45802.795671296299</v>
      </c>
      <c r="F6" s="2" t="s">
        <v>39</v>
      </c>
      <c r="G6" s="2">
        <v>848</v>
      </c>
      <c r="H6" s="2">
        <v>0</v>
      </c>
      <c r="I6" s="2">
        <v>0</v>
      </c>
      <c r="J6" s="2">
        <v>0</v>
      </c>
      <c r="K6" s="2" t="s">
        <v>25</v>
      </c>
      <c r="L6" s="4">
        <v>7.84</v>
      </c>
      <c r="M6" s="2"/>
      <c r="N6" t="s">
        <v>304</v>
      </c>
      <c r="O6" t="s">
        <v>310</v>
      </c>
    </row>
    <row r="7" spans="1:15" ht="105.6" x14ac:dyDescent="0.3">
      <c r="A7" s="2" t="s">
        <v>40</v>
      </c>
      <c r="B7" s="2" t="str">
        <f>HYPERLINK("https://www.newsbreak.com/news/4019065225305-lilly-s-support-fuels-indy-ignite-s-community-volleyball-debut")</f>
        <v>https://www.newsbreak.com/news/4019065225305-lilly-s-support-fuels-indy-ignite-s-community-volleyball-debut</v>
      </c>
      <c r="C7" s="2"/>
      <c r="D7" s="2" t="s">
        <v>41</v>
      </c>
      <c r="E7" s="5">
        <v>45800.199178240742</v>
      </c>
      <c r="F7" s="2" t="s">
        <v>42</v>
      </c>
      <c r="G7" s="2">
        <v>18777858</v>
      </c>
      <c r="H7" s="2"/>
      <c r="I7" s="2"/>
      <c r="J7" s="2"/>
      <c r="K7" s="2" t="s">
        <v>25</v>
      </c>
      <c r="L7" s="4">
        <v>173695.19</v>
      </c>
      <c r="M7" s="2"/>
      <c r="N7" t="s">
        <v>291</v>
      </c>
      <c r="O7" t="s">
        <v>291</v>
      </c>
    </row>
    <row r="8" spans="1:15" ht="66" x14ac:dyDescent="0.3">
      <c r="A8" s="2" t="s">
        <v>43</v>
      </c>
      <c r="B8" s="2" t="str">
        <f>HYPERLINK("https://indianapolisrecorder.com/lilly-supports-indy-ignite/")</f>
        <v>https://indianapolisrecorder.com/lilly-supports-indy-ignite/</v>
      </c>
      <c r="C8" s="2" t="s">
        <v>44</v>
      </c>
      <c r="D8" s="2" t="s">
        <v>45</v>
      </c>
      <c r="E8" s="5">
        <v>45799.495925925927</v>
      </c>
      <c r="F8" s="2" t="s">
        <v>46</v>
      </c>
      <c r="G8" s="2"/>
      <c r="H8" s="2">
        <v>0</v>
      </c>
      <c r="I8" s="2">
        <v>0</v>
      </c>
      <c r="J8" s="2">
        <v>1</v>
      </c>
      <c r="K8" s="2" t="s">
        <v>25</v>
      </c>
      <c r="L8" s="4">
        <v>15</v>
      </c>
      <c r="M8" s="2"/>
      <c r="N8" t="s">
        <v>290</v>
      </c>
      <c r="O8" t="s">
        <v>311</v>
      </c>
    </row>
    <row r="9" spans="1:15" ht="66" x14ac:dyDescent="0.3">
      <c r="A9" s="2" t="s">
        <v>47</v>
      </c>
      <c r="B9" s="2" t="str">
        <f>HYPERLINK("https://www.sportskeeda.com/us/olympics/news-anna-debeer-s-indy-ignite-witness-major-change-head-coach-s-decision-successful-pvf-season")</f>
        <v>https://www.sportskeeda.com/us/olympics/news-anna-debeer-s-indy-ignite-witness-major-change-head-coach-s-decision-successful-pvf-season</v>
      </c>
      <c r="C9" s="2" t="s">
        <v>48</v>
      </c>
      <c r="D9" s="2" t="s">
        <v>24</v>
      </c>
      <c r="E9" s="5">
        <v>45797.302083333343</v>
      </c>
      <c r="F9" s="2" t="s">
        <v>49</v>
      </c>
      <c r="G9" s="2">
        <v>22242243</v>
      </c>
      <c r="H9" s="2">
        <v>0</v>
      </c>
      <c r="I9" s="2">
        <v>0</v>
      </c>
      <c r="J9" s="2">
        <v>0</v>
      </c>
      <c r="K9" s="2" t="s">
        <v>25</v>
      </c>
      <c r="L9" s="4">
        <v>205740.75</v>
      </c>
      <c r="M9" s="2"/>
      <c r="N9" t="s">
        <v>304</v>
      </c>
      <c r="O9" t="s">
        <v>310</v>
      </c>
    </row>
    <row r="10" spans="1:15" ht="250.8" x14ac:dyDescent="0.3">
      <c r="A10" s="2" t="s">
        <v>50</v>
      </c>
      <c r="B10" s="2" t="str">
        <f>HYPERLINK("https://www.oursportscentral.com/services/releases/last-week-around-the-leagues/n-6229833")</f>
        <v>https://www.oursportscentral.com/services/releases/last-week-around-the-leagues/n-6229833</v>
      </c>
      <c r="C10" s="2" t="s">
        <v>51</v>
      </c>
      <c r="D10" s="2" t="s">
        <v>52</v>
      </c>
      <c r="E10" s="5">
        <v>45796.923437500001</v>
      </c>
      <c r="F10" s="2" t="s">
        <v>53</v>
      </c>
      <c r="G10" s="2">
        <v>40402</v>
      </c>
      <c r="H10" s="2">
        <v>0</v>
      </c>
      <c r="I10" s="2">
        <v>0</v>
      </c>
      <c r="J10" s="2">
        <v>11</v>
      </c>
      <c r="K10" s="2" t="s">
        <v>25</v>
      </c>
      <c r="L10" s="4">
        <v>373.72</v>
      </c>
      <c r="M10" s="2"/>
      <c r="N10" t="s">
        <v>291</v>
      </c>
      <c r="O10" t="s">
        <v>291</v>
      </c>
    </row>
    <row r="11" spans="1:15" ht="39.6" x14ac:dyDescent="0.3">
      <c r="A11" s="2" t="s">
        <v>54</v>
      </c>
      <c r="B11" s="2" t="str">
        <f>HYPERLINK("https://youarecurrent.com/2025/05/19/indy-ignite-head-coach-steps-down/")</f>
        <v>https://youarecurrent.com/2025/05/19/indy-ignite-head-coach-steps-down/</v>
      </c>
      <c r="C11" s="2"/>
      <c r="D11" s="2" t="s">
        <v>55</v>
      </c>
      <c r="E11" s="5">
        <v>45796.646678240737</v>
      </c>
      <c r="F11" s="2" t="s">
        <v>56</v>
      </c>
      <c r="G11" s="2">
        <v>42558</v>
      </c>
      <c r="H11" s="2">
        <v>0</v>
      </c>
      <c r="I11" s="2">
        <v>0</v>
      </c>
      <c r="J11" s="2">
        <v>1</v>
      </c>
      <c r="K11" s="2" t="s">
        <v>25</v>
      </c>
      <c r="L11" s="4">
        <v>393.66</v>
      </c>
      <c r="M11" s="2"/>
      <c r="N11" t="s">
        <v>290</v>
      </c>
      <c r="O11" t="s">
        <v>311</v>
      </c>
    </row>
    <row r="12" spans="1:15" ht="79.2" x14ac:dyDescent="0.3">
      <c r="A12" s="2" t="s">
        <v>57</v>
      </c>
      <c r="B12" s="2" t="str">
        <f>HYPERLINK("https://indianapolisrecorder.com/indy-ignite-seeks-new-head-coach/")</f>
        <v>https://indianapolisrecorder.com/indy-ignite-seeks-new-head-coach/</v>
      </c>
      <c r="C12" s="2" t="s">
        <v>58</v>
      </c>
      <c r="D12" s="2" t="s">
        <v>45</v>
      </c>
      <c r="E12" s="5">
        <v>45796.622789351852</v>
      </c>
      <c r="F12" s="2" t="s">
        <v>59</v>
      </c>
      <c r="G12" s="2"/>
      <c r="H12" s="2">
        <v>0</v>
      </c>
      <c r="I12" s="2">
        <v>0</v>
      </c>
      <c r="J12" s="2">
        <v>0</v>
      </c>
      <c r="K12" s="2" t="s">
        <v>25</v>
      </c>
      <c r="L12" s="4">
        <v>15</v>
      </c>
      <c r="M12" s="2"/>
      <c r="N12" t="s">
        <v>290</v>
      </c>
      <c r="O12" t="s">
        <v>311</v>
      </c>
    </row>
    <row r="13" spans="1:15" ht="92.4" x14ac:dyDescent="0.3">
      <c r="A13" s="2" t="s">
        <v>60</v>
      </c>
      <c r="B13" s="2" t="str">
        <f>HYPERLINK("https://www.wishtv.com/news/local-news/indiana-ignite-coach-padjen-resigns/")</f>
        <v>https://www.wishtv.com/news/local-news/indiana-ignite-coach-padjen-resigns/</v>
      </c>
      <c r="C13" s="2" t="s">
        <v>61</v>
      </c>
      <c r="D13" s="2" t="s">
        <v>62</v>
      </c>
      <c r="E13" s="5">
        <v>45796.490324074082</v>
      </c>
      <c r="F13" s="2" t="s">
        <v>63</v>
      </c>
      <c r="G13" s="2"/>
      <c r="H13" s="2">
        <v>0</v>
      </c>
      <c r="I13" s="2">
        <v>0</v>
      </c>
      <c r="J13" s="2">
        <v>0</v>
      </c>
      <c r="K13" s="2" t="s">
        <v>64</v>
      </c>
      <c r="L13" s="4">
        <v>258.95</v>
      </c>
      <c r="M13" s="2"/>
      <c r="N13" t="s">
        <v>290</v>
      </c>
      <c r="O13" t="s">
        <v>311</v>
      </c>
    </row>
    <row r="14" spans="1:15" ht="66" x14ac:dyDescent="0.3">
      <c r="A14" s="2" t="s">
        <v>65</v>
      </c>
      <c r="B14" s="2" t="str">
        <f>HYPERLINK("https://www.ibj.com/articles/indy-ignite-coach-steps-down-after-one-year-with-team")</f>
        <v>https://www.ibj.com/articles/indy-ignite-coach-steps-down-after-one-year-with-team</v>
      </c>
      <c r="C14" s="2"/>
      <c r="D14" s="2" t="s">
        <v>66</v>
      </c>
      <c r="E14" s="5">
        <v>45796.475995370369</v>
      </c>
      <c r="F14" s="2" t="s">
        <v>67</v>
      </c>
      <c r="G14" s="2">
        <v>112057</v>
      </c>
      <c r="H14" s="2">
        <v>0</v>
      </c>
      <c r="I14" s="2">
        <v>0</v>
      </c>
      <c r="J14" s="2">
        <v>0</v>
      </c>
      <c r="K14" s="2" t="s">
        <v>25</v>
      </c>
      <c r="L14" s="4">
        <v>1036.53</v>
      </c>
      <c r="M14" s="2"/>
      <c r="N14" t="s">
        <v>290</v>
      </c>
      <c r="O14" t="s">
        <v>311</v>
      </c>
    </row>
    <row r="15" spans="1:15" ht="92.4" x14ac:dyDescent="0.3">
      <c r="A15" s="2" t="s">
        <v>68</v>
      </c>
      <c r="B15" s="2" t="str">
        <f>HYPERLINK("https://www.wthr.com/article/sports/indy-ignite-head-coach-george-padjen-resigns-successful-inaugural-season-pro-volleyball-federation-championship-indianapolis-indiana-sports/531-d1775720-54e7-42b3-9ddb-256531b5aa0f")</f>
        <v>https://www.wthr.com/article/sports/indy-ignite-head-coach-george-padjen-resigns-successful-inaugural-season-pro-volleyball-federation-championship-indianapolis-indiana-sports/531-d1775720-54e7-42b3-9ddb-256531b5aa0f</v>
      </c>
      <c r="C15" s="2"/>
      <c r="D15" s="2" t="s">
        <v>69</v>
      </c>
      <c r="E15" s="5">
        <v>45796.43949074074</v>
      </c>
      <c r="F15" s="2" t="s">
        <v>70</v>
      </c>
      <c r="G15" s="2">
        <v>1222012</v>
      </c>
      <c r="H15" s="2">
        <v>0</v>
      </c>
      <c r="I15" s="2">
        <v>0</v>
      </c>
      <c r="J15" s="2">
        <v>16</v>
      </c>
      <c r="K15" s="2" t="s">
        <v>25</v>
      </c>
      <c r="L15" s="4">
        <v>11303.61</v>
      </c>
      <c r="M15" s="2"/>
      <c r="N15" t="s">
        <v>290</v>
      </c>
      <c r="O15" t="s">
        <v>311</v>
      </c>
    </row>
    <row r="16" spans="1:15" ht="92.4" x14ac:dyDescent="0.3">
      <c r="A16" s="2" t="s">
        <v>71</v>
      </c>
      <c r="B16" s="2" t="str">
        <f>HYPERLINK("https://www.indystar.com/story/sports/2025/05/19/george-padjen-resigns-as-indy-ignite-volleyball-coach/83722059007/")</f>
        <v>https://www.indystar.com/story/sports/2025/05/19/george-padjen-resigns-as-indy-ignite-volleyball-coach/83722059007/</v>
      </c>
      <c r="C16" s="2" t="s">
        <v>72</v>
      </c>
      <c r="D16" s="2" t="s">
        <v>73</v>
      </c>
      <c r="E16" s="5">
        <v>45796.425069444442</v>
      </c>
      <c r="F16" s="2" t="s">
        <v>74</v>
      </c>
      <c r="G16" s="2">
        <v>3061566</v>
      </c>
      <c r="H16" s="2">
        <v>0</v>
      </c>
      <c r="I16" s="2">
        <v>0</v>
      </c>
      <c r="J16" s="2">
        <v>1</v>
      </c>
      <c r="K16" s="2" t="s">
        <v>75</v>
      </c>
      <c r="L16" s="4">
        <v>28319.49</v>
      </c>
      <c r="M16" s="2"/>
      <c r="N16" t="s">
        <v>290</v>
      </c>
      <c r="O16" t="s">
        <v>311</v>
      </c>
    </row>
    <row r="17" spans="1:15" ht="92.4" x14ac:dyDescent="0.3">
      <c r="A17" s="2" t="s">
        <v>76</v>
      </c>
      <c r="B17" s="2" t="str">
        <f>HYPERLINK("https://www.oursportscentral.com/services/releases/indy-ignite-begin-search-for-new-head-coach/n-6229648")</f>
        <v>https://www.oursportscentral.com/services/releases/indy-ignite-begin-search-for-new-head-coach/n-6229648</v>
      </c>
      <c r="C17" s="2"/>
      <c r="D17" s="2" t="s">
        <v>52</v>
      </c>
      <c r="E17" s="5">
        <v>45796.382291666669</v>
      </c>
      <c r="F17" s="2" t="s">
        <v>77</v>
      </c>
      <c r="G17" s="2">
        <v>40402</v>
      </c>
      <c r="H17" s="2">
        <v>0</v>
      </c>
      <c r="I17" s="2">
        <v>0</v>
      </c>
      <c r="J17" s="2">
        <v>0</v>
      </c>
      <c r="K17" s="2" t="s">
        <v>25</v>
      </c>
      <c r="L17" s="4">
        <v>373.72</v>
      </c>
      <c r="M17" s="2"/>
      <c r="N17" t="s">
        <v>291</v>
      </c>
      <c r="O17" t="s">
        <v>291</v>
      </c>
    </row>
    <row r="18" spans="1:15" ht="39.6" x14ac:dyDescent="0.3">
      <c r="A18" s="2" t="s">
        <v>65</v>
      </c>
      <c r="B18" s="2" t="str">
        <f>HYPERLINK("https://article.wn.com/view/2025/05/19/Indy_Ignite_coach_steps_down_after_one_year_with_team/")</f>
        <v>https://article.wn.com/view/2025/05/19/Indy_Ignite_coach_steps_down_after_one_year_with_team/</v>
      </c>
      <c r="C18" s="2"/>
      <c r="D18" s="2" t="s">
        <v>78</v>
      </c>
      <c r="E18" s="5">
        <v>45796</v>
      </c>
      <c r="F18" s="2"/>
      <c r="G18" s="2">
        <v>185918</v>
      </c>
      <c r="H18" s="2"/>
      <c r="I18" s="2"/>
      <c r="J18" s="2"/>
      <c r="K18" s="2"/>
      <c r="L18" s="4">
        <v>1719.74</v>
      </c>
      <c r="M18" s="2"/>
      <c r="N18" t="s">
        <v>304</v>
      </c>
      <c r="O18" t="s">
        <v>310</v>
      </c>
    </row>
    <row r="19" spans="1:15" ht="39.6" x14ac:dyDescent="0.3">
      <c r="A19" s="2" t="s">
        <v>57</v>
      </c>
      <c r="B19" s="2" t="str">
        <f>HYPERLINK("https://article.wn.com/view/2025/05/19/Indy_Ignite_initiates_search_for_new_head_coach/")</f>
        <v>https://article.wn.com/view/2025/05/19/Indy_Ignite_initiates_search_for_new_head_coach/</v>
      </c>
      <c r="C19" s="2"/>
      <c r="D19" s="2" t="s">
        <v>78</v>
      </c>
      <c r="E19" s="5">
        <v>45796</v>
      </c>
      <c r="F19" s="2"/>
      <c r="G19" s="2">
        <v>185918</v>
      </c>
      <c r="H19" s="2"/>
      <c r="I19" s="2"/>
      <c r="J19" s="2"/>
      <c r="K19" s="2"/>
      <c r="L19" s="4">
        <v>1719.74</v>
      </c>
      <c r="M19" s="2"/>
      <c r="N19" t="s">
        <v>304</v>
      </c>
      <c r="O19" t="s">
        <v>310</v>
      </c>
    </row>
    <row r="20" spans="1:15" ht="39.6" x14ac:dyDescent="0.3">
      <c r="A20" s="2" t="s">
        <v>81</v>
      </c>
      <c r="B20" s="2" t="str">
        <f>HYPERLINK("https://www.youarecurrent.com/2025/05/17/ignite-catch-fire-in-inaugural-season/")</f>
        <v>https://www.youarecurrent.com/2025/05/17/ignite-catch-fire-in-inaugural-season/</v>
      </c>
      <c r="C20" s="2" t="s">
        <v>82</v>
      </c>
      <c r="D20" s="2" t="s">
        <v>55</v>
      </c>
      <c r="E20" s="5">
        <v>45794.581782407397</v>
      </c>
      <c r="F20" s="2" t="s">
        <v>83</v>
      </c>
      <c r="G20" s="2">
        <v>42558</v>
      </c>
      <c r="H20" s="2">
        <v>0</v>
      </c>
      <c r="I20" s="2">
        <v>0</v>
      </c>
      <c r="J20" s="2">
        <v>2</v>
      </c>
      <c r="K20" s="2" t="s">
        <v>64</v>
      </c>
      <c r="L20" s="4">
        <v>393.66</v>
      </c>
      <c r="M20" s="2"/>
      <c r="N20" t="s">
        <v>290</v>
      </c>
      <c r="O20" t="s">
        <v>311</v>
      </c>
    </row>
    <row r="21" spans="1:15" ht="237.6" x14ac:dyDescent="0.3">
      <c r="A21" s="2" t="s">
        <v>84</v>
      </c>
      <c r="B21" s="2" t="str">
        <f>HYPERLINK("https://www.oursportscentral.com/services/releases/upon-review-its-unanimous-ignite-had-great-first-season/n-6228423")</f>
        <v>https://www.oursportscentral.com/services/releases/upon-review-its-unanimous-ignite-had-great-first-season/n-6228423</v>
      </c>
      <c r="C21" s="2"/>
      <c r="D21" s="2" t="s">
        <v>52</v>
      </c>
      <c r="E21" s="5">
        <v>45793.669525462959</v>
      </c>
      <c r="F21" s="2" t="s">
        <v>85</v>
      </c>
      <c r="G21" s="2">
        <v>40402</v>
      </c>
      <c r="H21" s="2">
        <v>0</v>
      </c>
      <c r="I21" s="2">
        <v>0</v>
      </c>
      <c r="J21" s="2">
        <v>0</v>
      </c>
      <c r="K21" s="2" t="s">
        <v>25</v>
      </c>
      <c r="L21" s="4">
        <v>373.72</v>
      </c>
      <c r="M21" s="2"/>
      <c r="N21" t="s">
        <v>291</v>
      </c>
      <c r="O21" t="s">
        <v>291</v>
      </c>
    </row>
    <row r="22" spans="1:15" ht="198" x14ac:dyDescent="0.3">
      <c r="A22" s="2" t="s">
        <v>86</v>
      </c>
      <c r="B22" s="2" t="str">
        <f>HYPERLINK("https://www.oursportscentral.com/services/releases/lilly-supports-community-engagement-through-sponsorship-of-indy-ignites-inaugural-season/n-6228346")</f>
        <v>https://www.oursportscentral.com/services/releases/lilly-supports-community-engagement-through-sponsorship-of-indy-ignites-inaugural-season/n-6228346</v>
      </c>
      <c r="C22" s="2"/>
      <c r="D22" s="2" t="s">
        <v>52</v>
      </c>
      <c r="E22" s="5">
        <v>45793.652743055558</v>
      </c>
      <c r="F22" s="2" t="s">
        <v>87</v>
      </c>
      <c r="G22" s="2">
        <v>40402</v>
      </c>
      <c r="H22" s="2">
        <v>0</v>
      </c>
      <c r="I22" s="2">
        <v>0</v>
      </c>
      <c r="J22" s="2">
        <v>0</v>
      </c>
      <c r="K22" s="2" t="s">
        <v>25</v>
      </c>
      <c r="L22" s="4">
        <v>373.72</v>
      </c>
      <c r="M22" s="2"/>
      <c r="N22" t="s">
        <v>291</v>
      </c>
      <c r="O22" t="s">
        <v>291</v>
      </c>
    </row>
    <row r="23" spans="1:15" ht="79.2" x14ac:dyDescent="0.3">
      <c r="A23" s="2" t="s">
        <v>88</v>
      </c>
      <c r="B23" s="2" t="str">
        <f>HYPERLINK("https://www.avca.org/blog/at-the-net-may-21-2025/")</f>
        <v>https://www.avca.org/blog/at-the-net-may-21-2025/</v>
      </c>
      <c r="C23" s="2"/>
      <c r="D23" s="2" t="s">
        <v>89</v>
      </c>
      <c r="E23" s="5">
        <v>45792</v>
      </c>
      <c r="F23" s="2" t="s">
        <v>90</v>
      </c>
      <c r="G23" s="2">
        <v>47669</v>
      </c>
      <c r="H23" s="2">
        <v>0</v>
      </c>
      <c r="I23" s="2">
        <v>0</v>
      </c>
      <c r="J23" s="2">
        <v>0</v>
      </c>
      <c r="K23" s="2" t="s">
        <v>25</v>
      </c>
      <c r="L23" s="4">
        <v>440.94</v>
      </c>
      <c r="M23" s="2"/>
      <c r="N23" t="s">
        <v>291</v>
      </c>
      <c r="O23" t="s">
        <v>291</v>
      </c>
    </row>
    <row r="24" spans="1:15" ht="92.4" x14ac:dyDescent="0.3">
      <c r="A24" s="2" t="s">
        <v>91</v>
      </c>
      <c r="B24" s="2" t="str">
        <f>HYPERLINK("https://www.greenfieldreporter.com/2025/05/14/indy-ignite-fall-short-in-pvf-title-game/")</f>
        <v>https://www.greenfieldreporter.com/2025/05/14/indy-ignite-fall-short-in-pvf-title-game/</v>
      </c>
      <c r="C24" s="2"/>
      <c r="D24" s="2" t="s">
        <v>92</v>
      </c>
      <c r="E24" s="5">
        <v>45791.290277777778</v>
      </c>
      <c r="F24" s="2" t="s">
        <v>93</v>
      </c>
      <c r="G24" s="2">
        <v>43328</v>
      </c>
      <c r="H24" s="2">
        <v>0</v>
      </c>
      <c r="I24" s="2">
        <v>0</v>
      </c>
      <c r="J24" s="2">
        <v>8</v>
      </c>
      <c r="K24" s="2" t="s">
        <v>64</v>
      </c>
      <c r="L24" s="4">
        <v>400.78</v>
      </c>
      <c r="M24" s="2"/>
      <c r="N24" t="s">
        <v>292</v>
      </c>
      <c r="O24" t="s">
        <v>311</v>
      </c>
    </row>
    <row r="25" spans="1:15" ht="79.2" x14ac:dyDescent="0.3">
      <c r="A25" s="2" t="s">
        <v>94</v>
      </c>
      <c r="B25" s="2" t="str">
        <f>HYPERLINK("https://www.indianapolismonthly.com/arts-and-culture/entertainment/fishers-event-center-know-before-you-go/")</f>
        <v>https://www.indianapolismonthly.com/arts-and-culture/entertainment/fishers-event-center-know-before-you-go/</v>
      </c>
      <c r="C25" s="2"/>
      <c r="D25" s="2" t="s">
        <v>34</v>
      </c>
      <c r="E25" s="5">
        <v>45791.227789351848</v>
      </c>
      <c r="F25" s="2" t="s">
        <v>95</v>
      </c>
      <c r="G25" s="2">
        <v>18571</v>
      </c>
      <c r="H25" s="2">
        <v>0</v>
      </c>
      <c r="I25" s="2">
        <v>0</v>
      </c>
      <c r="J25" s="2">
        <v>0</v>
      </c>
      <c r="K25" s="2" t="s">
        <v>75</v>
      </c>
      <c r="L25" s="4">
        <v>171.78</v>
      </c>
      <c r="M25" s="2"/>
      <c r="N25" t="s">
        <v>290</v>
      </c>
      <c r="O25" t="s">
        <v>311</v>
      </c>
    </row>
    <row r="26" spans="1:15" ht="26.4" x14ac:dyDescent="0.3">
      <c r="A26" s="2" t="s">
        <v>97</v>
      </c>
      <c r="B26" s="2" t="str">
        <f>HYPERLINK("https://usa.shafaqna.com/EN/AL/7444276")</f>
        <v>https://usa.shafaqna.com/EN/AL/7444276</v>
      </c>
      <c r="C26" s="2"/>
      <c r="D26" s="2" t="s">
        <v>98</v>
      </c>
      <c r="E26" s="5">
        <v>45789.966331018521</v>
      </c>
      <c r="F26" s="2"/>
      <c r="G26" s="2">
        <v>189848</v>
      </c>
      <c r="H26" s="2">
        <v>0</v>
      </c>
      <c r="I26" s="2">
        <v>0</v>
      </c>
      <c r="J26" s="2">
        <v>0</v>
      </c>
      <c r="K26" s="2"/>
      <c r="L26" s="4">
        <v>1756.09</v>
      </c>
      <c r="M26" s="2"/>
      <c r="N26" t="s">
        <v>305</v>
      </c>
      <c r="O26" t="s">
        <v>310</v>
      </c>
    </row>
    <row r="27" spans="1:15" ht="105.6" x14ac:dyDescent="0.3">
      <c r="A27" s="2" t="s">
        <v>50</v>
      </c>
      <c r="B27" s="2" t="str">
        <f>HYPERLINK("https://www.oursportscentral.com/services/releases/last-week-around-the-leagues/n-6226791")</f>
        <v>https://www.oursportscentral.com/services/releases/last-week-around-the-leagues/n-6226791</v>
      </c>
      <c r="C27" s="2" t="s">
        <v>51</v>
      </c>
      <c r="D27" s="2" t="s">
        <v>52</v>
      </c>
      <c r="E27" s="5">
        <v>45789.938125000001</v>
      </c>
      <c r="F27" s="2" t="s">
        <v>99</v>
      </c>
      <c r="G27" s="2">
        <v>40402</v>
      </c>
      <c r="H27" s="2">
        <v>0</v>
      </c>
      <c r="I27" s="2">
        <v>0</v>
      </c>
      <c r="J27" s="2">
        <v>43</v>
      </c>
      <c r="K27" s="2" t="s">
        <v>25</v>
      </c>
      <c r="L27" s="4">
        <v>373.72</v>
      </c>
      <c r="M27" s="2"/>
      <c r="N27" t="s">
        <v>291</v>
      </c>
      <c r="O27" t="s">
        <v>291</v>
      </c>
    </row>
    <row r="28" spans="1:15" ht="92.4" x14ac:dyDescent="0.3">
      <c r="A28" s="2" t="s">
        <v>100</v>
      </c>
      <c r="B28" s="2" t="str">
        <f>HYPERLINK("https://www.wrtv.com/sports/indy-ignite-finish-debut-season-as-pvf-runner-up")</f>
        <v>https://www.wrtv.com/sports/indy-ignite-finish-debut-season-as-pvf-runner-up</v>
      </c>
      <c r="C28" s="2" t="s">
        <v>101</v>
      </c>
      <c r="D28" s="2" t="s">
        <v>102</v>
      </c>
      <c r="E28" s="5">
        <v>45789.923032407409</v>
      </c>
      <c r="F28" s="2" t="s">
        <v>103</v>
      </c>
      <c r="G28" s="2">
        <v>290626</v>
      </c>
      <c r="H28" s="2">
        <v>0</v>
      </c>
      <c r="I28" s="2">
        <v>0</v>
      </c>
      <c r="J28" s="2">
        <v>5</v>
      </c>
      <c r="K28" s="2" t="s">
        <v>25</v>
      </c>
      <c r="L28" s="4">
        <v>2688.29</v>
      </c>
      <c r="M28" s="2"/>
      <c r="N28" t="s">
        <v>290</v>
      </c>
      <c r="O28" t="s">
        <v>311</v>
      </c>
    </row>
    <row r="29" spans="1:15" ht="52.8" x14ac:dyDescent="0.3">
      <c r="A29" s="2" t="s">
        <v>97</v>
      </c>
      <c r="B29" s="2" t="str">
        <f>HYPERLINK("https://hallaback.com/orlando-valkyries-beat-out-indy-ignite-to-win-2025-pro-volleyball-federation-championship-389185.html")</f>
        <v>https://hallaback.com/orlando-valkyries-beat-out-indy-ignite-to-win-2025-pro-volleyball-federation-championship-389185.html</v>
      </c>
      <c r="C29" s="2"/>
      <c r="D29" s="2" t="s">
        <v>105</v>
      </c>
      <c r="E29" s="5">
        <v>45789.481469907398</v>
      </c>
      <c r="F29" s="2" t="s">
        <v>106</v>
      </c>
      <c r="G29" s="2">
        <v>0</v>
      </c>
      <c r="H29" s="2">
        <v>0</v>
      </c>
      <c r="I29" s="2">
        <v>0</v>
      </c>
      <c r="J29" s="2">
        <v>0</v>
      </c>
      <c r="K29" s="2" t="s">
        <v>25</v>
      </c>
      <c r="L29" s="2"/>
      <c r="M29" s="2"/>
      <c r="N29" t="s">
        <v>291</v>
      </c>
      <c r="O29" t="s">
        <v>291</v>
      </c>
    </row>
    <row r="30" spans="1:15" ht="409.6" x14ac:dyDescent="0.3">
      <c r="A30" s="2" t="s">
        <v>97</v>
      </c>
      <c r="B30" s="2" t="str">
        <f>HYPERLINK("https://www.cbsnews.com/video/orlando-valkyries-beat-out-indy-ignite-to-win-2025-pro-volleyball-federation-championship/")</f>
        <v>https://www.cbsnews.com/video/orlando-valkyries-beat-out-indy-ignite-to-win-2025-pro-volleyball-federation-championship/</v>
      </c>
      <c r="C30" s="2"/>
      <c r="D30" s="2" t="s">
        <v>107</v>
      </c>
      <c r="E30" s="5">
        <v>45789.472488425927</v>
      </c>
      <c r="F30" s="2" t="s">
        <v>108</v>
      </c>
      <c r="G30" s="2">
        <v>44467019</v>
      </c>
      <c r="H30" s="2">
        <v>0</v>
      </c>
      <c r="I30" s="2">
        <v>0</v>
      </c>
      <c r="J30" s="2">
        <v>0</v>
      </c>
      <c r="K30" s="2" t="s">
        <v>25</v>
      </c>
      <c r="L30" s="4">
        <v>411319.93</v>
      </c>
      <c r="M30" s="2"/>
      <c r="N30" t="s">
        <v>291</v>
      </c>
      <c r="O30" t="s">
        <v>291</v>
      </c>
    </row>
    <row r="31" spans="1:15" ht="66" x14ac:dyDescent="0.3">
      <c r="A31" s="2" t="s">
        <v>109</v>
      </c>
      <c r="B31" s="2" t="str">
        <f>HYPERLINK("https://www.ibj.com/articles/indy-ignite-fall-short-in-pro-volleyball-federation-championship-game")</f>
        <v>https://www.ibj.com/articles/indy-ignite-fall-short-in-pro-volleyball-federation-championship-game</v>
      </c>
      <c r="C31" s="2"/>
      <c r="D31" s="2" t="s">
        <v>66</v>
      </c>
      <c r="E31" s="5">
        <v>45788.964375000003</v>
      </c>
      <c r="F31" s="2" t="s">
        <v>67</v>
      </c>
      <c r="G31" s="2">
        <v>112057</v>
      </c>
      <c r="H31" s="2">
        <v>0</v>
      </c>
      <c r="I31" s="2">
        <v>0</v>
      </c>
      <c r="J31" s="2">
        <v>0</v>
      </c>
      <c r="K31" s="2" t="s">
        <v>25</v>
      </c>
      <c r="L31" s="4">
        <v>1036.53</v>
      </c>
      <c r="M31" s="2"/>
      <c r="N31" t="s">
        <v>290</v>
      </c>
      <c r="O31" t="s">
        <v>311</v>
      </c>
    </row>
    <row r="32" spans="1:15" ht="92.4" x14ac:dyDescent="0.3">
      <c r="A32" s="2" t="s">
        <v>110</v>
      </c>
      <c r="B32" s="2" t="str">
        <f>HYPERLINK("https://www.oursportscentral.com/services/releases/not-the-ending-they-wanted-but-ignite-take-pride-in-pvf-runner-up-finish/n-6226452")</f>
        <v>https://www.oursportscentral.com/services/releases/not-the-ending-they-wanted-but-ignite-take-pride-in-pvf-runner-up-finish/n-6226452</v>
      </c>
      <c r="C32" s="2"/>
      <c r="D32" s="2" t="s">
        <v>52</v>
      </c>
      <c r="E32" s="5">
        <v>45788.924120370371</v>
      </c>
      <c r="F32" s="2" t="s">
        <v>111</v>
      </c>
      <c r="G32" s="2">
        <v>40402</v>
      </c>
      <c r="H32" s="2">
        <v>0</v>
      </c>
      <c r="I32" s="2">
        <v>0</v>
      </c>
      <c r="J32" s="2">
        <v>0</v>
      </c>
      <c r="K32" s="2" t="s">
        <v>25</v>
      </c>
      <c r="L32" s="4">
        <v>373.72</v>
      </c>
      <c r="M32" s="2"/>
      <c r="N32" t="s">
        <v>291</v>
      </c>
      <c r="O32" t="s">
        <v>291</v>
      </c>
    </row>
    <row r="33" spans="1:15" ht="211.2" x14ac:dyDescent="0.3">
      <c r="A33" s="2" t="s">
        <v>112</v>
      </c>
      <c r="B33" s="2" t="str">
        <f>HYPERLINK("https://ourcommunitynow.com/P/indy-ignite-finish-as-runner-up-to-orlando-in-inaugural-pro-volleyball-federation-season")</f>
        <v>https://ourcommunitynow.com/P/indy-ignite-finish-as-runner-up-to-orlando-in-inaugural-pro-volleyball-federation-season</v>
      </c>
      <c r="C33" s="2"/>
      <c r="D33" s="2" t="s">
        <v>96</v>
      </c>
      <c r="E33" s="5">
        <v>45788.834282407413</v>
      </c>
      <c r="F33" s="2" t="s">
        <v>113</v>
      </c>
      <c r="G33" s="2">
        <v>8184</v>
      </c>
      <c r="H33" s="2">
        <v>0</v>
      </c>
      <c r="I33" s="2">
        <v>0</v>
      </c>
      <c r="J33" s="2">
        <v>0</v>
      </c>
      <c r="K33" s="2" t="s">
        <v>25</v>
      </c>
      <c r="L33" s="4">
        <v>75.7</v>
      </c>
      <c r="M33" s="2"/>
      <c r="N33" t="s">
        <v>291</v>
      </c>
      <c r="O33" t="s">
        <v>291</v>
      </c>
    </row>
    <row r="34" spans="1:15" ht="92.4" x14ac:dyDescent="0.3">
      <c r="A34" s="2" t="s">
        <v>114</v>
      </c>
      <c r="B34" s="2" t="str">
        <f>HYPERLINK("https://www.wthr.com/article/sports/indy-ignites-drops-pvf-championship-game-to-orlando-valkyries-pro-volleyball-federation/531-8df0d473-e158-4fbc-9458-b8932f8d2530")</f>
        <v>https://www.wthr.com/article/sports/indy-ignites-drops-pvf-championship-game-to-orlando-valkyries-pro-volleyball-federation/531-8df0d473-e158-4fbc-9458-b8932f8d2530</v>
      </c>
      <c r="C34" s="2"/>
      <c r="D34" s="2" t="s">
        <v>69</v>
      </c>
      <c r="E34" s="5">
        <v>45788.785162037027</v>
      </c>
      <c r="F34" s="2" t="s">
        <v>115</v>
      </c>
      <c r="G34" s="2">
        <v>1222012</v>
      </c>
      <c r="H34" s="2">
        <v>0</v>
      </c>
      <c r="I34" s="2">
        <v>0</v>
      </c>
      <c r="J34" s="2">
        <v>0</v>
      </c>
      <c r="K34" s="2" t="s">
        <v>25</v>
      </c>
      <c r="L34" s="4">
        <v>11303.61</v>
      </c>
      <c r="M34" s="2"/>
      <c r="N34" t="s">
        <v>290</v>
      </c>
      <c r="O34" t="s">
        <v>311</v>
      </c>
    </row>
    <row r="35" spans="1:15" ht="92.4" x14ac:dyDescent="0.3">
      <c r="A35" s="2" t="s">
        <v>112</v>
      </c>
      <c r="B35" s="2" t="str">
        <f>HYPERLINK("https://www.indystar.com/story/sports/2025/05/11/pvf-championship-indy-ignite-2025-championship-match-orlando-valkyries/83572113007/")</f>
        <v>https://www.indystar.com/story/sports/2025/05/11/pvf-championship-indy-ignite-2025-championship-match-orlando-valkyries/83572113007/</v>
      </c>
      <c r="C35" s="2" t="s">
        <v>116</v>
      </c>
      <c r="D35" s="2" t="s">
        <v>73</v>
      </c>
      <c r="E35" s="5">
        <v>45788.770046296297</v>
      </c>
      <c r="F35" s="2" t="s">
        <v>117</v>
      </c>
      <c r="G35" s="2">
        <v>3061566</v>
      </c>
      <c r="H35" s="2">
        <v>0</v>
      </c>
      <c r="I35" s="2">
        <v>0</v>
      </c>
      <c r="J35" s="2">
        <v>0</v>
      </c>
      <c r="K35" s="2" t="s">
        <v>75</v>
      </c>
      <c r="L35" s="4">
        <v>28319.49</v>
      </c>
      <c r="M35" s="2"/>
      <c r="N35" t="s">
        <v>290</v>
      </c>
      <c r="O35" t="s">
        <v>311</v>
      </c>
    </row>
    <row r="36" spans="1:15" ht="79.2" x14ac:dyDescent="0.3">
      <c r="A36" s="2" t="s">
        <v>112</v>
      </c>
      <c r="B36" s="2" t="str">
        <f>HYPERLINK("https://sports.yahoo.com/article/indy-ignite-finish-runner-orlando-222358395.html")</f>
        <v>https://sports.yahoo.com/article/indy-ignite-finish-runner-orlando-222358395.html</v>
      </c>
      <c r="C36" s="2"/>
      <c r="D36" s="2" t="s">
        <v>118</v>
      </c>
      <c r="E36" s="5">
        <v>45788.766643518517</v>
      </c>
      <c r="F36" s="2" t="s">
        <v>119</v>
      </c>
      <c r="G36" s="2">
        <v>23172409</v>
      </c>
      <c r="H36" s="2">
        <v>0</v>
      </c>
      <c r="I36" s="2">
        <v>0</v>
      </c>
      <c r="J36" s="2">
        <v>0</v>
      </c>
      <c r="K36" s="2" t="s">
        <v>25</v>
      </c>
      <c r="L36" s="4">
        <v>214344.78</v>
      </c>
      <c r="M36" s="2"/>
      <c r="N36" t="s">
        <v>291</v>
      </c>
      <c r="O36" t="s">
        <v>291</v>
      </c>
    </row>
    <row r="37" spans="1:15" ht="79.2" x14ac:dyDescent="0.3">
      <c r="A37" s="2" t="s">
        <v>112</v>
      </c>
      <c r="B37" s="2" t="str">
        <f>HYPERLINK("https://bluewaterhealthyliving.com/news/national-news/indiana/indy-ignite-finish-as-runner-up-to-orlando-in-inaugural-pro-volleyball-federation-season/")</f>
        <v>https://bluewaterhealthyliving.com/news/national-news/indiana/indy-ignite-finish-as-runner-up-to-orlando-in-inaugural-pro-volleyball-federation-season/</v>
      </c>
      <c r="C37" s="2"/>
      <c r="D37" s="2" t="s">
        <v>120</v>
      </c>
      <c r="E37" s="5">
        <v>45788.599976851852</v>
      </c>
      <c r="F37" s="2" t="s">
        <v>119</v>
      </c>
      <c r="G37" s="2"/>
      <c r="H37" s="2">
        <v>0</v>
      </c>
      <c r="I37" s="2">
        <v>0</v>
      </c>
      <c r="J37" s="2">
        <v>0</v>
      </c>
      <c r="K37" s="2" t="s">
        <v>25</v>
      </c>
      <c r="L37" s="2"/>
      <c r="M37" s="2"/>
      <c r="N37" t="s">
        <v>291</v>
      </c>
      <c r="O37" t="s">
        <v>291</v>
      </c>
    </row>
    <row r="38" spans="1:15" ht="39.6" x14ac:dyDescent="0.3">
      <c r="A38" s="2" t="s">
        <v>122</v>
      </c>
      <c r="B38" s="2" t="str">
        <f>HYPERLINK("https://article.wn.com/view/2025/05/11/Indy_Ignite_earns_berth_in_pro_volleyball_championship_game/")</f>
        <v>https://article.wn.com/view/2025/05/11/Indy_Ignite_earns_berth_in_pro_volleyball_championship_game/</v>
      </c>
      <c r="C38" s="2"/>
      <c r="D38" s="2" t="s">
        <v>78</v>
      </c>
      <c r="E38" s="5">
        <v>45787.881469907406</v>
      </c>
      <c r="F38" s="2"/>
      <c r="G38" s="2">
        <v>185918</v>
      </c>
      <c r="H38" s="2"/>
      <c r="I38" s="2"/>
      <c r="J38" s="2"/>
      <c r="K38" s="2"/>
      <c r="L38" s="4">
        <v>1719.74</v>
      </c>
      <c r="M38" s="2"/>
      <c r="N38" t="s">
        <v>304</v>
      </c>
      <c r="O38" t="s">
        <v>310</v>
      </c>
    </row>
    <row r="39" spans="1:15" ht="66" x14ac:dyDescent="0.3">
      <c r="A39" s="2" t="s">
        <v>123</v>
      </c>
      <c r="B39" s="2" t="str">
        <f>HYPERLINK("https://www.ibj.com/articles/indy-ignite-earns-berth-in-pro-volleyball-championship")</f>
        <v>https://www.ibj.com/articles/indy-ignite-earns-berth-in-pro-volleyball-championship</v>
      </c>
      <c r="C39" s="2"/>
      <c r="D39" s="2" t="s">
        <v>66</v>
      </c>
      <c r="E39" s="5">
        <v>45787.833148148151</v>
      </c>
      <c r="F39" s="2" t="s">
        <v>67</v>
      </c>
      <c r="G39" s="2">
        <v>112057</v>
      </c>
      <c r="H39" s="2">
        <v>0</v>
      </c>
      <c r="I39" s="2">
        <v>0</v>
      </c>
      <c r="J39" s="2">
        <v>0</v>
      </c>
      <c r="K39" s="2" t="s">
        <v>25</v>
      </c>
      <c r="L39" s="4">
        <v>1036.53</v>
      </c>
      <c r="M39" s="2"/>
      <c r="N39" t="s">
        <v>290</v>
      </c>
      <c r="O39" t="s">
        <v>311</v>
      </c>
    </row>
    <row r="40" spans="1:15" ht="105.6" x14ac:dyDescent="0.3">
      <c r="A40" s="2" t="s">
        <v>124</v>
      </c>
      <c r="B40" s="2" t="str">
        <f>HYPERLINK("https://www.oursportscentral.com/services/releases/its-the-million-dollar-question-can-ignite-complete-run-to-pvf-championship/n-6225742")</f>
        <v>https://www.oursportscentral.com/services/releases/its-the-million-dollar-question-can-ignite-complete-run-to-pvf-championship/n-6225742</v>
      </c>
      <c r="C40" s="2"/>
      <c r="D40" s="2" t="s">
        <v>52</v>
      </c>
      <c r="E40" s="5">
        <v>45787.73809027778</v>
      </c>
      <c r="F40" s="2" t="s">
        <v>125</v>
      </c>
      <c r="G40" s="2">
        <v>40402</v>
      </c>
      <c r="H40" s="2">
        <v>0</v>
      </c>
      <c r="I40" s="2">
        <v>0</v>
      </c>
      <c r="J40" s="2">
        <v>0</v>
      </c>
      <c r="K40" s="2" t="s">
        <v>25</v>
      </c>
      <c r="L40" s="4">
        <v>373.72</v>
      </c>
      <c r="M40" s="2"/>
      <c r="N40" t="s">
        <v>291</v>
      </c>
      <c r="O40" t="s">
        <v>291</v>
      </c>
    </row>
    <row r="41" spans="1:15" ht="92.4" x14ac:dyDescent="0.3">
      <c r="A41" s="2" t="s">
        <v>126</v>
      </c>
      <c r="B41" s="2" t="str">
        <f>HYPERLINK("https://www.newsy-today.com/orlando-valkyries-vs-indy-ignite-battle-for-championship-and-1-million-prize-ivolley-magazine/")</f>
        <v>https://www.newsy-today.com/orlando-valkyries-vs-indy-ignite-battle-for-championship-and-1-million-prize-ivolley-magazine/</v>
      </c>
      <c r="C41" s="2"/>
      <c r="D41" s="2" t="s">
        <v>127</v>
      </c>
      <c r="E41" s="5">
        <v>45787.565115740741</v>
      </c>
      <c r="F41" s="2" t="s">
        <v>128</v>
      </c>
      <c r="G41" s="2">
        <v>259</v>
      </c>
      <c r="H41" s="2">
        <v>0</v>
      </c>
      <c r="I41" s="2">
        <v>0</v>
      </c>
      <c r="J41" s="2">
        <v>0</v>
      </c>
      <c r="K41" s="2" t="s">
        <v>25</v>
      </c>
      <c r="L41" s="4">
        <v>2.4</v>
      </c>
      <c r="M41" s="2"/>
      <c r="N41" t="s">
        <v>304</v>
      </c>
      <c r="O41" t="s">
        <v>310</v>
      </c>
    </row>
    <row r="42" spans="1:15" ht="79.2" x14ac:dyDescent="0.3">
      <c r="A42" s="2" t="s">
        <v>129</v>
      </c>
      <c r="B42" s="2" t="str">
        <f>HYPERLINK("https://ruralradio.com/ktic/news/supernovas-fall-in-five-sets-to-ignite-in-pvf-semifinals/")</f>
        <v>https://ruralradio.com/ktic/news/supernovas-fall-in-five-sets-to-ignite-in-pvf-semifinals/</v>
      </c>
      <c r="C42" s="2"/>
      <c r="D42" s="2" t="s">
        <v>130</v>
      </c>
      <c r="E42" s="5">
        <v>45787.430046296293</v>
      </c>
      <c r="F42" s="2" t="s">
        <v>131</v>
      </c>
      <c r="G42" s="2">
        <v>127040</v>
      </c>
      <c r="H42" s="2">
        <v>0</v>
      </c>
      <c r="I42" s="2">
        <v>0</v>
      </c>
      <c r="J42" s="2">
        <v>0</v>
      </c>
      <c r="K42" s="2" t="s">
        <v>64</v>
      </c>
      <c r="L42" s="4">
        <v>1175.1199999999999</v>
      </c>
      <c r="M42" s="2"/>
      <c r="N42" t="s">
        <v>293</v>
      </c>
      <c r="O42" t="s">
        <v>291</v>
      </c>
    </row>
    <row r="43" spans="1:15" ht="92.4" x14ac:dyDescent="0.3">
      <c r="A43" s="2" t="s">
        <v>132</v>
      </c>
      <c r="B43" s="2" t="str">
        <f>HYPERLINK("https://www.wthr.com/article/sports/local-sports/indy-ignite-knocks-off-defending-champ-top-seed-omaha-in-5-sets-pro-volleyball-federation-championship-sports-george-padjen-sydney-hilley/531-241cbc27-9a7c-4aa3-8ca6-cb4a11e42979")</f>
        <v>https://www.wthr.com/article/sports/local-sports/indy-ignite-knocks-off-defending-champ-top-seed-omaha-in-5-sets-pro-volleyball-federation-championship-sports-george-padjen-sydney-hilley/531-241cbc27-9a7c-4aa3-8ca6-cb4a11e42979</v>
      </c>
      <c r="C43" s="2"/>
      <c r="D43" s="2" t="s">
        <v>69</v>
      </c>
      <c r="E43" s="5">
        <v>45787.313634259262</v>
      </c>
      <c r="F43" s="2" t="s">
        <v>133</v>
      </c>
      <c r="G43" s="2">
        <v>1222012</v>
      </c>
      <c r="H43" s="2">
        <v>0</v>
      </c>
      <c r="I43" s="2">
        <v>0</v>
      </c>
      <c r="J43" s="2">
        <v>0</v>
      </c>
      <c r="K43" s="2" t="s">
        <v>25</v>
      </c>
      <c r="L43" s="4">
        <v>11303.61</v>
      </c>
      <c r="M43" s="2"/>
      <c r="N43" t="s">
        <v>290</v>
      </c>
      <c r="O43" t="s">
        <v>311</v>
      </c>
    </row>
    <row r="44" spans="1:15" ht="79.2" x14ac:dyDescent="0.3">
      <c r="A44" s="2" t="s">
        <v>134</v>
      </c>
      <c r="B44" s="2" t="str">
        <f>HYPERLINK("https://www.newsbreak.com/news/3999549555064-supernovas-begin-title-defense-in-pvf-semifinal-against-indy")</f>
        <v>https://www.newsbreak.com/news/3999549555064-supernovas-begin-title-defense-in-pvf-semifinal-against-indy</v>
      </c>
      <c r="C44" s="2"/>
      <c r="D44" s="2" t="s">
        <v>41</v>
      </c>
      <c r="E44" s="5">
        <v>45787.204479166663</v>
      </c>
      <c r="F44" s="2" t="s">
        <v>135</v>
      </c>
      <c r="G44" s="2">
        <v>18777858</v>
      </c>
      <c r="H44" s="2">
        <v>0</v>
      </c>
      <c r="I44" s="2">
        <v>0</v>
      </c>
      <c r="J44" s="2">
        <v>0</v>
      </c>
      <c r="K44" s="2" t="s">
        <v>75</v>
      </c>
      <c r="L44" s="4">
        <v>173695.19</v>
      </c>
      <c r="M44" s="2"/>
      <c r="N44" t="s">
        <v>291</v>
      </c>
      <c r="O44" t="s">
        <v>291</v>
      </c>
    </row>
    <row r="45" spans="1:15" ht="92.4" x14ac:dyDescent="0.3">
      <c r="A45" s="2" t="s">
        <v>136</v>
      </c>
      <c r="B45" s="2" t="str">
        <f>HYPERLINK("https://www.oursportscentral.com/services/releases/pvf-championship-finals-here-we-come-ignite-win-semifinal-thriller/n-6225590")</f>
        <v>https://www.oursportscentral.com/services/releases/pvf-championship-finals-here-we-come-ignite-win-semifinal-thriller/n-6225590</v>
      </c>
      <c r="C45" s="2"/>
      <c r="D45" s="2" t="s">
        <v>52</v>
      </c>
      <c r="E45" s="5">
        <v>45787.137557870366</v>
      </c>
      <c r="F45" s="2" t="s">
        <v>137</v>
      </c>
      <c r="G45" s="2">
        <v>40402</v>
      </c>
      <c r="H45" s="2">
        <v>0</v>
      </c>
      <c r="I45" s="2">
        <v>0</v>
      </c>
      <c r="J45" s="2">
        <v>0</v>
      </c>
      <c r="K45" s="2" t="s">
        <v>25</v>
      </c>
      <c r="L45" s="4">
        <v>373.72</v>
      </c>
      <c r="M45" s="2"/>
      <c r="N45" t="s">
        <v>291</v>
      </c>
      <c r="O45" t="s">
        <v>291</v>
      </c>
    </row>
    <row r="46" spans="1:15" ht="52.8" x14ac:dyDescent="0.3">
      <c r="A46" s="2" t="s">
        <v>138</v>
      </c>
      <c r="B46" s="2" t="str">
        <f>HYPERLINK("https://www.sportskeeda.com/us/olympics/news-anna-debeer-drops-2-word-message-indy-ignite-defeats-1-omaha-supernovas-advance-finals")</f>
        <v>https://www.sportskeeda.com/us/olympics/news-anna-debeer-drops-2-word-message-indy-ignite-defeats-1-omaha-supernovas-advance-finals</v>
      </c>
      <c r="C46" s="2" t="s">
        <v>104</v>
      </c>
      <c r="D46" s="2" t="s">
        <v>24</v>
      </c>
      <c r="E46" s="5">
        <v>45787.08997685185</v>
      </c>
      <c r="F46" s="2" t="s">
        <v>139</v>
      </c>
      <c r="G46" s="2">
        <v>22242243</v>
      </c>
      <c r="H46" s="2">
        <v>0</v>
      </c>
      <c r="I46" s="2">
        <v>0</v>
      </c>
      <c r="J46" s="2">
        <v>10</v>
      </c>
      <c r="K46" s="2" t="s">
        <v>64</v>
      </c>
      <c r="L46" s="4">
        <v>205740.75</v>
      </c>
      <c r="M46" s="2"/>
      <c r="N46" t="s">
        <v>304</v>
      </c>
      <c r="O46" t="s">
        <v>310</v>
      </c>
    </row>
    <row r="47" spans="1:15" ht="66" x14ac:dyDescent="0.3">
      <c r="A47" s="2" t="s">
        <v>140</v>
      </c>
      <c r="B47" s="2" t="str">
        <f>HYPERLINK("https://www.oursportscentral.com/services/releases/its-go-time-for-ignite-in-pvf-championship-semifinals/n-6225283")</f>
        <v>https://www.oursportscentral.com/services/releases/its-go-time-for-ignite-in-pvf-championship-semifinals/n-6225283</v>
      </c>
      <c r="C47" s="2"/>
      <c r="D47" s="2" t="s">
        <v>52</v>
      </c>
      <c r="E47" s="5">
        <v>45786.644594907397</v>
      </c>
      <c r="F47" s="2" t="s">
        <v>141</v>
      </c>
      <c r="G47" s="2">
        <v>40402</v>
      </c>
      <c r="H47" s="2">
        <v>0</v>
      </c>
      <c r="I47" s="2">
        <v>0</v>
      </c>
      <c r="J47" s="2">
        <v>0</v>
      </c>
      <c r="K47" s="2" t="s">
        <v>25</v>
      </c>
      <c r="L47" s="4">
        <v>373.72</v>
      </c>
      <c r="M47" s="2"/>
      <c r="N47" t="s">
        <v>291</v>
      </c>
      <c r="O47" t="s">
        <v>291</v>
      </c>
    </row>
    <row r="48" spans="1:15" ht="118.8" x14ac:dyDescent="0.3">
      <c r="A48" s="2" t="s">
        <v>142</v>
      </c>
      <c r="B48" s="2" t="str">
        <f>HYPERLINK("https://www.axios.com/local/indianapolis/2025/05/09/indy-ignite-s-hilley-wins-2025-setter-award")</f>
        <v>https://www.axios.com/local/indianapolis/2025/05/09/indy-ignite-s-hilley-wins-2025-setter-award</v>
      </c>
      <c r="C48" s="2"/>
      <c r="D48" s="2" t="s">
        <v>143</v>
      </c>
      <c r="E48" s="5">
        <v>45786.278344907398</v>
      </c>
      <c r="F48" s="2" t="s">
        <v>144</v>
      </c>
      <c r="G48" s="2"/>
      <c r="H48" s="2">
        <v>0</v>
      </c>
      <c r="I48" s="2">
        <v>0</v>
      </c>
      <c r="J48" s="2">
        <v>0</v>
      </c>
      <c r="K48" s="2" t="s">
        <v>25</v>
      </c>
      <c r="L48" s="4">
        <v>7440.87</v>
      </c>
      <c r="M48" s="2"/>
      <c r="N48" t="s">
        <v>290</v>
      </c>
      <c r="O48" t="s">
        <v>311</v>
      </c>
    </row>
    <row r="49" spans="1:15" ht="158.4" x14ac:dyDescent="0.3">
      <c r="A49" s="2" t="s">
        <v>145</v>
      </c>
      <c r="B49" s="2" t="str">
        <f>HYPERLINK("https://www.courier-journal.com/story/sports/college/2025/05/09/pvf-championship-2025-former-louisville-kentucky-volleyball-stars/83519563007/")</f>
        <v>https://www.courier-journal.com/story/sports/college/2025/05/09/pvf-championship-2025-former-louisville-kentucky-volleyball-stars/83519563007/</v>
      </c>
      <c r="C49" s="2"/>
      <c r="D49" s="2" t="s">
        <v>146</v>
      </c>
      <c r="E49" s="5">
        <v>45786.226435185177</v>
      </c>
      <c r="F49" s="2" t="s">
        <v>147</v>
      </c>
      <c r="G49" s="2"/>
      <c r="H49" s="2">
        <v>0</v>
      </c>
      <c r="I49" s="2">
        <v>0</v>
      </c>
      <c r="J49" s="2">
        <v>2</v>
      </c>
      <c r="K49" s="2" t="s">
        <v>25</v>
      </c>
      <c r="L49" s="4">
        <v>1113.82</v>
      </c>
      <c r="M49" s="2"/>
      <c r="N49" t="s">
        <v>294</v>
      </c>
      <c r="O49" t="s">
        <v>291</v>
      </c>
    </row>
    <row r="50" spans="1:15" ht="92.4" x14ac:dyDescent="0.3">
      <c r="A50" s="2" t="s">
        <v>148</v>
      </c>
      <c r="B50" s="2" t="str">
        <f>HYPERLINK("https://www.nuvo.net/sports/first-year-fire-indy-ignite-blaze-into-pvf-playoffs/collection_b75e0a3e-c179-4aa0-95c3-b55643a156b8.html")</f>
        <v>https://www.nuvo.net/sports/first-year-fire-indy-ignite-blaze-into-pvf-playoffs/collection_b75e0a3e-c179-4aa0-95c3-b55643a156b8.html</v>
      </c>
      <c r="C50" s="2" t="s">
        <v>149</v>
      </c>
      <c r="D50" s="2" t="s">
        <v>150</v>
      </c>
      <c r="E50" s="5">
        <v>45786</v>
      </c>
      <c r="F50" s="2" t="s">
        <v>151</v>
      </c>
      <c r="G50" s="2">
        <v>8756</v>
      </c>
      <c r="H50" s="2">
        <v>0</v>
      </c>
      <c r="I50" s="2">
        <v>0</v>
      </c>
      <c r="J50" s="2">
        <v>0</v>
      </c>
      <c r="K50" s="2" t="s">
        <v>64</v>
      </c>
      <c r="L50" s="4">
        <v>80.989999999999995</v>
      </c>
      <c r="M50" s="2"/>
      <c r="N50" t="s">
        <v>290</v>
      </c>
      <c r="O50" t="s">
        <v>311</v>
      </c>
    </row>
    <row r="51" spans="1:15" ht="79.2" x14ac:dyDescent="0.3">
      <c r="A51" s="2" t="s">
        <v>134</v>
      </c>
      <c r="B51" s="2" t="str">
        <f>HYPERLINK("https://northplattepost.com/posts/e2f6962e-2b1a-4c7c-a383-0695dbd4bc80")</f>
        <v>https://northplattepost.com/posts/e2f6962e-2b1a-4c7c-a383-0695dbd4bc80</v>
      </c>
      <c r="C51" s="2"/>
      <c r="D51" s="2" t="s">
        <v>152</v>
      </c>
      <c r="E51" s="5">
        <v>45786</v>
      </c>
      <c r="F51" s="2" t="s">
        <v>153</v>
      </c>
      <c r="G51" s="2">
        <v>28798</v>
      </c>
      <c r="H51" s="2">
        <v>0</v>
      </c>
      <c r="I51" s="2">
        <v>0</v>
      </c>
      <c r="J51" s="2">
        <v>1</v>
      </c>
      <c r="K51" s="2" t="s">
        <v>75</v>
      </c>
      <c r="L51" s="4">
        <v>266.38</v>
      </c>
      <c r="M51" s="2"/>
      <c r="N51" t="s">
        <v>295</v>
      </c>
      <c r="O51" t="s">
        <v>291</v>
      </c>
    </row>
    <row r="52" spans="1:15" ht="66" x14ac:dyDescent="0.3">
      <c r="A52" s="2" t="s">
        <v>154</v>
      </c>
      <c r="B52" s="2" t="str">
        <f>HYPERLINK("https://www.youarecurrent.com/2025/05/08/snapshot-support-for-childrens-health/")</f>
        <v>https://www.youarecurrent.com/2025/05/08/snapshot-support-for-childrens-health/</v>
      </c>
      <c r="C52" s="2"/>
      <c r="D52" s="2" t="s">
        <v>55</v>
      </c>
      <c r="E52" s="5">
        <v>45785.70989583333</v>
      </c>
      <c r="F52" s="2" t="s">
        <v>155</v>
      </c>
      <c r="G52" s="2">
        <v>42558</v>
      </c>
      <c r="H52" s="2">
        <v>0</v>
      </c>
      <c r="I52" s="2">
        <v>0</v>
      </c>
      <c r="J52" s="2">
        <v>0</v>
      </c>
      <c r="K52" s="2" t="s">
        <v>25</v>
      </c>
      <c r="L52" s="4">
        <v>393.66</v>
      </c>
      <c r="M52" s="2"/>
      <c r="N52" t="s">
        <v>290</v>
      </c>
      <c r="O52" t="s">
        <v>311</v>
      </c>
    </row>
    <row r="53" spans="1:15" ht="79.2" x14ac:dyDescent="0.3">
      <c r="A53" s="2" t="s">
        <v>156</v>
      </c>
      <c r="B53" s="2" t="str">
        <f>HYPERLINK("https://www.oursportscentral.com/services/releases/supernovas-begin-title-defense-in-pvf-semifinal-against-indy/n-6224798")</f>
        <v>https://www.oursportscentral.com/services/releases/supernovas-begin-title-defense-in-pvf-semifinal-against-indy/n-6224798</v>
      </c>
      <c r="C53" s="2"/>
      <c r="D53" s="2" t="s">
        <v>52</v>
      </c>
      <c r="E53" s="5">
        <v>45785.607349537036</v>
      </c>
      <c r="F53" s="2" t="s">
        <v>157</v>
      </c>
      <c r="G53" s="2">
        <v>40402</v>
      </c>
      <c r="H53" s="2">
        <v>0</v>
      </c>
      <c r="I53" s="2">
        <v>0</v>
      </c>
      <c r="J53" s="2">
        <v>0</v>
      </c>
      <c r="K53" s="2" t="s">
        <v>75</v>
      </c>
      <c r="L53" s="4">
        <v>373.72</v>
      </c>
      <c r="M53" s="2"/>
      <c r="N53" t="s">
        <v>291</v>
      </c>
      <c r="O53" t="s">
        <v>291</v>
      </c>
    </row>
    <row r="54" spans="1:15" ht="52.8" x14ac:dyDescent="0.3">
      <c r="A54" s="2" t="s">
        <v>158</v>
      </c>
      <c r="B54" s="2" t="str">
        <f>HYPERLINK("https://www.wishtv.com/news/local-news/fans-show-support-for-indy-ignite/")</f>
        <v>https://www.wishtv.com/news/local-news/fans-show-support-for-indy-ignite/</v>
      </c>
      <c r="C54" s="2" t="s">
        <v>159</v>
      </c>
      <c r="D54" s="2" t="s">
        <v>62</v>
      </c>
      <c r="E54" s="5">
        <v>45785.491550925923</v>
      </c>
      <c r="F54" s="2" t="s">
        <v>160</v>
      </c>
      <c r="G54" s="2"/>
      <c r="H54" s="2">
        <v>0</v>
      </c>
      <c r="I54" s="2">
        <v>0</v>
      </c>
      <c r="J54" s="2">
        <v>59</v>
      </c>
      <c r="K54" s="2" t="s">
        <v>25</v>
      </c>
      <c r="L54" s="4">
        <v>258.95</v>
      </c>
      <c r="M54" s="2"/>
      <c r="N54" t="s">
        <v>290</v>
      </c>
      <c r="O54" t="s">
        <v>311</v>
      </c>
    </row>
    <row r="55" spans="1:15" ht="118.8" x14ac:dyDescent="0.3">
      <c r="A55" s="2" t="s">
        <v>161</v>
      </c>
      <c r="B55" s="2" t="str">
        <f>HYPERLINK("https://www.wthr.com/article/sports/local-sports/indy-ignite-setter-wins-pvf-setter-the-year-2025-pro-volleyball-federation-omaha-supernovas/531-9ea94cf4-534f-4edc-ad09-b3ac274cb728")</f>
        <v>https://www.wthr.com/article/sports/local-sports/indy-ignite-setter-wins-pvf-setter-the-year-2025-pro-volleyball-federation-omaha-supernovas/531-9ea94cf4-534f-4edc-ad09-b3ac274cb728</v>
      </c>
      <c r="C55" s="2"/>
      <c r="D55" s="2" t="s">
        <v>69</v>
      </c>
      <c r="E55" s="5">
        <v>45785.420914351853</v>
      </c>
      <c r="F55" s="2" t="s">
        <v>162</v>
      </c>
      <c r="G55" s="2">
        <v>1222012</v>
      </c>
      <c r="H55" s="2">
        <v>0</v>
      </c>
      <c r="I55" s="2">
        <v>0</v>
      </c>
      <c r="J55" s="2">
        <v>0</v>
      </c>
      <c r="K55" s="2" t="s">
        <v>25</v>
      </c>
      <c r="L55" s="4">
        <v>11303.61</v>
      </c>
      <c r="M55" s="2"/>
      <c r="N55" t="s">
        <v>290</v>
      </c>
      <c r="O55" t="s">
        <v>311</v>
      </c>
    </row>
    <row r="56" spans="1:15" ht="118.8" x14ac:dyDescent="0.3">
      <c r="A56" s="2" t="s">
        <v>163</v>
      </c>
      <c r="B56" s="2" t="str">
        <f>HYPERLINK("https://www.oursportscentral.com/services/releases/ignite-firing-up-to-show-their-stuff-in-pvf-championship/n-6224406")</f>
        <v>https://www.oursportscentral.com/services/releases/ignite-firing-up-to-show-their-stuff-in-pvf-championship/n-6224406</v>
      </c>
      <c r="C56" s="2"/>
      <c r="D56" s="2" t="s">
        <v>52</v>
      </c>
      <c r="E56" s="5">
        <v>45784.732465277782</v>
      </c>
      <c r="F56" s="2" t="s">
        <v>164</v>
      </c>
      <c r="G56" s="2">
        <v>40402</v>
      </c>
      <c r="H56" s="2">
        <v>0</v>
      </c>
      <c r="I56" s="2">
        <v>0</v>
      </c>
      <c r="J56" s="2">
        <v>0</v>
      </c>
      <c r="K56" s="2" t="s">
        <v>25</v>
      </c>
      <c r="L56" s="4">
        <v>373.72</v>
      </c>
      <c r="M56" s="2"/>
      <c r="N56" t="s">
        <v>291</v>
      </c>
      <c r="O56" t="s">
        <v>291</v>
      </c>
    </row>
    <row r="57" spans="1:15" ht="290.39999999999998" x14ac:dyDescent="0.3">
      <c r="A57" s="2" t="s">
        <v>165</v>
      </c>
      <c r="B57" s="2" t="str">
        <f>HYPERLINK("https://www.oursportscentral.com/services/releases/pvf-announces-2025-individual-awards/n-6224324")</f>
        <v>https://www.oursportscentral.com/services/releases/pvf-announces-2025-individual-awards/n-6224324</v>
      </c>
      <c r="C57" s="2"/>
      <c r="D57" s="2" t="s">
        <v>52</v>
      </c>
      <c r="E57" s="5">
        <v>45784.657430555562</v>
      </c>
      <c r="F57" s="2" t="s">
        <v>166</v>
      </c>
      <c r="G57" s="2">
        <v>40402</v>
      </c>
      <c r="H57" s="2">
        <v>0</v>
      </c>
      <c r="I57" s="2">
        <v>0</v>
      </c>
      <c r="J57" s="2">
        <v>0</v>
      </c>
      <c r="K57" s="2" t="s">
        <v>25</v>
      </c>
      <c r="L57" s="4">
        <v>373.72</v>
      </c>
      <c r="M57" s="2"/>
      <c r="N57" t="s">
        <v>291</v>
      </c>
      <c r="O57" t="s">
        <v>291</v>
      </c>
    </row>
    <row r="58" spans="1:15" ht="105.6" x14ac:dyDescent="0.3">
      <c r="A58" s="2" t="s">
        <v>167</v>
      </c>
      <c r="B58" s="2" t="str">
        <f>HYPERLINK("https://www.oursportscentral.com/services/releases/ignites-hilley-named-pvf-setter-of-the-year/n-6224329")</f>
        <v>https://www.oursportscentral.com/services/releases/ignites-hilley-named-pvf-setter-of-the-year/n-6224329</v>
      </c>
      <c r="C58" s="2"/>
      <c r="D58" s="2" t="s">
        <v>52</v>
      </c>
      <c r="E58" s="5">
        <v>45784.65729166667</v>
      </c>
      <c r="F58" s="2" t="s">
        <v>168</v>
      </c>
      <c r="G58" s="2">
        <v>40402</v>
      </c>
      <c r="H58" s="2">
        <v>0</v>
      </c>
      <c r="I58" s="2">
        <v>0</v>
      </c>
      <c r="J58" s="2">
        <v>0</v>
      </c>
      <c r="K58" s="2" t="s">
        <v>25</v>
      </c>
      <c r="L58" s="4">
        <v>373.72</v>
      </c>
      <c r="M58" s="2"/>
      <c r="N58" t="s">
        <v>291</v>
      </c>
      <c r="O58" t="s">
        <v>291</v>
      </c>
    </row>
    <row r="59" spans="1:15" ht="92.4" x14ac:dyDescent="0.3">
      <c r="A59" s="2" t="s">
        <v>169</v>
      </c>
      <c r="B59" s="2" t="str">
        <f>HYPERLINK("https://www.wthr.com/article/sports/local-sports/2-indy-ignite-players-named-pvf-all-league-first-team-sydney-hilley-azhani-tealer-indianapolis-omaha-supernovas-pro-volleyball-federation/531-e4eb3e0a-8a1b-40a9-9a00-d193fc930b26")</f>
        <v>https://www.wthr.com/article/sports/local-sports/2-indy-ignite-players-named-pvf-all-league-first-team-sydney-hilley-azhani-tealer-indianapolis-omaha-supernovas-pro-volleyball-federation/531-e4eb3e0a-8a1b-40a9-9a00-d193fc930b26</v>
      </c>
      <c r="C59" s="2"/>
      <c r="D59" s="2" t="s">
        <v>69</v>
      </c>
      <c r="E59" s="5">
        <v>45784.410208333327</v>
      </c>
      <c r="F59" s="2" t="s">
        <v>170</v>
      </c>
      <c r="G59" s="2">
        <v>1222012</v>
      </c>
      <c r="H59" s="2">
        <v>0</v>
      </c>
      <c r="I59" s="2">
        <v>0</v>
      </c>
      <c r="J59" s="2">
        <v>0</v>
      </c>
      <c r="K59" s="2" t="s">
        <v>75</v>
      </c>
      <c r="L59" s="4">
        <v>11303.61</v>
      </c>
      <c r="M59" s="2"/>
      <c r="N59" t="s">
        <v>290</v>
      </c>
      <c r="O59" t="s">
        <v>311</v>
      </c>
    </row>
    <row r="60" spans="1:15" ht="92.4" x14ac:dyDescent="0.3">
      <c r="A60" s="2" t="s">
        <v>171</v>
      </c>
      <c r="B60" s="2" t="str">
        <f>HYPERLINK("https://www.wthr.com/article/sports/local-sports/indy-ignite-made-pvf-championship-heres-everything-need-to-know-pro-volleyball-federation-sports-indianapolis-omaha-supernovas/531-933e80f0-0ba0-4dde-8d64-6e77a54d4103")</f>
        <v>https://www.wthr.com/article/sports/local-sports/indy-ignite-made-pvf-championship-heres-everything-need-to-know-pro-volleyball-federation-sports-indianapolis-omaha-supernovas/531-933e80f0-0ba0-4dde-8d64-6e77a54d4103</v>
      </c>
      <c r="C60" s="2"/>
      <c r="D60" s="2" t="s">
        <v>69</v>
      </c>
      <c r="E60" s="5">
        <v>45784.244768518518</v>
      </c>
      <c r="F60" s="2" t="s">
        <v>172</v>
      </c>
      <c r="G60" s="2">
        <v>1222012</v>
      </c>
      <c r="H60" s="2">
        <v>0</v>
      </c>
      <c r="I60" s="2">
        <v>0</v>
      </c>
      <c r="J60" s="2">
        <v>0</v>
      </c>
      <c r="K60" s="2" t="s">
        <v>25</v>
      </c>
      <c r="L60" s="4">
        <v>11303.61</v>
      </c>
      <c r="M60" s="2"/>
      <c r="N60" t="s">
        <v>290</v>
      </c>
      <c r="O60" t="s">
        <v>311</v>
      </c>
    </row>
    <row r="61" spans="1:15" ht="52.8" x14ac:dyDescent="0.3">
      <c r="A61" s="2" t="s">
        <v>173</v>
      </c>
      <c r="B61" s="2" t="str">
        <f>HYPERLINK("https://www.sportskeeda.com/us/olympics/news-pvf-championships-playoffs-2025-bracket-league-standings-watch")</f>
        <v>https://www.sportskeeda.com/us/olympics/news-pvf-championships-playoffs-2025-bracket-league-standings-watch</v>
      </c>
      <c r="C61" s="2" t="s">
        <v>27</v>
      </c>
      <c r="D61" s="2" t="s">
        <v>24</v>
      </c>
      <c r="E61" s="5">
        <v>45784.0784375</v>
      </c>
      <c r="F61" s="2" t="s">
        <v>174</v>
      </c>
      <c r="G61" s="2">
        <v>22242243</v>
      </c>
      <c r="H61" s="2">
        <v>0</v>
      </c>
      <c r="I61" s="2">
        <v>0</v>
      </c>
      <c r="J61" s="2">
        <v>0</v>
      </c>
      <c r="K61" s="2" t="s">
        <v>25</v>
      </c>
      <c r="L61" s="4">
        <v>205740.75</v>
      </c>
      <c r="M61" s="2"/>
      <c r="N61" t="s">
        <v>304</v>
      </c>
      <c r="O61" t="s">
        <v>310</v>
      </c>
    </row>
    <row r="62" spans="1:15" ht="118.8" x14ac:dyDescent="0.3">
      <c r="A62" s="2" t="s">
        <v>175</v>
      </c>
      <c r="B62" s="2" t="str">
        <f>HYPERLINK("https://www.oursportscentral.com/services/releases/ignites-hilley-tealer-earn-pvf-all-league-first-team-honors/n-6223865")</f>
        <v>https://www.oursportscentral.com/services/releases/ignites-hilley-tealer-earn-pvf-all-league-first-team-honors/n-6223865</v>
      </c>
      <c r="C62" s="2"/>
      <c r="D62" s="2" t="s">
        <v>52</v>
      </c>
      <c r="E62" s="5">
        <v>45783.681527777779</v>
      </c>
      <c r="F62" s="2" t="s">
        <v>176</v>
      </c>
      <c r="G62" s="2">
        <v>40402</v>
      </c>
      <c r="H62" s="2">
        <v>0</v>
      </c>
      <c r="I62" s="2">
        <v>0</v>
      </c>
      <c r="J62" s="2">
        <v>0</v>
      </c>
      <c r="K62" s="2" t="s">
        <v>25</v>
      </c>
      <c r="L62" s="4">
        <v>373.72</v>
      </c>
      <c r="M62" s="2"/>
      <c r="N62" t="s">
        <v>291</v>
      </c>
      <c r="O62" t="s">
        <v>291</v>
      </c>
    </row>
    <row r="63" spans="1:15" ht="66" x14ac:dyDescent="0.3">
      <c r="A63" s="2" t="s">
        <v>177</v>
      </c>
      <c r="B63" s="2" t="str">
        <f>HYPERLINK("https://www.oursportscentral.com/services/releases/pvf-announcers-2025-all-league-teams/n-6223823")</f>
        <v>https://www.oursportscentral.com/services/releases/pvf-announcers-2025-all-league-teams/n-6223823</v>
      </c>
      <c r="C63" s="2"/>
      <c r="D63" s="2" t="s">
        <v>52</v>
      </c>
      <c r="E63" s="5">
        <v>45783.647129629629</v>
      </c>
      <c r="F63" s="2" t="s">
        <v>178</v>
      </c>
      <c r="G63" s="2">
        <v>40402</v>
      </c>
      <c r="H63" s="2">
        <v>0</v>
      </c>
      <c r="I63" s="2">
        <v>0</v>
      </c>
      <c r="J63" s="2">
        <v>0</v>
      </c>
      <c r="K63" s="2" t="s">
        <v>75</v>
      </c>
      <c r="L63" s="4">
        <v>373.72</v>
      </c>
      <c r="M63" s="2"/>
      <c r="N63" t="s">
        <v>291</v>
      </c>
      <c r="O63" t="s">
        <v>291</v>
      </c>
    </row>
    <row r="64" spans="1:15" ht="118.8" x14ac:dyDescent="0.3">
      <c r="A64" s="2" t="s">
        <v>179</v>
      </c>
      <c r="B64" s="2" t="str">
        <f>HYPERLINK("https://www.oursportscentral.com/services/releases/taylors-bakery-hosting-ignite-playoffs-sendoff-thursday-morning/n-6223498")</f>
        <v>https://www.oursportscentral.com/services/releases/taylors-bakery-hosting-ignite-playoffs-sendoff-thursday-morning/n-6223498</v>
      </c>
      <c r="C64" s="2"/>
      <c r="D64" s="2" t="s">
        <v>52</v>
      </c>
      <c r="E64" s="5">
        <v>45782.657777777778</v>
      </c>
      <c r="F64" s="2" t="s">
        <v>180</v>
      </c>
      <c r="G64" s="2">
        <v>40402</v>
      </c>
      <c r="H64" s="2">
        <v>0</v>
      </c>
      <c r="I64" s="2">
        <v>0</v>
      </c>
      <c r="J64" s="2">
        <v>0</v>
      </c>
      <c r="K64" s="2" t="s">
        <v>25</v>
      </c>
      <c r="L64" s="4">
        <v>373.72</v>
      </c>
      <c r="M64" s="2"/>
      <c r="N64" t="s">
        <v>291</v>
      </c>
      <c r="O64" t="s">
        <v>291</v>
      </c>
    </row>
    <row r="65" spans="1:15" ht="409.6" x14ac:dyDescent="0.3">
      <c r="A65" s="2" t="s">
        <v>181</v>
      </c>
      <c r="B65" s="2" t="str">
        <f>HYPERLINK("http://www.chatsports.com/san-diego-state-aztecs/a/source/san-diego-mojo-closes-out-season-with-a-backdoor-sweep-against-playoff-bound-indy-ignite-18198059")</f>
        <v>http://www.chatsports.com/san-diego-state-aztecs/a/source/san-diego-mojo-closes-out-season-with-a-backdoor-sweep-against-playoff-bound-indy-ignite-18198059</v>
      </c>
      <c r="C65" s="2"/>
      <c r="D65" s="2" t="s">
        <v>182</v>
      </c>
      <c r="E65" s="5">
        <v>45782.54824074074</v>
      </c>
      <c r="F65" s="2" t="s">
        <v>183</v>
      </c>
      <c r="G65" s="2">
        <v>75958</v>
      </c>
      <c r="H65" s="2">
        <v>0</v>
      </c>
      <c r="I65" s="2">
        <v>0</v>
      </c>
      <c r="J65" s="2">
        <v>0</v>
      </c>
      <c r="K65" s="2" t="s">
        <v>25</v>
      </c>
      <c r="L65" s="4">
        <v>702.61</v>
      </c>
      <c r="M65" s="2"/>
      <c r="N65" t="s">
        <v>291</v>
      </c>
      <c r="O65" t="s">
        <v>291</v>
      </c>
    </row>
    <row r="66" spans="1:15" ht="277.2" x14ac:dyDescent="0.3">
      <c r="A66" s="2" t="s">
        <v>181</v>
      </c>
      <c r="B66" s="2" t="str">
        <f>HYPERLINK("https://thedailyaztec.com/122299/sports/san-diego-mojo-closes-out-season-with-a-backdoor-sweep-against-playoff-bound-indy-ignite/")</f>
        <v>https://thedailyaztec.com/122299/sports/san-diego-mojo-closes-out-season-with-a-backdoor-sweep-against-playoff-bound-indy-ignite/</v>
      </c>
      <c r="C66" s="2" t="s">
        <v>184</v>
      </c>
      <c r="D66" s="2" t="s">
        <v>185</v>
      </c>
      <c r="E66" s="5">
        <v>45782.546886574077</v>
      </c>
      <c r="F66" s="2" t="s">
        <v>186</v>
      </c>
      <c r="G66" s="2">
        <v>16083</v>
      </c>
      <c r="H66" s="2">
        <v>0</v>
      </c>
      <c r="I66" s="2">
        <v>0</v>
      </c>
      <c r="J66" s="2">
        <v>0</v>
      </c>
      <c r="K66" s="2" t="s">
        <v>25</v>
      </c>
      <c r="L66" s="4">
        <v>148.77000000000001</v>
      </c>
      <c r="M66" s="2"/>
      <c r="N66" t="s">
        <v>306</v>
      </c>
      <c r="O66" t="s">
        <v>291</v>
      </c>
    </row>
    <row r="67" spans="1:15" ht="52.8" x14ac:dyDescent="0.3">
      <c r="A67" s="2" t="s">
        <v>187</v>
      </c>
      <c r="B67" s="2" t="str">
        <f>HYPERLINK("https://sdnews.com/mojo-dominate-indy-ignite-in-season-finale/")</f>
        <v>https://sdnews.com/mojo-dominate-indy-ignite-in-season-finale/</v>
      </c>
      <c r="C67" s="2"/>
      <c r="D67" s="2" t="s">
        <v>188</v>
      </c>
      <c r="E67" s="5">
        <v>45782.50880787037</v>
      </c>
      <c r="F67" s="2" t="s">
        <v>189</v>
      </c>
      <c r="G67" s="2"/>
      <c r="H67" s="2">
        <v>0</v>
      </c>
      <c r="I67" s="2">
        <v>0</v>
      </c>
      <c r="J67" s="2">
        <v>0</v>
      </c>
      <c r="K67" s="2" t="s">
        <v>75</v>
      </c>
      <c r="L67" s="4">
        <v>14.86</v>
      </c>
      <c r="M67" s="2"/>
      <c r="N67" t="s">
        <v>306</v>
      </c>
      <c r="O67" t="s">
        <v>291</v>
      </c>
    </row>
    <row r="68" spans="1:15" ht="105.6" x14ac:dyDescent="0.3">
      <c r="A68" s="2" t="s">
        <v>190</v>
      </c>
      <c r="B68" s="2" t="str">
        <f>HYPERLINK("https://www.oursportscentral.com/services/releases/ignite-use-regular-season-finale-as-tune-up-for-pvf-playoffs/n-6222997")</f>
        <v>https://www.oursportscentral.com/services/releases/ignite-use-regular-season-finale-as-tune-up-for-pvf-playoffs/n-6222997</v>
      </c>
      <c r="C68" s="2"/>
      <c r="D68" s="2" t="s">
        <v>52</v>
      </c>
      <c r="E68" s="5">
        <v>45781.602534722217</v>
      </c>
      <c r="F68" s="2" t="s">
        <v>191</v>
      </c>
      <c r="G68" s="2">
        <v>40402</v>
      </c>
      <c r="H68" s="2">
        <v>0</v>
      </c>
      <c r="I68" s="2">
        <v>0</v>
      </c>
      <c r="J68" s="2">
        <v>0</v>
      </c>
      <c r="K68" s="2" t="s">
        <v>25</v>
      </c>
      <c r="L68" s="4">
        <v>373.72</v>
      </c>
      <c r="M68" s="2"/>
      <c r="N68" t="s">
        <v>291</v>
      </c>
      <c r="O68" t="s">
        <v>291</v>
      </c>
    </row>
    <row r="69" spans="1:15" ht="79.2" x14ac:dyDescent="0.3">
      <c r="A69" s="2" t="s">
        <v>192</v>
      </c>
      <c r="B69" s="2" t="str">
        <f>HYPERLINK("https://www.wishtv.com/sports/indy-ignite-headed-to-vegas-after-historic-inaugural-season/")</f>
        <v>https://www.wishtv.com/sports/indy-ignite-headed-to-vegas-after-historic-inaugural-season/</v>
      </c>
      <c r="C69" s="2" t="s">
        <v>193</v>
      </c>
      <c r="D69" s="2" t="s">
        <v>62</v>
      </c>
      <c r="E69" s="5">
        <v>45781.458611111113</v>
      </c>
      <c r="F69" s="2" t="s">
        <v>194</v>
      </c>
      <c r="G69" s="2"/>
      <c r="H69" s="2">
        <v>0</v>
      </c>
      <c r="I69" s="2">
        <v>0</v>
      </c>
      <c r="J69" s="2">
        <v>0</v>
      </c>
      <c r="K69" s="2" t="s">
        <v>25</v>
      </c>
      <c r="L69" s="4">
        <v>258.95</v>
      </c>
      <c r="M69" s="2"/>
      <c r="N69" t="s">
        <v>290</v>
      </c>
      <c r="O69" t="s">
        <v>311</v>
      </c>
    </row>
    <row r="70" spans="1:15" ht="105.6" x14ac:dyDescent="0.3">
      <c r="A70" s="2" t="s">
        <v>195</v>
      </c>
      <c r="B70" s="2" t="str">
        <f>HYPERLINK("https://www.oursportscentral.com/services/releases/mojo-dominate-indy-ignite-in-season-finale/n-6222868")</f>
        <v>https://www.oursportscentral.com/services/releases/mojo-dominate-indy-ignite-in-season-finale/n-6222868</v>
      </c>
      <c r="C70" s="2"/>
      <c r="D70" s="2" t="s">
        <v>52</v>
      </c>
      <c r="E70" s="5">
        <v>45781.031967592593</v>
      </c>
      <c r="F70" s="2" t="s">
        <v>196</v>
      </c>
      <c r="G70" s="2">
        <v>40402</v>
      </c>
      <c r="H70" s="2">
        <v>0</v>
      </c>
      <c r="I70" s="2">
        <v>0</v>
      </c>
      <c r="J70" s="2">
        <v>0</v>
      </c>
      <c r="K70" s="2" t="s">
        <v>75</v>
      </c>
      <c r="L70" s="4">
        <v>373.72</v>
      </c>
      <c r="M70" s="2"/>
      <c r="N70" t="s">
        <v>291</v>
      </c>
      <c r="O70" t="s">
        <v>291</v>
      </c>
    </row>
    <row r="71" spans="1:15" ht="132" x14ac:dyDescent="0.3">
      <c r="A71" s="2" t="s">
        <v>197</v>
      </c>
      <c r="B71" s="2" t="str">
        <f>HYPERLINK("https://www.oursportscentral.com/services/releases/game-preview-indy-ignite-at-san-diego-mojo-may-3-2025/n-6222411")</f>
        <v>https://www.oursportscentral.com/services/releases/game-preview-indy-ignite-at-san-diego-mojo-may-3-2025/n-6222411</v>
      </c>
      <c r="C71" s="2"/>
      <c r="D71" s="2" t="s">
        <v>52</v>
      </c>
      <c r="E71" s="5">
        <v>45780.020150462973</v>
      </c>
      <c r="F71" s="2" t="s">
        <v>198</v>
      </c>
      <c r="G71" s="2">
        <v>40402</v>
      </c>
      <c r="H71" s="2">
        <v>0</v>
      </c>
      <c r="I71" s="2">
        <v>0</v>
      </c>
      <c r="J71" s="2">
        <v>0</v>
      </c>
      <c r="K71" s="2" t="s">
        <v>64</v>
      </c>
      <c r="L71" s="4">
        <v>373.72</v>
      </c>
      <c r="M71" s="2"/>
      <c r="N71" t="s">
        <v>291</v>
      </c>
      <c r="O71" t="s">
        <v>291</v>
      </c>
    </row>
    <row r="72" spans="1:15" ht="105.6" x14ac:dyDescent="0.3">
      <c r="A72" s="2" t="s">
        <v>199</v>
      </c>
      <c r="B72" s="2" t="str">
        <f>HYPERLINK("https://localnews8.com/cnn-regional/2025/05/02/indiana-faces-of-the-fallen-honors-veterans-no-longer-with-us/")</f>
        <v>https://localnews8.com/cnn-regional/2025/05/02/indiana-faces-of-the-fallen-honors-veterans-no-longer-with-us/</v>
      </c>
      <c r="C72" s="2"/>
      <c r="D72" s="2" t="s">
        <v>200</v>
      </c>
      <c r="E72" s="5">
        <v>45779.737615740742</v>
      </c>
      <c r="F72" s="2" t="s">
        <v>201</v>
      </c>
      <c r="G72" s="2">
        <v>87453</v>
      </c>
      <c r="H72" s="2">
        <v>0</v>
      </c>
      <c r="I72" s="2">
        <v>0</v>
      </c>
      <c r="J72" s="2">
        <v>0</v>
      </c>
      <c r="K72" s="2" t="s">
        <v>75</v>
      </c>
      <c r="L72" s="4">
        <v>808.94</v>
      </c>
      <c r="M72" s="2"/>
      <c r="N72" t="s">
        <v>296</v>
      </c>
      <c r="O72" t="s">
        <v>291</v>
      </c>
    </row>
    <row r="73" spans="1:15" ht="105.6" x14ac:dyDescent="0.3">
      <c r="A73" s="2" t="s">
        <v>202</v>
      </c>
      <c r="B73" s="2" t="str">
        <f>HYPERLINK("https://kvia.com/cnn-regional/2025/05/02/indiana-faces-of-the-fallen-honors-veterans-no-longer-with-us/")</f>
        <v>https://kvia.com/cnn-regional/2025/05/02/indiana-faces-of-the-fallen-honors-veterans-no-longer-with-us/</v>
      </c>
      <c r="C73" s="2" t="s">
        <v>203</v>
      </c>
      <c r="D73" s="2" t="s">
        <v>204</v>
      </c>
      <c r="E73" s="5">
        <v>45779.688148148147</v>
      </c>
      <c r="F73" s="2" t="s">
        <v>201</v>
      </c>
      <c r="G73" s="2"/>
      <c r="H73" s="2">
        <v>0</v>
      </c>
      <c r="I73" s="2">
        <v>0</v>
      </c>
      <c r="J73" s="2">
        <v>0</v>
      </c>
      <c r="K73" s="2" t="s">
        <v>64</v>
      </c>
      <c r="L73" s="4">
        <v>51.31</v>
      </c>
      <c r="M73" s="2"/>
      <c r="N73" t="s">
        <v>297</v>
      </c>
      <c r="O73" t="s">
        <v>291</v>
      </c>
    </row>
    <row r="74" spans="1:15" ht="105.6" x14ac:dyDescent="0.3">
      <c r="A74" s="2" t="s">
        <v>202</v>
      </c>
      <c r="B74" s="2" t="str">
        <f>HYPERLINK("https://keyt.com/cnn-regional/2025/05/02/indiana-faces-of-the-fallen-honors-veterans-no-longer-with-us/")</f>
        <v>https://keyt.com/cnn-regional/2025/05/02/indiana-faces-of-the-fallen-honors-veterans-no-longer-with-us/</v>
      </c>
      <c r="C74" s="2"/>
      <c r="D74" s="2" t="s">
        <v>205</v>
      </c>
      <c r="E74" s="5">
        <v>45779.663275462961</v>
      </c>
      <c r="F74" s="2" t="s">
        <v>201</v>
      </c>
      <c r="G74" s="2"/>
      <c r="H74" s="2">
        <v>0</v>
      </c>
      <c r="I74" s="2">
        <v>0</v>
      </c>
      <c r="J74" s="2">
        <v>0</v>
      </c>
      <c r="K74" s="2" t="s">
        <v>64</v>
      </c>
      <c r="L74" s="4">
        <v>119.73</v>
      </c>
      <c r="M74" s="2"/>
      <c r="N74" t="s">
        <v>298</v>
      </c>
      <c r="O74" t="s">
        <v>291</v>
      </c>
    </row>
    <row r="75" spans="1:15" ht="105.6" x14ac:dyDescent="0.3">
      <c r="A75" s="2" t="s">
        <v>202</v>
      </c>
      <c r="B75" s="2" t="str">
        <f>HYPERLINK("https://abc17news.com/cnn-regional/2025/05/02/indiana-faces-of-the-fallen-honors-veterans-no-longer-with-us/")</f>
        <v>https://abc17news.com/cnn-regional/2025/05/02/indiana-faces-of-the-fallen-honors-veterans-no-longer-with-us/</v>
      </c>
      <c r="C75" s="2"/>
      <c r="D75" s="2" t="s">
        <v>206</v>
      </c>
      <c r="E75" s="5">
        <v>45779.66002314815</v>
      </c>
      <c r="F75" s="2" t="s">
        <v>201</v>
      </c>
      <c r="G75" s="2"/>
      <c r="H75" s="2">
        <v>0</v>
      </c>
      <c r="I75" s="2">
        <v>0</v>
      </c>
      <c r="J75" s="2">
        <v>0</v>
      </c>
      <c r="K75" s="2" t="s">
        <v>75</v>
      </c>
      <c r="L75" s="4">
        <v>145.28</v>
      </c>
      <c r="M75" s="2"/>
      <c r="N75" t="s">
        <v>299</v>
      </c>
      <c r="O75" t="s">
        <v>291</v>
      </c>
    </row>
    <row r="76" spans="1:15" ht="105.6" x14ac:dyDescent="0.3">
      <c r="A76" s="2" t="s">
        <v>202</v>
      </c>
      <c r="B76" s="2" t="str">
        <f>HYPERLINK("https://kion546.com/cnn-regional/2025/05/02/indiana-faces-of-the-fallen-honors-veterans-no-longer-with-us/")</f>
        <v>https://kion546.com/cnn-regional/2025/05/02/indiana-faces-of-the-fallen-honors-veterans-no-longer-with-us/</v>
      </c>
      <c r="C76" s="2"/>
      <c r="D76" s="2" t="s">
        <v>207</v>
      </c>
      <c r="E76" s="5">
        <v>45779.65556712963</v>
      </c>
      <c r="F76" s="2" t="s">
        <v>201</v>
      </c>
      <c r="G76" s="2"/>
      <c r="H76" s="2">
        <v>0</v>
      </c>
      <c r="I76" s="2">
        <v>0</v>
      </c>
      <c r="J76" s="2">
        <v>0</v>
      </c>
      <c r="K76" s="2" t="s">
        <v>75</v>
      </c>
      <c r="L76" s="4">
        <v>38.200000000000003</v>
      </c>
      <c r="M76" s="2"/>
      <c r="N76" t="s">
        <v>300</v>
      </c>
      <c r="O76" t="s">
        <v>291</v>
      </c>
    </row>
    <row r="77" spans="1:15" ht="105.6" x14ac:dyDescent="0.3">
      <c r="A77" s="2" t="s">
        <v>202</v>
      </c>
      <c r="B77" s="2" t="str">
        <f>HYPERLINK("https://krdo.com/news/2025/05/02/indiana-faces-of-the-fallen-honors-veterans-no-longer-with-us/")</f>
        <v>https://krdo.com/news/2025/05/02/indiana-faces-of-the-fallen-honors-veterans-no-longer-with-us/</v>
      </c>
      <c r="C77" s="2"/>
      <c r="D77" s="2" t="s">
        <v>208</v>
      </c>
      <c r="E77" s="5">
        <v>45779.653773148151</v>
      </c>
      <c r="F77" s="2" t="s">
        <v>201</v>
      </c>
      <c r="G77" s="2">
        <v>406789</v>
      </c>
      <c r="H77" s="2"/>
      <c r="I77" s="2"/>
      <c r="J77" s="2"/>
      <c r="K77" s="2" t="s">
        <v>64</v>
      </c>
      <c r="L77" s="4">
        <v>3762.8</v>
      </c>
      <c r="M77" s="2"/>
      <c r="N77" t="s">
        <v>301</v>
      </c>
      <c r="O77" t="s">
        <v>291</v>
      </c>
    </row>
    <row r="78" spans="1:15" ht="105.6" x14ac:dyDescent="0.3">
      <c r="A78" s="2" t="s">
        <v>202</v>
      </c>
      <c r="B78" s="2" t="str">
        <f>HYPERLINK("https://ktvz.com/cnn-regional/2025/05/02/indiana-faces-of-the-fallen-honors-veterans-no-longer-with-us/")</f>
        <v>https://ktvz.com/cnn-regional/2025/05/02/indiana-faces-of-the-fallen-honors-veterans-no-longer-with-us/</v>
      </c>
      <c r="C78" s="2"/>
      <c r="D78" s="2" t="s">
        <v>209</v>
      </c>
      <c r="E78" s="5">
        <v>45779.653715277767</v>
      </c>
      <c r="F78" s="2" t="s">
        <v>201</v>
      </c>
      <c r="G78" s="2"/>
      <c r="H78" s="2">
        <v>0</v>
      </c>
      <c r="I78" s="2">
        <v>0</v>
      </c>
      <c r="J78" s="2">
        <v>0</v>
      </c>
      <c r="K78" s="2" t="s">
        <v>64</v>
      </c>
      <c r="L78" s="4">
        <v>212.47</v>
      </c>
      <c r="M78" s="2"/>
      <c r="N78" t="s">
        <v>302</v>
      </c>
      <c r="O78" t="s">
        <v>291</v>
      </c>
    </row>
    <row r="79" spans="1:15" ht="105.6" x14ac:dyDescent="0.3">
      <c r="A79" s="2" t="s">
        <v>210</v>
      </c>
      <c r="B79" s="2" t="str">
        <f>HYPERLINK("https://kesq.com/cnn-regional/2025/05/02/indiana-faces-of-the-fallen-honors-veterans-no-longer-with-us/")</f>
        <v>https://kesq.com/cnn-regional/2025/05/02/indiana-faces-of-the-fallen-honors-veterans-no-longer-with-us/</v>
      </c>
      <c r="C79" s="2" t="s">
        <v>203</v>
      </c>
      <c r="D79" s="2" t="s">
        <v>211</v>
      </c>
      <c r="E79" s="5">
        <v>45779.65253472222</v>
      </c>
      <c r="F79" s="2" t="s">
        <v>212</v>
      </c>
      <c r="G79" s="2"/>
      <c r="H79" s="2">
        <v>0</v>
      </c>
      <c r="I79" s="2">
        <v>0</v>
      </c>
      <c r="J79" s="2">
        <v>0</v>
      </c>
      <c r="K79" s="2" t="s">
        <v>75</v>
      </c>
      <c r="L79" s="4">
        <v>90.17</v>
      </c>
      <c r="M79" s="2"/>
      <c r="N79" t="s">
        <v>303</v>
      </c>
      <c r="O79" t="s">
        <v>291</v>
      </c>
    </row>
    <row r="80" spans="1:15" ht="79.2" x14ac:dyDescent="0.3">
      <c r="A80" s="2" t="s">
        <v>213</v>
      </c>
      <c r="B80" s="2" t="str">
        <f>HYPERLINK("https://thewoostervoice.spaces.wooster.edu/2025/05/02/more-leagues-doesnt-equal-more-viewers/")</f>
        <v>https://thewoostervoice.spaces.wooster.edu/2025/05/02/more-leagues-doesnt-equal-more-viewers/</v>
      </c>
      <c r="C80" s="2" t="s">
        <v>214</v>
      </c>
      <c r="D80" s="2" t="s">
        <v>215</v>
      </c>
      <c r="E80" s="5">
        <v>45779.449178240742</v>
      </c>
      <c r="F80" s="2" t="s">
        <v>216</v>
      </c>
      <c r="G80" s="2"/>
      <c r="H80" s="2">
        <v>0</v>
      </c>
      <c r="I80" s="2">
        <v>0</v>
      </c>
      <c r="J80" s="2">
        <v>0</v>
      </c>
      <c r="K80" s="2" t="s">
        <v>25</v>
      </c>
      <c r="L80" s="2"/>
      <c r="M80" s="2"/>
      <c r="N80" t="s">
        <v>307</v>
      </c>
      <c r="O80" t="s">
        <v>291</v>
      </c>
    </row>
    <row r="81" spans="1:15" ht="66" x14ac:dyDescent="0.3">
      <c r="A81" s="2" t="s">
        <v>217</v>
      </c>
      <c r="B81" s="2" t="str">
        <f>HYPERLINK("https://www.wthr.com/article/sports/local-sports/indy-ignite-drop-final-home-match-season-atlanta-vibe/531-1592fcea-a38a-47a7-8229-9e761b859f88")</f>
        <v>https://www.wthr.com/article/sports/local-sports/indy-ignite-drop-final-home-match-season-atlanta-vibe/531-1592fcea-a38a-47a7-8229-9e761b859f88</v>
      </c>
      <c r="C81" s="2"/>
      <c r="D81" s="2" t="s">
        <v>69</v>
      </c>
      <c r="E81" s="5">
        <v>45779.276712962957</v>
      </c>
      <c r="F81" s="2" t="s">
        <v>218</v>
      </c>
      <c r="G81" s="2">
        <v>1222012</v>
      </c>
      <c r="H81" s="2">
        <v>0</v>
      </c>
      <c r="I81" s="2">
        <v>0</v>
      </c>
      <c r="J81" s="2">
        <v>0</v>
      </c>
      <c r="K81" s="2" t="s">
        <v>64</v>
      </c>
      <c r="L81" s="4">
        <v>11303.61</v>
      </c>
      <c r="M81" s="2"/>
      <c r="N81" t="s">
        <v>290</v>
      </c>
      <c r="O81" t="s">
        <v>311</v>
      </c>
    </row>
    <row r="82" spans="1:15" ht="79.2" x14ac:dyDescent="0.3">
      <c r="A82" s="2" t="s">
        <v>219</v>
      </c>
      <c r="B82" s="2" t="str">
        <f>HYPERLINK("https://www.oursportscentral.com/services/releases/final-home-match-helps-ignite-prepare-for-rigors-of-postseason/n-6221932")</f>
        <v>https://www.oursportscentral.com/services/releases/final-home-match-helps-ignite-prepare-for-rigors-of-postseason/n-6221932</v>
      </c>
      <c r="C82" s="2"/>
      <c r="D82" s="2" t="s">
        <v>52</v>
      </c>
      <c r="E82" s="5">
        <v>45779.000243055547</v>
      </c>
      <c r="F82" s="2" t="s">
        <v>220</v>
      </c>
      <c r="G82" s="2">
        <v>40402</v>
      </c>
      <c r="H82" s="2">
        <v>0</v>
      </c>
      <c r="I82" s="2">
        <v>0</v>
      </c>
      <c r="J82" s="2">
        <v>0</v>
      </c>
      <c r="K82" s="2" t="s">
        <v>25</v>
      </c>
      <c r="L82" s="4">
        <v>373.72</v>
      </c>
      <c r="M82" s="2"/>
      <c r="N82" t="s">
        <v>291</v>
      </c>
      <c r="O82" t="s">
        <v>291</v>
      </c>
    </row>
    <row r="83" spans="1:15" ht="171.6" x14ac:dyDescent="0.3">
      <c r="A83" s="2" t="s">
        <v>221</v>
      </c>
      <c r="B83" s="2" t="str">
        <f>HYPERLINK("https://www.nuvo.net/sports/slideshow-indy-ignite-lose-home-finale-in-a-five-set-thriller/collection_043e5b45-4a60-4253-ae69-1b05aa18677a.html")</f>
        <v>https://www.nuvo.net/sports/slideshow-indy-ignite-lose-home-finale-in-a-five-set-thriller/collection_043e5b45-4a60-4253-ae69-1b05aa18677a.html</v>
      </c>
      <c r="C83" s="2" t="s">
        <v>222</v>
      </c>
      <c r="D83" s="2" t="s">
        <v>150</v>
      </c>
      <c r="E83" s="5">
        <v>45779</v>
      </c>
      <c r="F83" s="2" t="s">
        <v>223</v>
      </c>
      <c r="G83" s="2">
        <v>8756</v>
      </c>
      <c r="H83" s="2"/>
      <c r="I83" s="2"/>
      <c r="J83" s="2"/>
      <c r="K83" s="2" t="s">
        <v>64</v>
      </c>
      <c r="L83" s="4">
        <v>80.989999999999995</v>
      </c>
      <c r="M83" s="2"/>
      <c r="N83" t="s">
        <v>290</v>
      </c>
      <c r="O83" t="s">
        <v>311</v>
      </c>
    </row>
    <row r="84" spans="1:15" ht="105.6" x14ac:dyDescent="0.3">
      <c r="A84" s="2" t="s">
        <v>224</v>
      </c>
      <c r="B84" s="2" t="str">
        <f>HYPERLINK("https://www.wrtv.com/news/local-news/indiana-faces-of-the-fallen-honors-hoosier-veterans-no-longer-with-us")</f>
        <v>https://www.wrtv.com/news/local-news/indiana-faces-of-the-fallen-honors-hoosier-veterans-no-longer-with-us</v>
      </c>
      <c r="C84" s="2" t="s">
        <v>203</v>
      </c>
      <c r="D84" s="2" t="s">
        <v>102</v>
      </c>
      <c r="E84" s="5">
        <v>45778.940925925926</v>
      </c>
      <c r="F84" s="2" t="s">
        <v>225</v>
      </c>
      <c r="G84" s="2">
        <v>290626</v>
      </c>
      <c r="H84" s="2">
        <v>0</v>
      </c>
      <c r="I84" s="2">
        <v>0</v>
      </c>
      <c r="J84" s="2">
        <v>0</v>
      </c>
      <c r="K84" s="2" t="s">
        <v>64</v>
      </c>
      <c r="L84" s="4">
        <v>2688.29</v>
      </c>
      <c r="M84" s="2"/>
      <c r="N84" t="s">
        <v>290</v>
      </c>
      <c r="O84" t="s">
        <v>311</v>
      </c>
    </row>
    <row r="85" spans="1:15" ht="26.4" x14ac:dyDescent="0.3">
      <c r="A85" s="2" t="s">
        <v>226</v>
      </c>
      <c r="B85" s="2" t="str">
        <f>HYPERLINK("https://provolleyball.com/teams/indy-ignite")</f>
        <v>https://provolleyball.com/teams/indy-ignite</v>
      </c>
      <c r="C85" s="2"/>
      <c r="D85" s="2" t="s">
        <v>227</v>
      </c>
      <c r="E85" s="5">
        <v>45778.769386574073</v>
      </c>
      <c r="F85" s="2"/>
      <c r="G85" s="2"/>
      <c r="H85" s="2">
        <v>1</v>
      </c>
      <c r="I85" s="2">
        <v>16799</v>
      </c>
      <c r="J85" s="2">
        <v>141</v>
      </c>
      <c r="K85" s="2"/>
      <c r="L85" s="2"/>
      <c r="M85" s="2"/>
      <c r="N85" t="s">
        <v>291</v>
      </c>
      <c r="O85" t="s">
        <v>291</v>
      </c>
    </row>
    <row r="86" spans="1:15" ht="66" x14ac:dyDescent="0.3">
      <c r="A86" s="2" t="s">
        <v>228</v>
      </c>
      <c r="B86" s="2" t="str">
        <f>HYPERLINK("https://www.woofboomnews.com/2025/05/delaware-county-ema-director-john-couthino-shared-severe-weather-tips-wednesday-morning-on-delaware-county-today/")</f>
        <v>https://www.woofboomnews.com/2025/05/delaware-county-ema-director-john-couthino-shared-severe-weather-tips-wednesday-morning-on-delaware-county-today/</v>
      </c>
      <c r="C86" s="2"/>
      <c r="D86" s="2" t="s">
        <v>229</v>
      </c>
      <c r="E86" s="5">
        <v>45778.395405092589</v>
      </c>
      <c r="F86" s="2" t="s">
        <v>230</v>
      </c>
      <c r="G86" s="2">
        <v>1754</v>
      </c>
      <c r="H86" s="2">
        <v>0</v>
      </c>
      <c r="I86" s="2">
        <v>0</v>
      </c>
      <c r="J86" s="2">
        <v>0</v>
      </c>
      <c r="K86" s="2" t="s">
        <v>64</v>
      </c>
      <c r="L86" s="4">
        <v>16.22</v>
      </c>
      <c r="M86" s="2"/>
      <c r="N86" t="s">
        <v>308</v>
      </c>
      <c r="O86" t="s">
        <v>311</v>
      </c>
    </row>
    <row r="87" spans="1:15" ht="79.2" x14ac:dyDescent="0.3">
      <c r="A87" s="2" t="s">
        <v>231</v>
      </c>
      <c r="B87" s="2" t="str">
        <f>HYPERLINK("https://www.wthr.com/article/sports/local-sports/indy-ignite-host-final-match-2025-pvf-season-pro-volleyball-federation-sports-atlanta-vibe/531-3921fd40-66d2-4e4a-88ea-ec1a2835cb60")</f>
        <v>https://www.wthr.com/article/sports/local-sports/indy-ignite-host-final-match-2025-pvf-season-pro-volleyball-federation-sports-atlanta-vibe/531-3921fd40-66d2-4e4a-88ea-ec1a2835cb60</v>
      </c>
      <c r="C87" s="2"/>
      <c r="D87" s="2" t="s">
        <v>69</v>
      </c>
      <c r="E87" s="5">
        <v>45778.263495370367</v>
      </c>
      <c r="F87" s="2" t="s">
        <v>232</v>
      </c>
      <c r="G87" s="2">
        <v>1222012</v>
      </c>
      <c r="H87" s="2">
        <v>0</v>
      </c>
      <c r="I87" s="2">
        <v>0</v>
      </c>
      <c r="J87" s="2">
        <v>5</v>
      </c>
      <c r="K87" s="2" t="s">
        <v>25</v>
      </c>
      <c r="L87" s="4">
        <v>11303.61</v>
      </c>
      <c r="M87" s="2"/>
      <c r="N87" t="s">
        <v>290</v>
      </c>
      <c r="O87" t="s">
        <v>311</v>
      </c>
    </row>
    <row r="88" spans="1:15" ht="66" x14ac:dyDescent="0.3">
      <c r="A88" s="2" t="s">
        <v>233</v>
      </c>
      <c r="B88" s="2" t="str">
        <f>HYPERLINK("https://smallmarketmeetings.com/articles/whats-new-indiana/")</f>
        <v>https://smallmarketmeetings.com/articles/whats-new-indiana/</v>
      </c>
      <c r="C88" s="2" t="s">
        <v>234</v>
      </c>
      <c r="D88" s="2" t="s">
        <v>235</v>
      </c>
      <c r="E88" s="5">
        <v>45778.039166666669</v>
      </c>
      <c r="F88" s="2" t="s">
        <v>236</v>
      </c>
      <c r="G88" s="2">
        <v>646</v>
      </c>
      <c r="H88" s="2">
        <v>0</v>
      </c>
      <c r="I88" s="2">
        <v>0</v>
      </c>
      <c r="J88" s="2">
        <v>0</v>
      </c>
      <c r="K88" s="2" t="s">
        <v>75</v>
      </c>
      <c r="L88" s="4">
        <v>5.98</v>
      </c>
      <c r="M88" s="2"/>
      <c r="N88" t="s">
        <v>291</v>
      </c>
      <c r="O88" t="s">
        <v>291</v>
      </c>
    </row>
    <row r="89" spans="1:15" x14ac:dyDescent="0.3">
      <c r="L89"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
  <sheetViews>
    <sheetView workbookViewId="0"/>
  </sheetViews>
  <sheetFormatPr defaultRowHeight="14.4" x14ac:dyDescent="0.3"/>
  <cols>
    <col min="1" max="3" width="24" customWidth="1"/>
    <col min="4" max="4" width="16" customWidth="1"/>
    <col min="5" max="6" width="32" customWidth="1"/>
    <col min="7" max="7" width="21" customWidth="1"/>
    <col min="8" max="8" width="24" customWidth="1"/>
    <col min="9" max="9" width="48" customWidth="1"/>
    <col min="10" max="11" width="24" customWidth="1"/>
    <col min="12" max="12" width="48" customWidth="1"/>
    <col min="13" max="13" width="19" customWidth="1"/>
    <col min="14" max="15" width="32" customWidth="1"/>
  </cols>
  <sheetData>
    <row r="1" spans="1:15" x14ac:dyDescent="0.3">
      <c r="A1" s="1" t="s">
        <v>237</v>
      </c>
      <c r="B1" s="1" t="s">
        <v>238</v>
      </c>
      <c r="C1" s="1" t="s">
        <v>239</v>
      </c>
      <c r="D1" s="1" t="s">
        <v>240</v>
      </c>
      <c r="E1" s="1" t="s">
        <v>241</v>
      </c>
      <c r="F1" s="1" t="s">
        <v>242</v>
      </c>
      <c r="G1" s="1" t="s">
        <v>243</v>
      </c>
      <c r="H1" s="1" t="s">
        <v>244</v>
      </c>
      <c r="I1" s="1" t="s">
        <v>245</v>
      </c>
      <c r="J1" s="1" t="s">
        <v>246</v>
      </c>
      <c r="K1" s="1" t="s">
        <v>247</v>
      </c>
      <c r="L1" s="1" t="s">
        <v>248</v>
      </c>
      <c r="M1" s="1" t="s">
        <v>249</v>
      </c>
      <c r="N1" s="1" t="s">
        <v>250</v>
      </c>
      <c r="O1" s="1" t="s">
        <v>251</v>
      </c>
    </row>
    <row r="2" spans="1:15" ht="118.8" x14ac:dyDescent="0.3">
      <c r="A2" s="2" t="s">
        <v>252</v>
      </c>
      <c r="B2" s="2" t="s">
        <v>253</v>
      </c>
      <c r="C2" s="2" t="s">
        <v>254</v>
      </c>
      <c r="D2" s="2" t="s">
        <v>255</v>
      </c>
      <c r="E2" s="2" t="str">
        <f>HYPERLINK("http://twitter.com/AnneMarieWTHR")</f>
        <v>http://twitter.com/AnneMarieWTHR</v>
      </c>
      <c r="F2" s="2" t="str">
        <f>HYPERLINK("https://muckrack.com/wthr-anchor")</f>
        <v>https://muckrack.com/wthr-anchor</v>
      </c>
      <c r="G2" s="2">
        <v>21700</v>
      </c>
      <c r="H2" s="2" t="s">
        <v>256</v>
      </c>
      <c r="I2" s="2" t="s">
        <v>257</v>
      </c>
      <c r="J2" s="2" t="s">
        <v>258</v>
      </c>
      <c r="K2" s="2" t="s">
        <v>69</v>
      </c>
      <c r="L2" s="2" t="s">
        <v>259</v>
      </c>
      <c r="M2" s="5">
        <v>45796.729733796303</v>
      </c>
      <c r="N2" s="2" t="str">
        <f>HYPERLINK("http://twitter.com/AnneMarieWTHR/status/1924578515019550829")</f>
        <v>http://twitter.com/AnneMarieWTHR/status/1924578515019550829</v>
      </c>
      <c r="O2" s="2" t="str">
        <f>HYPERLINK("https://www.wthr.com/article/sports/indy-ignite-head-coach-george-padjen-resigns-successful-inaugural-season-pro-volleyball-federation-championship-indianapolis-indiana-sports/531-d1775720-54e7-42b3-9ddb-256531b5aa0f")</f>
        <v>https://www.wthr.com/article/sports/indy-ignite-head-coach-george-padjen-resigns-successful-inaugural-season-pro-volleyball-federation-championship-indianapolis-indiana-sports/531-d1775720-54e7-42b3-9ddb-256531b5aa0f</v>
      </c>
    </row>
    <row r="3" spans="1:15" ht="132" x14ac:dyDescent="0.3">
      <c r="A3" s="2" t="s">
        <v>79</v>
      </c>
      <c r="B3" s="2" t="s">
        <v>260</v>
      </c>
      <c r="C3" s="2" t="s">
        <v>261</v>
      </c>
      <c r="D3" s="2" t="s">
        <v>262</v>
      </c>
      <c r="E3" s="2" t="str">
        <f>HYPERLINK("http://twitter.com/AbbySchnable")</f>
        <v>http://twitter.com/AbbySchnable</v>
      </c>
      <c r="F3" s="2" t="str">
        <f>HYPERLINK("https://muckrack.com/abby-schnable")</f>
        <v>https://muckrack.com/abby-schnable</v>
      </c>
      <c r="G3" s="2">
        <v>2213</v>
      </c>
      <c r="H3" s="2" t="s">
        <v>263</v>
      </c>
      <c r="I3" s="2" t="s">
        <v>264</v>
      </c>
      <c r="J3" s="2" t="s">
        <v>265</v>
      </c>
      <c r="K3" s="2" t="s">
        <v>80</v>
      </c>
      <c r="L3" s="2" t="s">
        <v>266</v>
      </c>
      <c r="M3" s="5">
        <v>45795.421539351853</v>
      </c>
      <c r="N3" s="2" t="str">
        <f>HYPERLINK("http://twitter.com/AbbySchnable/status/1924104441600336033")</f>
        <v>http://twitter.com/AbbySchnable/status/1924104441600336033</v>
      </c>
      <c r="O3" s="2" t="str">
        <f>HYPERLINK("https://www.post-gazette.com/sports/Pitt/2025/05/18/emmy-klika-pvf-championship-volleyball/stories/202505140103")</f>
        <v>https://www.post-gazette.com/sports/Pitt/2025/05/18/emmy-klika-pvf-championship-volleyball/stories/202505140103</v>
      </c>
    </row>
    <row r="4" spans="1:15" ht="39.6" x14ac:dyDescent="0.3">
      <c r="A4" s="2" t="s">
        <v>267</v>
      </c>
      <c r="B4" s="2" t="s">
        <v>268</v>
      </c>
      <c r="C4" s="2"/>
      <c r="D4" s="2" t="s">
        <v>269</v>
      </c>
      <c r="E4" s="2" t="str">
        <f>HYPERLINK("http://twitter.com/fangsbites")</f>
        <v>http://twitter.com/fangsbites</v>
      </c>
      <c r="F4" s="2" t="str">
        <f>HYPERLINK("https://muckrack.com/ken-fang")</f>
        <v>https://muckrack.com/ken-fang</v>
      </c>
      <c r="G4" s="2">
        <v>8105</v>
      </c>
      <c r="H4" s="2" t="s">
        <v>270</v>
      </c>
      <c r="I4" s="2" t="s">
        <v>271</v>
      </c>
      <c r="J4" s="2" t="s">
        <v>265</v>
      </c>
      <c r="K4" s="2" t="s">
        <v>121</v>
      </c>
      <c r="L4" s="2" t="s">
        <v>272</v>
      </c>
      <c r="M4" s="5">
        <v>45788.37835648148</v>
      </c>
      <c r="N4" s="2" t="str">
        <f>HYPERLINK("http://twitter.com/fangsbites/status/1921552078897336364")</f>
        <v>http://twitter.com/fangsbites/status/1921552078897336364</v>
      </c>
      <c r="O4" s="2" t="str">
        <f>HYPERLINK("https://awfulannouncing.com/viewing-picks/may-10-2025-watch-nba-playoffs.html")</f>
        <v>https://awfulannouncing.com/viewing-picks/may-10-2025-watch-nba-playoffs.html</v>
      </c>
    </row>
    <row r="5" spans="1:15" ht="92.4" x14ac:dyDescent="0.3">
      <c r="A5" s="2" t="s">
        <v>273</v>
      </c>
      <c r="B5" s="2" t="s">
        <v>274</v>
      </c>
      <c r="C5" s="2" t="s">
        <v>275</v>
      </c>
      <c r="D5" s="2" t="s">
        <v>276</v>
      </c>
      <c r="E5" s="2" t="str">
        <f>HYPERLINK("http://twitter.com/gmbremer")</f>
        <v>http://twitter.com/gmbremer</v>
      </c>
      <c r="F5" s="2" t="str">
        <f>HYPERLINK("https://muckrack.com/george-bremer")</f>
        <v>https://muckrack.com/george-bremer</v>
      </c>
      <c r="G5" s="2">
        <v>16775</v>
      </c>
      <c r="H5" s="2" t="s">
        <v>277</v>
      </c>
      <c r="I5" s="2" t="s">
        <v>278</v>
      </c>
      <c r="J5" s="2" t="s">
        <v>279</v>
      </c>
      <c r="K5" s="2" t="s">
        <v>229</v>
      </c>
      <c r="L5" s="2" t="s">
        <v>280</v>
      </c>
      <c r="M5" s="5">
        <v>45778.758877314824</v>
      </c>
      <c r="N5" s="2" t="str">
        <f>HYPERLINK("http://twitter.com/gmbremer/status/1918066092750090528")</f>
        <v>http://twitter.com/gmbremer/status/1918066092750090528</v>
      </c>
      <c r="O5" s="2" t="str">
        <f>HYPERLINK("https://provolleyball.com/teams/indy-ignite")</f>
        <v>https://provolleyball.com/teams/indy-ignite</v>
      </c>
    </row>
    <row r="6" spans="1:15" ht="105.6" x14ac:dyDescent="0.3">
      <c r="A6" s="2" t="s">
        <v>273</v>
      </c>
      <c r="B6" s="2" t="s">
        <v>274</v>
      </c>
      <c r="C6" s="2" t="s">
        <v>275</v>
      </c>
      <c r="D6" s="2" t="s">
        <v>276</v>
      </c>
      <c r="E6" s="2" t="str">
        <f>HYPERLINK("http://twitter.com/gmbremer")</f>
        <v>http://twitter.com/gmbremer</v>
      </c>
      <c r="F6" s="2" t="str">
        <f>HYPERLINK("https://muckrack.com/george-bremer")</f>
        <v>https://muckrack.com/george-bremer</v>
      </c>
      <c r="G6" s="2">
        <v>16775</v>
      </c>
      <c r="H6" s="2" t="s">
        <v>277</v>
      </c>
      <c r="I6" s="2" t="s">
        <v>278</v>
      </c>
      <c r="J6" s="2" t="s">
        <v>279</v>
      </c>
      <c r="K6" s="2" t="s">
        <v>229</v>
      </c>
      <c r="L6" s="2" t="s">
        <v>281</v>
      </c>
      <c r="M6" s="5">
        <v>45788.665034722217</v>
      </c>
      <c r="N6" s="2" t="str">
        <f>HYPERLINK("http://twitter.com/gmbremer/status/1921655965163671900")</f>
        <v>http://twitter.com/gmbremer/status/1921655965163671900</v>
      </c>
      <c r="O6" s="2" t="str">
        <f>HYPERLINK("https://provolleyball.com/teams/indy-ignite")</f>
        <v>https://provolleyball.com/teams/indy-ignite</v>
      </c>
    </row>
    <row r="7" spans="1:15" ht="105.6" x14ac:dyDescent="0.3">
      <c r="A7" s="2" t="s">
        <v>5</v>
      </c>
      <c r="B7" s="2" t="s">
        <v>282</v>
      </c>
      <c r="C7" s="2"/>
      <c r="D7" s="2" t="s">
        <v>283</v>
      </c>
      <c r="E7" s="2" t="str">
        <f>HYPERLINK("http://twitter.com/CKightlinger")</f>
        <v>http://twitter.com/CKightlinger</v>
      </c>
      <c r="F7" s="2" t="str">
        <f>HYPERLINK("https://muckrack.com/ckightlinger")</f>
        <v>https://muckrack.com/ckightlinger</v>
      </c>
      <c r="G7" s="2">
        <v>8354</v>
      </c>
      <c r="H7" s="2" t="s">
        <v>284</v>
      </c>
      <c r="I7" s="2" t="s">
        <v>285</v>
      </c>
      <c r="J7" s="2" t="s">
        <v>286</v>
      </c>
      <c r="K7" s="2" t="s">
        <v>287</v>
      </c>
      <c r="L7" s="2" t="s">
        <v>288</v>
      </c>
      <c r="M7" s="5">
        <v>45786.66302083333</v>
      </c>
      <c r="N7" s="2" t="str">
        <f>HYPERLINK("http://twitter.com/CKightlinger/status/1920930460185628839")</f>
        <v>http://twitter.com/CKightlinger/status/1920930460185628839</v>
      </c>
      <c r="O7" s="2" t="str">
        <f>HYPERLINK("https://provolleyball.com/teams/indy-ignite")</f>
        <v>https://provolleyball.com/teams/indy-ignite</v>
      </c>
    </row>
    <row r="8" spans="1:15" ht="39.6" x14ac:dyDescent="0.3">
      <c r="A8" s="2" t="s">
        <v>267</v>
      </c>
      <c r="B8" s="2" t="s">
        <v>268</v>
      </c>
      <c r="C8" s="2"/>
      <c r="D8" s="2" t="s">
        <v>269</v>
      </c>
      <c r="E8" s="2" t="str">
        <f>HYPERLINK("http://twitter.com/fangsbites")</f>
        <v>http://twitter.com/fangsbites</v>
      </c>
      <c r="F8" s="2" t="str">
        <f>HYPERLINK("https://muckrack.com/ken-fang")</f>
        <v>https://muckrack.com/ken-fang</v>
      </c>
      <c r="G8" s="2">
        <v>8105</v>
      </c>
      <c r="H8" s="2" t="s">
        <v>270</v>
      </c>
      <c r="I8" s="2" t="s">
        <v>271</v>
      </c>
      <c r="J8" s="2" t="s">
        <v>265</v>
      </c>
      <c r="K8" s="2" t="s">
        <v>121</v>
      </c>
      <c r="L8" s="2" t="s">
        <v>289</v>
      </c>
      <c r="M8" s="5">
        <v>45778.295243055552</v>
      </c>
      <c r="N8" s="2" t="str">
        <f>HYPERLINK("http://twitter.com/fangsbites/status/1917898078541299907")</f>
        <v>http://twitter.com/fangsbites/status/1917898078541299907</v>
      </c>
      <c r="O8" s="2" t="str">
        <f>HYPERLINK("https://awfulannouncing.com/viewing-picks/may-1-2025-watch-nhl-stanley-cup-double-doubleheader.html")</f>
        <v>https://awfulannouncing.com/viewing-picks/may-1-2025-watch-nhl-stanley-cup-double-doubleheader.html</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Articles</vt:lpstr>
      <vt:lpstr>Journalist 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Brianna Stopher</cp:lastModifiedBy>
  <dcterms:created xsi:type="dcterms:W3CDTF">2025-06-10T16:09:23Z</dcterms:created>
  <dcterms:modified xsi:type="dcterms:W3CDTF">2025-06-18T23:45:49Z</dcterms:modified>
</cp:coreProperties>
</file>