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4" documentId="13_ncr:1_{A7C4F35A-5365-4254-8E58-37F3DBF43151}" xr6:coauthVersionLast="47" xr6:coauthVersionMax="47" xr10:uidLastSave="{E874742C-9F01-4B9E-8CBA-4327B338EF26}"/>
  <bookViews>
    <workbookView xWindow="2688" yWindow="1152" windowWidth="11112" windowHeight="11808" activeTab="1" xr2:uid="{00000000-000D-0000-FFFF-FFFF00000000}"/>
  </bookViews>
  <sheets>
    <sheet name="Summary" sheetId="1" r:id="rId1"/>
    <sheet name="Articles" sheetId="2" r:id="rId2"/>
    <sheet name="Journalist Statu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2" i="2"/>
  <c r="O201" i="3"/>
  <c r="N201" i="3"/>
  <c r="F201" i="3"/>
  <c r="E201" i="3"/>
  <c r="O200" i="3"/>
  <c r="N200" i="3"/>
  <c r="F200" i="3"/>
  <c r="E200" i="3"/>
  <c r="O199" i="3"/>
  <c r="N199" i="3"/>
  <c r="F199" i="3"/>
  <c r="E199" i="3"/>
  <c r="O198" i="3"/>
  <c r="N198" i="3"/>
  <c r="F198" i="3"/>
  <c r="E198" i="3"/>
  <c r="O197" i="3"/>
  <c r="N197" i="3"/>
  <c r="F197" i="3"/>
  <c r="E197" i="3"/>
  <c r="O196" i="3"/>
  <c r="N196" i="3"/>
  <c r="F196" i="3"/>
  <c r="E196" i="3"/>
  <c r="O195" i="3"/>
  <c r="N195" i="3"/>
  <c r="F195" i="3"/>
  <c r="E195" i="3"/>
  <c r="O194" i="3"/>
  <c r="N194" i="3"/>
  <c r="F194" i="3"/>
  <c r="E194" i="3"/>
  <c r="O193" i="3"/>
  <c r="N193" i="3"/>
  <c r="F193" i="3"/>
  <c r="E193" i="3"/>
  <c r="O192" i="3"/>
  <c r="N192" i="3"/>
  <c r="F192" i="3"/>
  <c r="E192" i="3"/>
  <c r="O191" i="3"/>
  <c r="N191" i="3"/>
  <c r="F191" i="3"/>
  <c r="E191" i="3"/>
  <c r="O190" i="3"/>
  <c r="N190" i="3"/>
  <c r="F190" i="3"/>
  <c r="E190" i="3"/>
  <c r="O189" i="3"/>
  <c r="N189" i="3"/>
  <c r="F189" i="3"/>
  <c r="E189" i="3"/>
  <c r="O188" i="3"/>
  <c r="N188" i="3"/>
  <c r="F188" i="3"/>
  <c r="E188" i="3"/>
  <c r="O187" i="3"/>
  <c r="N187" i="3"/>
  <c r="F187" i="3"/>
  <c r="E187" i="3"/>
  <c r="O186" i="3"/>
  <c r="N186" i="3"/>
  <c r="F186" i="3"/>
  <c r="E186" i="3"/>
  <c r="O185" i="3"/>
  <c r="N185" i="3"/>
  <c r="F185" i="3"/>
  <c r="E185" i="3"/>
  <c r="O184" i="3"/>
  <c r="N184" i="3"/>
  <c r="F184" i="3"/>
  <c r="E184" i="3"/>
  <c r="O183" i="3"/>
  <c r="N183" i="3"/>
  <c r="F183" i="3"/>
  <c r="E183" i="3"/>
  <c r="O182" i="3"/>
  <c r="N182" i="3"/>
  <c r="F182" i="3"/>
  <c r="E182" i="3"/>
  <c r="O181" i="3"/>
  <c r="N181" i="3"/>
  <c r="F181" i="3"/>
  <c r="E181" i="3"/>
  <c r="O180" i="3"/>
  <c r="N180" i="3"/>
  <c r="F180" i="3"/>
  <c r="E180" i="3"/>
  <c r="O179" i="3"/>
  <c r="N179" i="3"/>
  <c r="F179" i="3"/>
  <c r="E179" i="3"/>
  <c r="O178" i="3"/>
  <c r="N178" i="3"/>
  <c r="F178" i="3"/>
  <c r="E178" i="3"/>
  <c r="O177" i="3"/>
  <c r="N177" i="3"/>
  <c r="F177" i="3"/>
  <c r="E177" i="3"/>
  <c r="O176" i="3"/>
  <c r="N176" i="3"/>
  <c r="F176" i="3"/>
  <c r="E176" i="3"/>
  <c r="O175" i="3"/>
  <c r="N175" i="3"/>
  <c r="F175" i="3"/>
  <c r="E175" i="3"/>
  <c r="O174" i="3"/>
  <c r="N174" i="3"/>
  <c r="F174" i="3"/>
  <c r="E174" i="3"/>
  <c r="O173" i="3"/>
  <c r="N173" i="3"/>
  <c r="F173" i="3"/>
  <c r="E173" i="3"/>
  <c r="O172" i="3"/>
  <c r="N172" i="3"/>
  <c r="F172" i="3"/>
  <c r="E172" i="3"/>
  <c r="O171" i="3"/>
  <c r="N171" i="3"/>
  <c r="F171" i="3"/>
  <c r="E171" i="3"/>
  <c r="O170" i="3"/>
  <c r="N170" i="3"/>
  <c r="F170" i="3"/>
  <c r="E170" i="3"/>
  <c r="O169" i="3"/>
  <c r="N169" i="3"/>
  <c r="F169" i="3"/>
  <c r="E169" i="3"/>
  <c r="O168" i="3"/>
  <c r="N168" i="3"/>
  <c r="F168" i="3"/>
  <c r="E168" i="3"/>
  <c r="O167" i="3"/>
  <c r="N167" i="3"/>
  <c r="F167" i="3"/>
  <c r="E167" i="3"/>
  <c r="O166" i="3"/>
  <c r="N166" i="3"/>
  <c r="F166" i="3"/>
  <c r="E166" i="3"/>
  <c r="O165" i="3"/>
  <c r="N165" i="3"/>
  <c r="F165" i="3"/>
  <c r="E165" i="3"/>
  <c r="O164" i="3"/>
  <c r="N164" i="3"/>
  <c r="F164" i="3"/>
  <c r="E164" i="3"/>
  <c r="O163" i="3"/>
  <c r="N163" i="3"/>
  <c r="F163" i="3"/>
  <c r="E163" i="3"/>
  <c r="O162" i="3"/>
  <c r="N162" i="3"/>
  <c r="F162" i="3"/>
  <c r="E162" i="3"/>
  <c r="O161" i="3"/>
  <c r="N161" i="3"/>
  <c r="F161" i="3"/>
  <c r="E161" i="3"/>
  <c r="O160" i="3"/>
  <c r="N160" i="3"/>
  <c r="F160" i="3"/>
  <c r="E160" i="3"/>
  <c r="O159" i="3"/>
  <c r="N159" i="3"/>
  <c r="F159" i="3"/>
  <c r="E159" i="3"/>
  <c r="O158" i="3"/>
  <c r="N158" i="3"/>
  <c r="F158" i="3"/>
  <c r="E158" i="3"/>
  <c r="O157" i="3"/>
  <c r="N157" i="3"/>
  <c r="F157" i="3"/>
  <c r="E157" i="3"/>
  <c r="O156" i="3"/>
  <c r="N156" i="3"/>
  <c r="F156" i="3"/>
  <c r="E156" i="3"/>
  <c r="O155" i="3"/>
  <c r="N155" i="3"/>
  <c r="F155" i="3"/>
  <c r="E155" i="3"/>
  <c r="O154" i="3"/>
  <c r="N154" i="3"/>
  <c r="F154" i="3"/>
  <c r="E154" i="3"/>
  <c r="O153" i="3"/>
  <c r="N153" i="3"/>
  <c r="F153" i="3"/>
  <c r="E153" i="3"/>
  <c r="O152" i="3"/>
  <c r="N152" i="3"/>
  <c r="F152" i="3"/>
  <c r="E152" i="3"/>
  <c r="O151" i="3"/>
  <c r="N151" i="3"/>
  <c r="F151" i="3"/>
  <c r="E151" i="3"/>
  <c r="O150" i="3"/>
  <c r="N150" i="3"/>
  <c r="F150" i="3"/>
  <c r="E150" i="3"/>
  <c r="O149" i="3"/>
  <c r="N149" i="3"/>
  <c r="F149" i="3"/>
  <c r="E149" i="3"/>
  <c r="O148" i="3"/>
  <c r="N148" i="3"/>
  <c r="F148" i="3"/>
  <c r="E148" i="3"/>
  <c r="O147" i="3"/>
  <c r="N147" i="3"/>
  <c r="F147" i="3"/>
  <c r="E147" i="3"/>
  <c r="O146" i="3"/>
  <c r="N146" i="3"/>
  <c r="F146" i="3"/>
  <c r="E146" i="3"/>
  <c r="O145" i="3"/>
  <c r="N145" i="3"/>
  <c r="F145" i="3"/>
  <c r="E145" i="3"/>
  <c r="O144" i="3"/>
  <c r="N144" i="3"/>
  <c r="F144" i="3"/>
  <c r="E144" i="3"/>
  <c r="O143" i="3"/>
  <c r="N143" i="3"/>
  <c r="F143" i="3"/>
  <c r="E143" i="3"/>
  <c r="O142" i="3"/>
  <c r="N142" i="3"/>
  <c r="F142" i="3"/>
  <c r="E142" i="3"/>
  <c r="O141" i="3"/>
  <c r="N141" i="3"/>
  <c r="F141" i="3"/>
  <c r="E141" i="3"/>
  <c r="O140" i="3"/>
  <c r="N140" i="3"/>
  <c r="F140" i="3"/>
  <c r="E140" i="3"/>
  <c r="O139" i="3"/>
  <c r="N139" i="3"/>
  <c r="F139" i="3"/>
  <c r="E139" i="3"/>
  <c r="O138" i="3"/>
  <c r="N138" i="3"/>
  <c r="F138" i="3"/>
  <c r="E138" i="3"/>
  <c r="O137" i="3"/>
  <c r="N137" i="3"/>
  <c r="F137" i="3"/>
  <c r="E137" i="3"/>
  <c r="O136" i="3"/>
  <c r="N136" i="3"/>
  <c r="F136" i="3"/>
  <c r="E136" i="3"/>
  <c r="O135" i="3"/>
  <c r="N135" i="3"/>
  <c r="F135" i="3"/>
  <c r="E135" i="3"/>
  <c r="O134" i="3"/>
  <c r="N134" i="3"/>
  <c r="F134" i="3"/>
  <c r="E134" i="3"/>
  <c r="O133" i="3"/>
  <c r="N133" i="3"/>
  <c r="F133" i="3"/>
  <c r="E133" i="3"/>
  <c r="O132" i="3"/>
  <c r="N132" i="3"/>
  <c r="F132" i="3"/>
  <c r="E132" i="3"/>
  <c r="O131" i="3"/>
  <c r="N131" i="3"/>
  <c r="F131" i="3"/>
  <c r="E131" i="3"/>
  <c r="O130" i="3"/>
  <c r="N130" i="3"/>
  <c r="F130" i="3"/>
  <c r="E130" i="3"/>
  <c r="O129" i="3"/>
  <c r="N129" i="3"/>
  <c r="F129" i="3"/>
  <c r="E129" i="3"/>
  <c r="O128" i="3"/>
  <c r="N128" i="3"/>
  <c r="F128" i="3"/>
  <c r="E128" i="3"/>
  <c r="O127" i="3"/>
  <c r="N127" i="3"/>
  <c r="F127" i="3"/>
  <c r="E127" i="3"/>
  <c r="O126" i="3"/>
  <c r="N126" i="3"/>
  <c r="F126" i="3"/>
  <c r="E126" i="3"/>
  <c r="O125" i="3"/>
  <c r="N125" i="3"/>
  <c r="F125" i="3"/>
  <c r="E125" i="3"/>
  <c r="O124" i="3"/>
  <c r="N124" i="3"/>
  <c r="F124" i="3"/>
  <c r="E124" i="3"/>
  <c r="O123" i="3"/>
  <c r="N123" i="3"/>
  <c r="F123" i="3"/>
  <c r="E123" i="3"/>
  <c r="O122" i="3"/>
  <c r="N122" i="3"/>
  <c r="F122" i="3"/>
  <c r="E122" i="3"/>
  <c r="O121" i="3"/>
  <c r="N121" i="3"/>
  <c r="F121" i="3"/>
  <c r="E121" i="3"/>
  <c r="O120" i="3"/>
  <c r="N120" i="3"/>
  <c r="F120" i="3"/>
  <c r="E120" i="3"/>
  <c r="O119" i="3"/>
  <c r="N119" i="3"/>
  <c r="F119" i="3"/>
  <c r="E119" i="3"/>
  <c r="O118" i="3"/>
  <c r="N118" i="3"/>
  <c r="F118" i="3"/>
  <c r="E118" i="3"/>
  <c r="O117" i="3"/>
  <c r="N117" i="3"/>
  <c r="F117" i="3"/>
  <c r="E117" i="3"/>
  <c r="O116" i="3"/>
  <c r="N116" i="3"/>
  <c r="F116" i="3"/>
  <c r="E116" i="3"/>
  <c r="O115" i="3"/>
  <c r="N115" i="3"/>
  <c r="F115" i="3"/>
  <c r="E115" i="3"/>
  <c r="O114" i="3"/>
  <c r="N114" i="3"/>
  <c r="F114" i="3"/>
  <c r="E114" i="3"/>
  <c r="O113" i="3"/>
  <c r="N113" i="3"/>
  <c r="F113" i="3"/>
  <c r="E113" i="3"/>
  <c r="O112" i="3"/>
  <c r="N112" i="3"/>
  <c r="F112" i="3"/>
  <c r="E112" i="3"/>
  <c r="O111" i="3"/>
  <c r="N111" i="3"/>
  <c r="F111" i="3"/>
  <c r="E111" i="3"/>
  <c r="O110" i="3"/>
  <c r="N110" i="3"/>
  <c r="F110" i="3"/>
  <c r="E110" i="3"/>
  <c r="O109" i="3"/>
  <c r="N109" i="3"/>
  <c r="F109" i="3"/>
  <c r="E109" i="3"/>
  <c r="O108" i="3"/>
  <c r="N108" i="3"/>
  <c r="F108" i="3"/>
  <c r="E108" i="3"/>
  <c r="O107" i="3"/>
  <c r="N107" i="3"/>
  <c r="F107" i="3"/>
  <c r="E107" i="3"/>
  <c r="O106" i="3"/>
  <c r="N106" i="3"/>
  <c r="F106" i="3"/>
  <c r="E106" i="3"/>
  <c r="O105" i="3"/>
  <c r="N105" i="3"/>
  <c r="F105" i="3"/>
  <c r="E105" i="3"/>
  <c r="O104" i="3"/>
  <c r="N104" i="3"/>
  <c r="F104" i="3"/>
  <c r="E104" i="3"/>
  <c r="O103" i="3"/>
  <c r="N103" i="3"/>
  <c r="F103" i="3"/>
  <c r="E103" i="3"/>
  <c r="O102" i="3"/>
  <c r="N102" i="3"/>
  <c r="F102" i="3"/>
  <c r="E102" i="3"/>
  <c r="O101" i="3"/>
  <c r="N101" i="3"/>
  <c r="F101" i="3"/>
  <c r="E101" i="3"/>
  <c r="O100" i="3"/>
  <c r="N100" i="3"/>
  <c r="F100" i="3"/>
  <c r="E100" i="3"/>
  <c r="O99" i="3"/>
  <c r="N99" i="3"/>
  <c r="F99" i="3"/>
  <c r="E99" i="3"/>
  <c r="O98" i="3"/>
  <c r="N98" i="3"/>
  <c r="F98" i="3"/>
  <c r="E98" i="3"/>
  <c r="O97" i="3"/>
  <c r="N97" i="3"/>
  <c r="F97" i="3"/>
  <c r="E97" i="3"/>
  <c r="O96" i="3"/>
  <c r="N96" i="3"/>
  <c r="F96" i="3"/>
  <c r="E96" i="3"/>
  <c r="O95" i="3"/>
  <c r="N95" i="3"/>
  <c r="F95" i="3"/>
  <c r="E95" i="3"/>
  <c r="O94" i="3"/>
  <c r="N94" i="3"/>
  <c r="F94" i="3"/>
  <c r="E94" i="3"/>
  <c r="O93" i="3"/>
  <c r="N93" i="3"/>
  <c r="F93" i="3"/>
  <c r="E93" i="3"/>
  <c r="O92" i="3"/>
  <c r="N92" i="3"/>
  <c r="F92" i="3"/>
  <c r="E92" i="3"/>
  <c r="O91" i="3"/>
  <c r="N91" i="3"/>
  <c r="F91" i="3"/>
  <c r="E91" i="3"/>
  <c r="O90" i="3"/>
  <c r="N90" i="3"/>
  <c r="F90" i="3"/>
  <c r="E90" i="3"/>
  <c r="O89" i="3"/>
  <c r="N89" i="3"/>
  <c r="F89" i="3"/>
  <c r="E89" i="3"/>
  <c r="O88" i="3"/>
  <c r="N88" i="3"/>
  <c r="F88" i="3"/>
  <c r="E88" i="3"/>
  <c r="O87" i="3"/>
  <c r="N87" i="3"/>
  <c r="F87" i="3"/>
  <c r="E87" i="3"/>
  <c r="O86" i="3"/>
  <c r="N86" i="3"/>
  <c r="F86" i="3"/>
  <c r="E86" i="3"/>
  <c r="O85" i="3"/>
  <c r="N85" i="3"/>
  <c r="F85" i="3"/>
  <c r="E85" i="3"/>
  <c r="O84" i="3"/>
  <c r="N84" i="3"/>
  <c r="F84" i="3"/>
  <c r="E84" i="3"/>
  <c r="O83" i="3"/>
  <c r="N83" i="3"/>
  <c r="F83" i="3"/>
  <c r="E83" i="3"/>
  <c r="O82" i="3"/>
  <c r="N82" i="3"/>
  <c r="F82" i="3"/>
  <c r="E82" i="3"/>
  <c r="O81" i="3"/>
  <c r="N81" i="3"/>
  <c r="F81" i="3"/>
  <c r="E81" i="3"/>
  <c r="O80" i="3"/>
  <c r="N80" i="3"/>
  <c r="F80" i="3"/>
  <c r="E80" i="3"/>
  <c r="O79" i="3"/>
  <c r="N79" i="3"/>
  <c r="F79" i="3"/>
  <c r="E79" i="3"/>
  <c r="O78" i="3"/>
  <c r="N78" i="3"/>
  <c r="F78" i="3"/>
  <c r="E78" i="3"/>
  <c r="O77" i="3"/>
  <c r="N77" i="3"/>
  <c r="F77" i="3"/>
  <c r="E77" i="3"/>
  <c r="O76" i="3"/>
  <c r="N76" i="3"/>
  <c r="F76" i="3"/>
  <c r="E76" i="3"/>
  <c r="O75" i="3"/>
  <c r="N75" i="3"/>
  <c r="F75" i="3"/>
  <c r="E75" i="3"/>
  <c r="O74" i="3"/>
  <c r="N74" i="3"/>
  <c r="F74" i="3"/>
  <c r="E74" i="3"/>
  <c r="O73" i="3"/>
  <c r="N73" i="3"/>
  <c r="F73" i="3"/>
  <c r="E73" i="3"/>
  <c r="O72" i="3"/>
  <c r="N72" i="3"/>
  <c r="F72" i="3"/>
  <c r="E72" i="3"/>
  <c r="O71" i="3"/>
  <c r="N71" i="3"/>
  <c r="F71" i="3"/>
  <c r="E71" i="3"/>
  <c r="O70" i="3"/>
  <c r="N70" i="3"/>
  <c r="F70" i="3"/>
  <c r="E70" i="3"/>
  <c r="O69" i="3"/>
  <c r="N69" i="3"/>
  <c r="F69" i="3"/>
  <c r="E69" i="3"/>
  <c r="O68" i="3"/>
  <c r="N68" i="3"/>
  <c r="F68" i="3"/>
  <c r="E68" i="3"/>
  <c r="O67" i="3"/>
  <c r="N67" i="3"/>
  <c r="F67" i="3"/>
  <c r="E67" i="3"/>
  <c r="O66" i="3"/>
  <c r="N66" i="3"/>
  <c r="F66" i="3"/>
  <c r="E66" i="3"/>
  <c r="O65" i="3"/>
  <c r="N65" i="3"/>
  <c r="F65" i="3"/>
  <c r="E65" i="3"/>
  <c r="O64" i="3"/>
  <c r="N64" i="3"/>
  <c r="F64" i="3"/>
  <c r="E64" i="3"/>
  <c r="O63" i="3"/>
  <c r="N63" i="3"/>
  <c r="F63" i="3"/>
  <c r="E63" i="3"/>
  <c r="O62" i="3"/>
  <c r="N62" i="3"/>
  <c r="F62" i="3"/>
  <c r="E62" i="3"/>
  <c r="O61" i="3"/>
  <c r="N61" i="3"/>
  <c r="F61" i="3"/>
  <c r="E61" i="3"/>
  <c r="O60" i="3"/>
  <c r="N60" i="3"/>
  <c r="F60" i="3"/>
  <c r="E60" i="3"/>
  <c r="O59" i="3"/>
  <c r="N59" i="3"/>
  <c r="F59" i="3"/>
  <c r="E59" i="3"/>
  <c r="O58" i="3"/>
  <c r="N58" i="3"/>
  <c r="F58" i="3"/>
  <c r="E58" i="3"/>
  <c r="O57" i="3"/>
  <c r="N57" i="3"/>
  <c r="F57" i="3"/>
  <c r="E57" i="3"/>
  <c r="O56" i="3"/>
  <c r="N56" i="3"/>
  <c r="F56" i="3"/>
  <c r="E56" i="3"/>
  <c r="O55" i="3"/>
  <c r="N55" i="3"/>
  <c r="F55" i="3"/>
  <c r="E55" i="3"/>
  <c r="O54" i="3"/>
  <c r="N54" i="3"/>
  <c r="F54" i="3"/>
  <c r="E54" i="3"/>
  <c r="O53" i="3"/>
  <c r="N53" i="3"/>
  <c r="F53" i="3"/>
  <c r="E53" i="3"/>
  <c r="O52" i="3"/>
  <c r="N52" i="3"/>
  <c r="F52" i="3"/>
  <c r="E52" i="3"/>
  <c r="O51" i="3"/>
  <c r="N51" i="3"/>
  <c r="F51" i="3"/>
  <c r="E51" i="3"/>
  <c r="O50" i="3"/>
  <c r="N50" i="3"/>
  <c r="F50" i="3"/>
  <c r="E50" i="3"/>
  <c r="O49" i="3"/>
  <c r="N49" i="3"/>
  <c r="F49" i="3"/>
  <c r="E49" i="3"/>
  <c r="O48" i="3"/>
  <c r="N48" i="3"/>
  <c r="F48" i="3"/>
  <c r="E48" i="3"/>
  <c r="O47" i="3"/>
  <c r="N47" i="3"/>
  <c r="F47" i="3"/>
  <c r="E47" i="3"/>
  <c r="O46" i="3"/>
  <c r="N46" i="3"/>
  <c r="F46" i="3"/>
  <c r="E46" i="3"/>
  <c r="O45" i="3"/>
  <c r="N45" i="3"/>
  <c r="F45" i="3"/>
  <c r="E45" i="3"/>
  <c r="O44" i="3"/>
  <c r="N44" i="3"/>
  <c r="F44" i="3"/>
  <c r="E44" i="3"/>
  <c r="O43" i="3"/>
  <c r="N43" i="3"/>
  <c r="F43" i="3"/>
  <c r="E43" i="3"/>
  <c r="O42" i="3"/>
  <c r="N42" i="3"/>
  <c r="F42" i="3"/>
  <c r="E42" i="3"/>
  <c r="O41" i="3"/>
  <c r="N41" i="3"/>
  <c r="F41" i="3"/>
  <c r="E41" i="3"/>
  <c r="O40" i="3"/>
  <c r="N40" i="3"/>
  <c r="F40" i="3"/>
  <c r="E40" i="3"/>
  <c r="O39" i="3"/>
  <c r="N39" i="3"/>
  <c r="F39" i="3"/>
  <c r="E39" i="3"/>
  <c r="O38" i="3"/>
  <c r="N38" i="3"/>
  <c r="F38" i="3"/>
  <c r="E38" i="3"/>
  <c r="O37" i="3"/>
  <c r="N37" i="3"/>
  <c r="F37" i="3"/>
  <c r="E37" i="3"/>
  <c r="O36" i="3"/>
  <c r="N36" i="3"/>
  <c r="F36" i="3"/>
  <c r="E36" i="3"/>
  <c r="O35" i="3"/>
  <c r="N35" i="3"/>
  <c r="F35" i="3"/>
  <c r="E35" i="3"/>
  <c r="O34" i="3"/>
  <c r="N34" i="3"/>
  <c r="F34" i="3"/>
  <c r="E34" i="3"/>
  <c r="O33" i="3"/>
  <c r="N33" i="3"/>
  <c r="F33" i="3"/>
  <c r="E33" i="3"/>
  <c r="O32" i="3"/>
  <c r="N32" i="3"/>
  <c r="F32" i="3"/>
  <c r="E32" i="3"/>
  <c r="O31" i="3"/>
  <c r="N31" i="3"/>
  <c r="F31" i="3"/>
  <c r="E31" i="3"/>
  <c r="O30" i="3"/>
  <c r="N30" i="3"/>
  <c r="F30" i="3"/>
  <c r="E30" i="3"/>
  <c r="O29" i="3"/>
  <c r="N29" i="3"/>
  <c r="F29" i="3"/>
  <c r="E29" i="3"/>
  <c r="O28" i="3"/>
  <c r="N28" i="3"/>
  <c r="F28" i="3"/>
  <c r="E28" i="3"/>
  <c r="O27" i="3"/>
  <c r="N27" i="3"/>
  <c r="F27" i="3"/>
  <c r="E27" i="3"/>
  <c r="O26" i="3"/>
  <c r="N26" i="3"/>
  <c r="F26" i="3"/>
  <c r="E26" i="3"/>
  <c r="O25" i="3"/>
  <c r="N25" i="3"/>
  <c r="F25" i="3"/>
  <c r="E25" i="3"/>
  <c r="O24" i="3"/>
  <c r="N24" i="3"/>
  <c r="F24" i="3"/>
  <c r="E24" i="3"/>
  <c r="O23" i="3"/>
  <c r="N23" i="3"/>
  <c r="F23" i="3"/>
  <c r="E23" i="3"/>
  <c r="O22" i="3"/>
  <c r="N22" i="3"/>
  <c r="F22" i="3"/>
  <c r="E22" i="3"/>
  <c r="O21" i="3"/>
  <c r="N21" i="3"/>
  <c r="F21" i="3"/>
  <c r="E21" i="3"/>
  <c r="O20" i="3"/>
  <c r="N20" i="3"/>
  <c r="F20" i="3"/>
  <c r="E20" i="3"/>
  <c r="O19" i="3"/>
  <c r="N19" i="3"/>
  <c r="F19" i="3"/>
  <c r="E19" i="3"/>
  <c r="O18" i="3"/>
  <c r="N18" i="3"/>
  <c r="F18" i="3"/>
  <c r="E18" i="3"/>
  <c r="O17" i="3"/>
  <c r="N17" i="3"/>
  <c r="F17" i="3"/>
  <c r="E17" i="3"/>
  <c r="O16" i="3"/>
  <c r="N16" i="3"/>
  <c r="F16" i="3"/>
  <c r="E16" i="3"/>
  <c r="O15" i="3"/>
  <c r="N15" i="3"/>
  <c r="F15" i="3"/>
  <c r="E15" i="3"/>
  <c r="O14" i="3"/>
  <c r="N14" i="3"/>
  <c r="F14" i="3"/>
  <c r="E14" i="3"/>
  <c r="O13" i="3"/>
  <c r="N13" i="3"/>
  <c r="F13" i="3"/>
  <c r="E13" i="3"/>
  <c r="O12" i="3"/>
  <c r="N12" i="3"/>
  <c r="F12" i="3"/>
  <c r="E12" i="3"/>
  <c r="O11" i="3"/>
  <c r="N11" i="3"/>
  <c r="F11" i="3"/>
  <c r="E11" i="3"/>
  <c r="O10" i="3"/>
  <c r="N10" i="3"/>
  <c r="F10" i="3"/>
  <c r="E10" i="3"/>
  <c r="O9" i="3"/>
  <c r="N9" i="3"/>
  <c r="F9" i="3"/>
  <c r="E9" i="3"/>
  <c r="O8" i="3"/>
  <c r="N8" i="3"/>
  <c r="F8" i="3"/>
  <c r="E8" i="3"/>
  <c r="O7" i="3"/>
  <c r="N7" i="3"/>
  <c r="F7" i="3"/>
  <c r="E7" i="3"/>
  <c r="O6" i="3"/>
  <c r="N6" i="3"/>
  <c r="F6" i="3"/>
  <c r="E6" i="3"/>
  <c r="O5" i="3"/>
  <c r="N5" i="3"/>
  <c r="F5" i="3"/>
  <c r="E5" i="3"/>
  <c r="O4" i="3"/>
  <c r="N4" i="3"/>
  <c r="F4" i="3"/>
  <c r="E4" i="3"/>
  <c r="O3" i="3"/>
  <c r="N3" i="3"/>
  <c r="F3" i="3"/>
  <c r="E3" i="3"/>
  <c r="O2" i="3"/>
  <c r="N2" i="3"/>
  <c r="F2" i="3"/>
  <c r="E2" i="3"/>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2" i="1"/>
</calcChain>
</file>

<file path=xl/sharedStrings.xml><?xml version="1.0" encoding="utf-8"?>
<sst xmlns="http://schemas.openxmlformats.org/spreadsheetml/2006/main" count="2263" uniqueCount="797">
  <si>
    <t>Report</t>
  </si>
  <si>
    <t>Indy Fuel Raw Reports (Oct. 2024-April 2025)</t>
  </si>
  <si>
    <t>URL</t>
  </si>
  <si>
    <t>Exported On</t>
  </si>
  <si>
    <t>Generated By</t>
  </si>
  <si>
    <t>Cathy Kightlinger</t>
  </si>
  <si>
    <t>Links</t>
  </si>
  <si>
    <t>Total Engagement</t>
  </si>
  <si>
    <t>Average Engagement</t>
  </si>
  <si>
    <t>Total UVM (Insights by Similarweb)</t>
  </si>
  <si>
    <t>Total Journalist Shares</t>
  </si>
  <si>
    <t>Total Journalist Reach</t>
  </si>
  <si>
    <t>Article</t>
  </si>
  <si>
    <t>Author</t>
  </si>
  <si>
    <t>Media Outlet</t>
  </si>
  <si>
    <t>Published</t>
  </si>
  <si>
    <t>Snippet</t>
  </si>
  <si>
    <t>UVM (Insights by Similarweb)</t>
  </si>
  <si>
    <t>Journalist Shares</t>
  </si>
  <si>
    <t>Journalist Reach</t>
  </si>
  <si>
    <t>Sentiment</t>
  </si>
  <si>
    <t>Pitch Placement</t>
  </si>
  <si>
    <t>Neutral</t>
  </si>
  <si>
    <t>Chris Peters</t>
  </si>
  <si>
    <t>FloHockey</t>
  </si>
  <si>
    <t>Stephen Kerr</t>
  </si>
  <si>
    <t>Yahoo Sports Canada</t>
  </si>
  <si>
    <t>Yahoo Sports</t>
  </si>
  <si>
    <t>Mark Monroe</t>
  </si>
  <si>
    <t>The Toledo Blade</t>
  </si>
  <si>
    <t>Positive</t>
  </si>
  <si>
    <t>Our Sports Central</t>
  </si>
  <si>
    <t>The IN List 2024: 4/28 - 5/4</t>
  </si>
  <si>
    <t>Chelsea Kopelman</t>
  </si>
  <si>
    <t>Keeping Up in Carmel</t>
  </si>
  <si>
    <t>Indy Fuel vs. Toledo Walleye: 7pm. Fishers Event Center - Fishers. Tickets required.
Tuesday, Apr 29
Carmel Main Library Events: 425 E Main St, Carmel, IN. 
Play-Doh Maker Station: Garden:10:30am-11am. Ages 4-6. Free tickets available first come first serve at the kid’s desk 30min before start.</t>
  </si>
  <si>
    <t>Carter Eckl</t>
  </si>
  <si>
    <t>Nevada Appeal</t>
  </si>
  <si>
    <t>Negative</t>
  </si>
  <si>
    <t>James Krause</t>
  </si>
  <si>
    <t>The Journal Gazette</t>
  </si>
  <si>
    <t>Toledo Walleye sweep Indy Fuel</t>
  </si>
  <si>
    <t>WTOL-TV (Toledo, OH)</t>
  </si>
  <si>
    <t>The Walleye move on to the next round of the Kelly Cup. 
 Author: wtol.com
 Published: 4:22 PM EDT April 23, 2025
 Updated: 4:22 PM EDT April 23, 2025</t>
  </si>
  <si>
    <t>WANE-TV (Fort Wayne, IN)</t>
  </si>
  <si>
    <t>Walleye sweep Indy Fuel, advance to second round of Kelly Cup Playoffs</t>
  </si>
  <si>
    <t>Victoria Dugger</t>
  </si>
  <si>
    <t>INDIANAPOLIS — One win away from punching their ticket to the second round of the Kelly Cup Playoffs, the Toledo Walleye took care of business Tuesday night with a 3-2 victory over the Indy Fuel, completing a first-round sweep and extending a remarkable playoff run.</t>
  </si>
  <si>
    <t>komets.com</t>
  </si>
  <si>
    <t>Fish Sweep Fuel, Advance To Central Division Finals</t>
  </si>
  <si>
    <t>One part of the Central Division Finals is now set, following the Toledo Walleye’s 4-2 victory over the Indy Fuel Tuesday night.
Toledo swept the seven-game series in four games and will meet the winner of the Fort Wayne Komets-Iowa Heartlanders series.</t>
  </si>
  <si>
    <t>ECHL Central Division Semifinals: Toledo Walleye Sweep Indy Fuel</t>
  </si>
  <si>
    <t>Karen Zehner</t>
  </si>
  <si>
    <t>Inside The Rink</t>
  </si>
  <si>
    <t>Photo: Indy Fuel 
The Toledo Walleye didn’t just win their opening-round series—they dominated it. In a methodical, high-execution performance from top to bottom, the Walleye swept the Indy Fuel in four straight games in the 2025 Kelly Cup Playoffs Central Division Semifinal.</t>
  </si>
  <si>
    <t>Video: Watch every goal scored by the Walleye in the Indy series</t>
  </si>
  <si>
    <t>After a convincing series win over the Indy Fuel, Toledo continues its chase of a Kelly Cup in the ECHL playoffs. The Walleye will face either Fort Wayne or Iowa in the Central Division finals.
Here is video of how Toledo swept Indy — every goal scored by the Walleye during the series.</t>
  </si>
  <si>
    <t>Belleville News-Democrat</t>
  </si>
  <si>
    <t>Fuel Close out Record Breaking Season with a Hard Fought Battle against Toledo</t>
  </si>
  <si>
    <t>April 23, 2025 - ECHL (ECHL)
Indy Fuel News Release
FISHERS - The Fuel hosted the Toledo Walleye on Tuesday night as they faced elimination from the Kelly Cup Playoffs.</t>
  </si>
  <si>
    <t>Chicago Tribune</t>
  </si>
  <si>
    <t>Walleye Advance to Central Division Finals with Game 4 Win at Indy</t>
  </si>
  <si>
    <t>April 22, 2025 - ECHL (ECHL)
Toledo Walleye News Release
Fishers, IN - The Toledo Walleye defeated the Indy Fuel and completed the series sweep as they advanced to the Central Division finals. The final score of Game 4 was 4-2.</t>
  </si>
  <si>
    <t>Walleye post series sweep of Indy with 4-2 win in Game 4 of division semifinals</t>
  </si>
  <si>
    <t>. — The Toledo Walleye continued their absolute mastery of the Indy Fuel with a convincing four-game sweep in the ECHL Central Division semifinals.
The Walleye defeated the Fuel 4-2 in Game 4 of the series before a crowd of 2,805 at Fishers Event Center on Tuesday night.</t>
  </si>
  <si>
    <t>Indy Fuel end the season, losing to Toledo Walleye in playoff game 4</t>
  </si>
  <si>
    <t>larryInFishers</t>
  </si>
  <si>
    <t>This 2024-2025 hockey season did not start easily for the Indy Fuel.  The first 15 games of the season had them on road ice, waiting for their new venue’s construction to be completed.</t>
  </si>
  <si>
    <t>Asking Indy Fuel fans their thoughts on Toledo ahead of Game 4</t>
  </si>
  <si>
    <t>WTOL 11 Sports reporter Tyler Seggerman asked some Indy fans about Toledo and got some mixed reviews. 
 Author: wtol.com
 Published: 5:34 PM EDT April 22, 2025
 Updated: 5:34 PM EDT April 22, 2025</t>
  </si>
  <si>
    <t>Fuel Fall 5-3 to Toledo on Monday Night</t>
  </si>
  <si>
    <t>April 22, 2025 - ECHL (ECHL)
Indy Fuel News Release
FISHERS - The Fuel hosted the Toledo Walleye on Monday night for Game 3 of the divisional semifinal round of the Kelly Cup Playoffs. After going down in the series 0-2 last week in Toledo, Indy looked to bounce back with home ice advantage.</t>
  </si>
  <si>
    <t>Allison Petty</t>
  </si>
  <si>
    <t>Pantagraph</t>
  </si>
  <si>
    <t>Walleye Take 3-0 Series Lead with 5-3 Win Over Fuel in Game 3</t>
  </si>
  <si>
    <t>The Indy Fuel dropped Game 3 of the Central Division Semifinals Monday night, falling 5-3 to the Toledo Walleye at the Fishers Event Center. With the loss, the Fuel now trail 0-3 in the best-of-seven Kelly Cup Playoff series.</t>
  </si>
  <si>
    <t>Hawkins Has Four-Point Night in Game 3 Win at Indy</t>
  </si>
  <si>
    <t>April 21, 2025 - ECHL (ECHL)
Toledo Walleye News Release
Fishers, IN - The Toledo Walleye defeated the Indy Fuel in Game 3 of the Central Division Semi Finals at Fishers Event Center. The Walleye took the 3-0 series lead as they got the win with a 5-3 final.</t>
  </si>
  <si>
    <t xml:space="preserve">Walleye top Fuel 5-3 to put Indy on the brink of playoff elimination </t>
  </si>
  <si>
    <t>. — Despite falling behind for the first time in the Central Division semifinals, the Toledo Walleye not only responded but rolled to a 5-3 win in Game 3 on Monday to put the Indy Fuel on the brink of elimination.</t>
  </si>
  <si>
    <t>2025 Toledo Walleye vs Indy Fuel</t>
  </si>
  <si>
    <t>Event Info
Here's how to watch the 2025 Toledo Walleye vs Indy Fuel broadcast on FloHockey. The 2025 Toledo Walleye vs Indy Fuel broadcast starts on Apr 22, 2025. Stream or cast from your desktop, mobile or TV. Now available on Roku, Fire TV, Chromecast and Apple TV.</t>
  </si>
  <si>
    <t>The IN List 2024: 4/21 - 4/27</t>
  </si>
  <si>
    <t>Indy Fuel vs. Toledo Walleye: 7pm. Fishers Event Center - Fishers. Tickets required.
Mary J. Blige: 7pm. Gainbridge Fieldhouse, Indianapolis, IN. Tickets required. 
Tuesday, Apr 22
Carmel Main Library Events: 425 E Main St, Carmel, IN. 
Tales for Twos &amp; Threes:9:30am, 10:30am, 11:30am.</t>
  </si>
  <si>
    <t>Event Info
Here's how to watch the 2025 Toledo Walleye vs Indy Fuel broadcast on FloHockey. The 2025 Toledo Walleye vs Indy Fuel broadcast starts on Apr 21, 2025. Stream or cast from your desktop, mobile or TV. Now available on Roku, Fire TV, Chromecast and Apple TV.</t>
  </si>
  <si>
    <t>Indy Fuel returns home for crucial playoff games - Indianapolis News</t>
  </si>
  <si>
    <t>Parker Carlson</t>
  </si>
  <si>
    <t>WISH-TV (Indianapolis, IN)</t>
  </si>
  <si>
    <t>INDIANAPOLIS (WISH) — Indy Fuel is gearing up for games three and four of their Kelly Cup playoff series against the Toledo Walleye, with game three set to start at 7 p.m. on Monday.</t>
  </si>
  <si>
    <t>Lewandowski Scores Two In Game 2 Win Against Indy</t>
  </si>
  <si>
    <t>April 18, 2025 - ECHL (ECHL)
Toledo Walleye News Release
Toledo, OH - The Toledo Walleye defeated the Indy Fuel in Game 2 of the Central Division Semifinals at the Huntington Center with a final score of 5-2.</t>
  </si>
  <si>
    <t>Photo Gallery: Walleye vs. Indy Fuel game 2</t>
  </si>
  <si>
    <t>Rebecca Benson</t>
  </si>
  <si>
    <t>The Walleye defeated the Indy Fuel 5-2, taking a 2-0 series lead in Game 2 of the Central Division semifinals on Friday night at the Huntington Center.</t>
  </si>
  <si>
    <t>Walleye Take Commanding 2-0 Series Lead with 5-2 Win Over Fuel</t>
  </si>
  <si>
    <t>TOLEDO, Ohio – The Toledo Walleye used a strong third period to pull away from the Indy Fuel, earning a 5-2 victory in Game 2 of the first round of the Kelly Cup Playoffs and taking a 2-0 series lead.</t>
  </si>
  <si>
    <t xml:space="preserve">Walleye seize 2-0 playoff series lead over Indy with 5-2 win </t>
  </si>
  <si>
    <t>The Toledo Walleye grabbed a 2-0 playoff series lead over the Indy Fuel with a 5-2 win in Game 2 of the Central Division semifinals on Friday night at the Huntington Center.</t>
  </si>
  <si>
    <t>rb.gy</t>
  </si>
  <si>
    <t>Fuel Lose Hard Fought Game 2 in Toledo</t>
  </si>
  <si>
    <t>April 18, 2025 - ECHL (ECHL)
Indy Fuel News Release
TOLEDO - The Fuel took on the Walleye for Game 2 of the first round of the Kelly Cup Playoffs.</t>
  </si>
  <si>
    <t>Wheeling Sees Double, Toledo Doubles Up Indy</t>
  </si>
  <si>
    <t>The Indy Fuel were much more competitive in the opener of their Central division Semifinal series in Toledo against the Walleye.
After back-and-forth action late in the third period, the Walleye prevailed 6-3 to take a 1-0 lead in the series.</t>
  </si>
  <si>
    <t>Walleye Win a Dominant Game One against the Indy Fuel</t>
  </si>
  <si>
    <t>April 17, 2025 - ECHL (ECHL)
Toledo Walleye News Release
Toledo, OH - The Toledo Walleye defeated the Indy Fuel in game one of the Central Division Semifinal of the Kelly Cup Playoffs at the Huntington Center. The final score of Toledo's dominant win was 6-3.</t>
  </si>
  <si>
    <t>Fuel Fall to Walleye 6-3 in First Playoff Matchup</t>
  </si>
  <si>
    <t>April 17, 2025 - ECHL (ECHL)
Indy Fuel News Release
Indy Fuel forward Nathan Burke with the puck
(Indy Fuel)
TOLEDO - The Fuel kicked off the first round of the Kelly Cup playoffs in Toledo on Thursday night in the first of at least four games against the Walleye.</t>
  </si>
  <si>
    <t>Fuel Drop Playoff Opener to Walleye in Physical Game 1 Battle</t>
  </si>
  <si>
    <t>TOLEDO, Ohio — The Indy Fuel opened the Kelly Cup playoffs Thursday night in Toledo with a high-intensity matchup against the Walleye, ultimately falling 6-3 in Game 1 of the Central Division Semifinals.
Toledo jumped out to an early lead, capitalizing on special teams opportunities.</t>
  </si>
  <si>
    <t>Photo Gallery: Walleye vs Indy Fuel game 1</t>
  </si>
  <si>
    <t>The Toledo Walleye opened up the Kelly Cup Playoffs with a convincing 6-3 win over the visiting Indy Fuel at the Huntington Center on Thursday.
Click the image above to view the full gallery.</t>
  </si>
  <si>
    <t>Walleye open playoffs with convincing 6-3 win over Indy Fuel</t>
  </si>
  <si>
    <t>The Walleye opened the 2025 Kelly Cup playoffs in convincing fashion, posting an emphatic 6-3 win over the Indy Fuel in Game 1 of the Central Division semifinals at the Huntington Center on Thursday.</t>
  </si>
  <si>
    <t>Who has the edge? Analyzing the Walleye-Fuel first-round series</t>
  </si>
  <si>
    <t>The regular-season series between the Toledo Walleye and Indy Fuel was short but incredibly close, and the postseason clash should be equally tightly contested.
The Central Division foes meet in the first round of the Kelly Cup playoffs.</t>
  </si>
  <si>
    <t>2025 playoff preview: Walleye look to get rolling against Indy</t>
  </si>
  <si>
    <t>Toledo takes on the Indy Fuel to open the 2025 ECHL postseason. Game 1 of the Central Division semifinal series is set for Thursday at the Huntington Center.
The Walleye earned the top seed in the division, finishing with 99 points (44-17-11 record).</t>
  </si>
  <si>
    <t>3 keys for Walleye and Indy in 2025 ECHL Central Division semifinals</t>
  </si>
  <si>
    <t>The Toledo Walleye will square off against the Indy Fuel in the first round of the Kelly Cup playoffs.
The Walleye earned the top seed in the Central Division by finishing with the most points (99) in the division in the regular season.</t>
  </si>
  <si>
    <t>Indy's Lemos Named Inglasco/ECHL Player of the Week</t>
  </si>
  <si>
    <t>. - Bryan Lemos of the Indy Fuel is the Inglasco ECHL Player of the Week for April 7-13.
Lemos scored one goal and added six assists for seven points in four games last week.</t>
  </si>
  <si>
    <t>indyfuelhockey.com</t>
  </si>
  <si>
    <t>Indy Fuel: 5 things to know about the Walleye's 2025 division semifinal opponent</t>
  </si>
  <si>
    <t>The Walleye will open the Kelly Cup playoffs against the Indy Fuel.
The teams will meet in the best-of-7 ECHL Central Division semifinals. Toledo will have home-ice advantage in the series that will follow a 2-2-1-1-1 format.
Game 1 is set for Thursday at the Huntington Center.</t>
  </si>
  <si>
    <t>INDY FUEL ANNOUNCE 2025 KELLY CUP PLAYOFF ROSTER</t>
  </si>
  <si>
    <t>INDIANAPOLIS- The Indy Fuel announced on Tuesday, the 2025 Playoff Roster ahead of its Central Division Semifinals matchup with the Toledo Walleye beginning this Thursday, April 17 in Toledo.
Playoff Rosters consist of a maximum of 24 Players – a 20-man active roster and a four-man reserve list.</t>
  </si>
  <si>
    <t>Fuel Earn Point in Overtime Battle with Walleye</t>
  </si>
  <si>
    <t>April 13, 2025 - ECHL (ECHL)
Indy Fuel News Release
TOLEDO- The Fuel finished the regular season in Toledo with a matchup against the Walleye, who they will meet again in the first round of the playoffs next week.</t>
  </si>
  <si>
    <t>Fuel Set for First-Round Showdown with Toledo in Kelly Cup Playoffs</t>
  </si>
  <si>
    <t>The Indy Fuel began the 2024 season on the road, playing their first 15 games away from home while the new Fishers Event Center was being completed. Despite a season marked by ups and downs, the Fuel surged late in the ECHL schedule to clinch a coveted playoff spot.</t>
  </si>
  <si>
    <t>Bloom scores twice in Kalamazoo Wings' win over Indy Fuel</t>
  </si>
  <si>
    <t>The Rink Live</t>
  </si>
  <si>
    <t>The Kalamazoo Wings defeated the Indy Fuel 6-4 on Saturday, April 11, 2025.
 Josh Bloom
 nettet two for the Wings, while 
 Max Humitz
 , 
 Lee Lapid
 , 
 Zachary Okabe
 and 
 Luc Salem
 each had a single.</t>
  </si>
  <si>
    <t>2025 Indy Fuel vs Toledo Walleye</t>
  </si>
  <si>
    <t>Event Info
Here's how to watch the 2025 Indy Fuel vs Toledo Walleye broadcast on FloHockey. The 2025 Indy Fuel vs Toledo Walleye broadcast starts on Apr 13, 2025. Stream or cast from your desktop, mobile or TV. Now available on Roku, Fire TV, Chromecast and Apple TV.</t>
  </si>
  <si>
    <t>Fuel Set New Franchise Records on Saturday Despite Loss to K-Wings</t>
  </si>
  <si>
    <t>April 12, 2025 - ECHL (ECHL)
Indy Fuel News Release
KALAMAZOO- The Fuel headed to Kalamazoo to take on the K-Wings after eliminating them from playoff contention last night and securing the final spot in the Central division playoffs.</t>
  </si>
  <si>
    <t>K-Wings Throttle Fuel with Big Goals &amp; Big Hits</t>
  </si>
  <si>
    <t>April 12, 2025 - ECHL (ECHL)
Kalamazoo Wings News Release
KALAMAZOO, MI - The Kalamazoo Wings (30-32-6-2), proud ECHL affiliate of the National Hockey League's Vancouver Canucks, poured in the goals for the home crowed over the first two periods to beat the Indy Fuel (31-29-4-5) Saturday in front of</t>
  </si>
  <si>
    <t>Journal Gazette &amp; Times-Courier</t>
  </si>
  <si>
    <t>Kalamazoo Wings beat Indy Fuel in shootout</t>
  </si>
  <si>
    <t>The game on Friday, April 10, 2025 between the Indy Fuel and the Kalamazoo Wings was a hard fought and hotly contested matchup.
It took penalties to separate the teams, and in the end it was Kalamazoo who managed to keep their cool as they won 5-4.</t>
  </si>
  <si>
    <t>Fuel Clinch Playoffs in Shootout Loss to Kalamazoo</t>
  </si>
  <si>
    <t>April 11, 2025 - ECHL (ECHL)
Indy Fuel News Release
FISHERS- The Fuel hosted the Kalamazoo Wings on Friday night. In front of their fifteenth sell out crowd of the season, the Fuel honored the fans for Fan Appreciation Night.</t>
  </si>
  <si>
    <t>2025 Indy Fuel vs Kalamazoo Wings</t>
  </si>
  <si>
    <t>Event Info
Here's how to watch the 2025 Indy Fuel vs Kalamazoo Wings broadcast on FloHockey. The 2025 Indy Fuel vs Kalamazoo Wings broadcast starts on Apr 12, 2025. Stream or cast from your desktop, mobile or TV. Now available on Roku, Fire TV, Chromecast and Apple TV.</t>
  </si>
  <si>
    <t>K-Wings Beat Fuel in Shootout</t>
  </si>
  <si>
    <t>April 11, 2025 - ECHL (ECHL)
Kalamazoo Wings News Release
FISHERS, IN - The Kalamazoo Wings (30-32-6-2), proud ECHL affiliate of the National Hockey League's Vancouver Canucks, won in a shootout over the Indy Fuel (31-29-4-5) Friday at Fishers Event Center, 5-4.</t>
  </si>
  <si>
    <t>Walleye to play the Indy Fuel in first round of Kelly Cup playoffs</t>
  </si>
  <si>
    <t>The Toledo Walleye will face the Indy Fuel in the first round of the Kelly Cup playoffs.
The Fuel clinched the fourth and final playoff spot in the Central Division when their home game against Kalamazoo on Friday night went to overtime.</t>
  </si>
  <si>
    <t>Indy Fuel to Face Toledo in ECHL Playoffs Preview</t>
  </si>
  <si>
    <t>The Indy Fuel will face the Toledo Walleye in the first round of the ECHL playoffs, but the path was anything but easy.  The Fuel needed just one point to clinch a post season berth, and it looked like they might beat the Kalamazoo Wings at the Fishers Event Center Friday night.</t>
  </si>
  <si>
    <t>Herald &amp; Review</t>
  </si>
  <si>
    <t>Indianapolis weekend events: MOkAO fest, Peter Frampton, Pacers and more</t>
  </si>
  <si>
    <t>Justin L. Mack</t>
  </si>
  <si>
    <t>Axios Indianapolis</t>
  </si>
  <si>
    <t>ğ Cheer for the Indy Fuel as they hit the ice to take on the Kalamazoo Wings at Fishers Event Center, 7pm Friday.
ğ Watch the Pacers pick up momentum heading into the playoffs when they play the Orlando Magic at Gainbridge Fieldhouse, 7pm Friday.</t>
  </si>
  <si>
    <t>Indy Fuel Fan Appreciation Night | April 11</t>
  </si>
  <si>
    <t>Archynewsy</t>
  </si>
  <si>
    <t>v=4_fEpBGqj20] 
What to Expect at Indy Fuel Fan Appreciation night
Mark your calendars, Indy Fuel fans! April 11th is the date for the highly anticipated Indy fuel Fan Appreciation Night at the Indiana farmers Coliseum.</t>
  </si>
  <si>
    <t>2025 Kalamazoo Wings vs Indy Fuel</t>
  </si>
  <si>
    <t>Event Info
Here's how to watch the 2025 Kalamazoo Wings vs Indy Fuel broadcast on FloHockey. The 2025 Kalamazoo Wings vs Indy Fuel broadcast starts on Apr 11, 2025. Stream or cast from your desktop, mobile or TV. Now available on Roku, Fire TV, Chromecast and Apple TV.</t>
  </si>
  <si>
    <t>Bison playoff hopes end in Indy</t>
  </si>
  <si>
    <t>. - The Bloomington Bison's playoff hopes for their inaugural season ended with a 5-1 loss to their sister franchise, the Indy Fuel, on Wednesday night.
The Bison lagged in shooting and scoring throughout the attempt. Goaltender Yaniv Perets made 27 saves on 31 shots from Indy.</t>
  </si>
  <si>
    <t>Indy Fuel hosting Fan Appreciation Night Friday with chance to clinch playoff spot</t>
  </si>
  <si>
    <t>WTHR-TV (Indianapolis, IN)</t>
  </si>
  <si>
    <t>INDIANAPOLIS - The Indy Fuel are hosting Fan Appreciation Night on Friday, April 11, with a chance to clinch a playoff spot.</t>
  </si>
  <si>
    <t>. — The Bloomington Bison's playoff hopes for their inaugural season ended with a 5-1 loss to their sister franchise, the Indy Fuel, on Wednesday night. 
The Bison lagged in shooting and scoring throughout the attempt. Goaltender Yaniv Perets made 27 saves on 31 shots from Indy.</t>
  </si>
  <si>
    <t>Top 8 things to do in Indy this weekend: xZooberance, Cinemania, Indy Fuel and more</t>
  </si>
  <si>
    <t>Emily Reuben</t>
  </si>
  <si>
    <t>INDIANAPOLIS (WISH) — Each week, WISH-TV highlights eight events and activities happening over the weekend around Indianapolis. Below are eight great events you should check out from Friday, April 11 to Sunday, April 13. Friday, April 11, 2025Indianapolis Zoo1200 W Washington StIndianapolis, IN 46222Hour(s):12:00 p.m.-4:00 p.m.Participation in xZooberance is included with the purchase of zoo admission—tickets to the zoo cost between $15-$34.75.</t>
  </si>
  <si>
    <t>2025 Bloomington vs Indy Fuel</t>
  </si>
  <si>
    <t>Event Info
Here's how to watch the 2025 Bloomington vs Indy Fuel broadcast on FloHockey. The 2025 Bloomington vs Indy Fuel broadcast starts on Apr 9, 2025. Stream or cast from your desktop, mobile or TV. Now available on Roku, Fire TV, Chromecast and Apple TV.</t>
  </si>
  <si>
    <t>Indy Fuel win against Fort Wayne Komets in overtime</t>
  </si>
  <si>
    <t>With no decisive score in regulation, the Indy Fuel's game against the Fort Wayne Komets ran into overtime on Saturday, April 04, 2025.
Indy snatched the win with a final score of 4-3.</t>
  </si>
  <si>
    <t>The IN List 2024: 4/7 - 4/13</t>
  </si>
  <si>
    <t>Indy Fuel vs. Bloomington Bison:7pm. Fishers Event Center, Fishers, IN. Tickers required
Tchaikovsky X Drake: 7:30pm. Hilbert Circle Theatre.- Indianapolis, IN. Uncharted series from Indianapolis Symphony Orchestra. Tickets required.</t>
  </si>
  <si>
    <t>Komets at Indy Fuel</t>
  </si>
  <si>
    <t>Josh Gales</t>
  </si>
  <si>
    <t>Indy scored on twice in their three powerplay opportunities, including the game-winner in overtime by Cam Hausinger to hand the Komets a 4-3 loss.</t>
  </si>
  <si>
    <t>Komets let lead slip away in overtime loss at Indy</t>
  </si>
  <si>
    <t>Komets coach Jesse Kallechy had harped on the Indy Fuel’s strong special teams the week leading up to their last regular season meetings.
Saturday night's result in Indianapolis proved why.</t>
  </si>
  <si>
    <t>Fuel Rally to Top Komets 4-3 in Overtime Thriller</t>
  </si>
  <si>
    <t>In front of a sellout crowd of 6,601 fans at the Fishers Event Center, the Indy Fuel pulled off a dramatic 4-3 overtime victory over the Fort Wayne Komets on Saturday night.</t>
  </si>
  <si>
    <t>Fuel Win Big in Overtime in Front of Sellout Crowd</t>
  </si>
  <si>
    <t>April 5, 2025 - ECHL (ECHL)
Indy Fuel News Release
FISHERS- The Fuel hosted the Fort Wayne Komets on Saturday night.</t>
  </si>
  <si>
    <t>Penalty shootout decides the outcome as the Indy Fuel beat Toledo Walleye</t>
  </si>
  <si>
    <t>The Indy Fuel played the Toledo Walleye in a hard-fought and hotly contested game on Tuesday, March 31, 2025.
After 60 minutes of play with the score still tied, Indy finally sealed the deal in the shootout, winning 3-2.</t>
  </si>
  <si>
    <t>Fuel’s Special Teams Shine in 4-2 Win Over Komets</t>
  </si>
  <si>
    <t>The Indy Fuel leaned on special teams and timely scoring Friday night to earn a 4-2 win over the Fort Wayne Komets at Allen County War Memorial Coliseum.</t>
  </si>
  <si>
    <t>Indy Fuel beat Fort Wayne Komets - Llewellyn scores 2</t>
  </si>
  <si>
    <t>The Indy Fuel defeated the Fort Wayne Komets 4-2 on Friday, April 03, 2025.
 Zach Jordan
 scored both s for the Wayne Komets. 
 Darby Llewellyn
 , 
 Kevin Lynch
 and 
 Matus Spodniak
 scored for for the Fuel.</t>
  </si>
  <si>
    <t>Short-handed goal gives Indy a win over struggling Komets</t>
  </si>
  <si>
    <t>Indy Fuel vs. Komets</t>
  </si>
  <si>
    <t>Your browser is out of date and potentially vulnerable to security risks. We recommend switching to one of the following browsers:</t>
  </si>
  <si>
    <t>Komets’ struggles continue in 4-2 loss to Fuel</t>
  </si>
  <si>
    <t>Josh Ayen</t>
  </si>
  <si>
    <t>Fort Wayne fell to the Indy Fuel in a 4-2 loss on Friday at the Jungle.
Zach Jordan scored both goals for the Komets in Friday’s loss. The forward gave the Komets an early 1-0 lead at the 5:11 mark of the first period.</t>
  </si>
  <si>
    <t>A momentary lapse by the Komets on a power play Friday handed the Indy Fuel a golden opportunity that Darby Llewellyn didn't pass up.</t>
  </si>
  <si>
    <t>Fuel Defeat Komets 4-2 on Friday Night</t>
  </si>
  <si>
    <t>April 4, 2025 - ECHL (ECHL)
Indy Fuel News Release
FORT WAYNE- The Fuel traveled to Fort Wayne to take on the Komets on Friday night. Special teams made the difference after two shorthanded goals, a power play goal, and an empty netter.</t>
  </si>
  <si>
    <t>Postgame blog: Komets fall to Indy despite two goals by Jordan</t>
  </si>
  <si>
    <t>Despite a pair of goals in the first period by Zach Jordan, the Komets fell to the Indy Fuel 4-2 on Friday at Memorial Coliseum.
Jordan scored a shorthanded goal in the closing seconds of the first to tie the game at 2.</t>
  </si>
  <si>
    <t>Komets dropped by Indy 4-2</t>
  </si>
  <si>
    <t>On Friday at the Coliseum, the Komets fell to the Indy Fuel 4-2.
Zach Jordan got the Komets on the board in the first period at 5:11 with an assist credited to rookie Cullen Ferguson and Nick Deakin-Poot. The Fuel followed with two strikes, the first coming at 15:55 and the next at 16:12.</t>
  </si>
  <si>
    <t>Komets Dropped by Indy 4-2</t>
  </si>
  <si>
    <t>Komets Dropped by Indy 4-2
April 4, 2025 - ECHL (ECHL)
Fort Wayne Komets News Release
On Friday at the Coliseum, the Komets fell to the Indy Fuel 4-2.
Zach Jordan got the Komets on the board in the first period at 5:11 with an assist credited to rookie Cullen Ferguson and Nick Deakin-Poot.</t>
  </si>
  <si>
    <t>Pregame blog: Indy Fuel (29-29-8) vs. Komets (38-21-7)</t>
  </si>
  <si>
    <t>The Komets start the weekend against the instate rival Indy Fuel at 7:35 p.m. today at the Coliseum.
Fort Wayne (38-21-7) sits in second place in the Central Division, already locked into the playoffs with 83 points.</t>
  </si>
  <si>
    <t>Indianapolis weekend events: Furniture sale, Mutt Strut, MC Lyte and more.</t>
  </si>
  <si>
    <t>Justin L. Mack, Lindsey Erdody</t>
  </si>
  <si>
    <t>ğ Hit the ice with the Indy Fuel for a little in-state showdown when they play the Fort Wayne Komets at Fishers Event Center, 7pm Saturday.
â½ Hit the pitch to cheer on the Indy Eleven as they battle North Carolina FC at Carroll Stadium, 7pm Saturday.</t>
  </si>
  <si>
    <t>Komets look for return to form against hungry Indy, Cincinnati teams</t>
  </si>
  <si>
    <t>The Komets play back-to-back games against the Indy Fuel — 7:35 p.m. today at Memorial Coliseum and 7 p.m. Saturday on the road — before playing host to the Cincinnati Cyclones at 5 p.m. Sunday.
The focus for Kallechy is on the Komets and their playoff plans.</t>
  </si>
  <si>
    <t>Ice Chips: Indy's Maksimovich recalled by Rockford</t>
  </si>
  <si>
    <t>Before they play the Komets in back-to-back games this weekend, the Indy Fuel will be without one of their leading scorers.
Forward Kyle Maksimovich was recalled by the AHL's Rockford IceHogs on Wednesday. Maksimovich has 16 goals and 18 assists. He ranks second on the team in shots with 139.</t>
  </si>
  <si>
    <t>Special Teams Fuel Indy To Shootout Victory Over Toledo</t>
  </si>
  <si>
    <t>The Indy Fuel came into Tuesday night’s matchup in Fishers with the Toledo Walleye looking to gain two points in a tightly-contested Central division race.
They did, but had to work hard to earn it. After taking the Walleye to overtime, the Fuel prevailed 3-2 in a four-round shootout.</t>
  </si>
  <si>
    <t>Fuel Win Shootout Thriller over Toledo</t>
  </si>
  <si>
    <t>April 2, 2025 - ECHL (ECHL)
Indy Fuel News Release
FISHERS - The Fuel hosted the Toledo Walleye on Tuesday night in an effort to gain two points in the Central division standings and they did just that.</t>
  </si>
  <si>
    <t>Indy Fuel Pick Up Big Win Against Toledo Walleye</t>
  </si>
  <si>
    <t>The Indy Fuel battled their way to a crucial 3-2 victory over the Toledo Walleye in a thrilling shootout Tuesday night at the Fishers Event Center.
The Walleye struck first with a late first-period goal by Mitchell Lewandowski, despite being outshot by Indy 10-6.</t>
  </si>
  <si>
    <t>Lewandowski, Gallant Score in Loss to Indy</t>
  </si>
  <si>
    <t>April 1, 2025 - ECHL (ECHL)
Toledo Walleye News Release
Fishers, IN - The Toledo Walleye fell to the Indy Fuel in a shootout at Fishers Event Center with a final score of 3-2.
How it Happened:
The game was a scoreless tie for the majority of the first period.</t>
  </si>
  <si>
    <t>The Post-Star</t>
  </si>
  <si>
    <t>Scott Leber</t>
  </si>
  <si>
    <t>WTVO-TV (Rockford, IL)</t>
  </si>
  <si>
    <t>WNYT-TV (Albany, NY)</t>
  </si>
  <si>
    <t>Dylan Sinn</t>
  </si>
  <si>
    <t>Andrew Wilimek</t>
  </si>
  <si>
    <t>Greg Boysen</t>
  </si>
  <si>
    <t>Chicago Hockey Now</t>
  </si>
  <si>
    <t>Glenn Marini</t>
  </si>
  <si>
    <t>Cincinnati Enquirer</t>
  </si>
  <si>
    <t>Josh Patterson</t>
  </si>
  <si>
    <t>Victoria Jacobsen</t>
  </si>
  <si>
    <t>John Tuohy</t>
  </si>
  <si>
    <t>IndyStar</t>
  </si>
  <si>
    <t>Bill Althaus</t>
  </si>
  <si>
    <t>Patrick Cunningham</t>
  </si>
  <si>
    <t>Scott Agness</t>
  </si>
  <si>
    <t>Fieldhouse Files: Scott Agness on the Indiana Pacers</t>
  </si>
  <si>
    <t>WXIN-TV (Indianapolis, IN)</t>
  </si>
  <si>
    <t>Indianapolis Business Journal</t>
  </si>
  <si>
    <t>The Journal News</t>
  </si>
  <si>
    <t>Adam Kierszenblat</t>
  </si>
  <si>
    <t>Jeff Johnson</t>
  </si>
  <si>
    <t>The Gazette (Cedar Rapids, IA)</t>
  </si>
  <si>
    <t>WGME-TV (Portland, ME)</t>
  </si>
  <si>
    <t>Mickey Shuey</t>
  </si>
  <si>
    <t>Dave Lindquist</t>
  </si>
  <si>
    <t>Amy Zimmer</t>
  </si>
  <si>
    <t>WJCL-TV (Savannah, GA)</t>
  </si>
  <si>
    <t>Awful Announcing</t>
  </si>
  <si>
    <t>Hoosier Ag Today</t>
  </si>
  <si>
    <t>Clayton Freeman</t>
  </si>
  <si>
    <t>Florida Times-Union</t>
  </si>
  <si>
    <t>Mateusz Janik</t>
  </si>
  <si>
    <t>Randy Reinhardt</t>
  </si>
  <si>
    <t>Name</t>
  </si>
  <si>
    <t>Title</t>
  </si>
  <si>
    <t>Email</t>
  </si>
  <si>
    <t>X (Twitter) Screen Name</t>
  </si>
  <si>
    <t>X (Twitter) URL</t>
  </si>
  <si>
    <t>Muck Rack URL</t>
  </si>
  <si>
    <t>X (Twitter) Followers</t>
  </si>
  <si>
    <t>Location</t>
  </si>
  <si>
    <t>Description</t>
  </si>
  <si>
    <t>Beats</t>
  </si>
  <si>
    <t>Publications</t>
  </si>
  <si>
    <t>Status Text</t>
  </si>
  <si>
    <t>Status Time</t>
  </si>
  <si>
    <t>Status URL</t>
  </si>
  <si>
    <t>Link Shared</t>
  </si>
  <si>
    <t>Sports Writer</t>
  </si>
  <si>
    <t>mmonroe@theblade.com</t>
  </si>
  <si>
    <t>MonroeBlade</t>
  </si>
  <si>
    <t>Toledo</t>
  </si>
  <si>
    <t>Toledo Blade sports writer, covering high school sports in northwest Ohio and the ECHL's Toledo Walleye. Email: mmonroe@theblade.com</t>
  </si>
  <si>
    <t>Sports,U.S. Regional</t>
  </si>
  <si>
    <t>The @ToledoWalleye and Fort Wayne have met four times in the playoffs. Toledo has won three postseason meetings. Walleye won in 2019 (division semifinals), 2017 (division finals), and 2015 (division finals). Fort Wayne won in 2018 (division finals).👇
 https://t.co/XpCBI7KT53</t>
  </si>
  <si>
    <t>Expectations of excellence: @ToledoWalleye leaders provide confidence. 
“The greatest thing for a coach is when you know the energy level and the communication that you want to be passed on to the younger players is coming from that leadership group.” https://t.co/E7fu98IfAU https://t.co/8UHuVU7uTN</t>
  </si>
  <si>
    <t>Expectations of excellence: @ToledoWalleye four alternate captains (Bliss, Craggs, Hawkins and Keenan) provide leadership, environment of confidence. “The thing that they do so amazingly well is they go out and set the tone themselves,” - Pat Mikesch.
https://t.co/E7fu98IfAU</t>
  </si>
  <si>
    <t>.@ToledoWalleye leadership core knows how to navigate lengthy layoffs during playoffs. “If [teammates] get into situations that they haven't been in, you have to lead by example. If anybody has a question, you make sure they understand it right away.”
 https://t.co/E7fu98IfAU</t>
  </si>
  <si>
    <t>The @ToledoWalleye look to stick to their game plan regardless of the 2nd round foe: “We're going to dictate the game. It's the blue-collar mentality but high speed. We have to trust each other. We can't let anyone else control who we are or what we do.”
https://t.co/E7fu98IfAU</t>
  </si>
  <si>
    <t>Check out this chart of all 20 goals the @ToledoWalleye scored in the first-round sweep of Indy. Lots of greasy goals in the tough areas: Hawkins (4), Lewandowski (4), Craggs (3), Bliss (2), Smereck (2), Bantle (2), Anderson (1), Swoyer (1), Moskal (1).
https://t.co/ALnSuwiqD7 https://t.co/oTyn6uiyZ3</t>
  </si>
  <si>
    <t>Sports Director</t>
  </si>
  <si>
    <t>ceckl@nevadaappeal.com</t>
  </si>
  <si>
    <t>CarterEckl</t>
  </si>
  <si>
    <t>CA ➡️ OH ➡️ IA ➡️ NV</t>
  </si>
  <si>
    <t>Sports director for Nevada News Group, @nevadaappeal &amp; @RecordCourierNV • Email – ceckl@nevadaappeal.com • DMs are open • Podcast: bit.ly/3rVNMgo</t>
  </si>
  <si>
    <t>The first-year franchise is one of the 12 teams remaining in the ECHL Kelly Cup playoffs after another late night of heroics Friday 
https://t.co/C7Ukvd6Yj0</t>
  </si>
  <si>
    <t>Rolling @ToledoWalleye look to sharpen up areas during lengthy layoff after sweep of Indy. “Ultimately, we're going to have to clean some stuff up without the puck as we're getting ready for another round. But overall, that was a well-played series by us.”
https://t.co/yRCul1lxyk</t>
  </si>
  <si>
    <t>The @ToledoWalleye outscored Indy 20-10 in the opening round. 9 players scored goals, 16 had at least 1 point. “We're not going to win with one line here. It's got to be done by committee. I think we're starting to show that right now.” - Brandon Hawkins
https://t.co/yRCul1m5nS</t>
  </si>
  <si>
    <t>Carter Gylander ranks 7th in the ECHL playoffs in GAA (2.00).
Gylander has alternated starts with Jan Bednar in the playoffs, just as they did in the regular season. Both goalies are 2-0 in the playoffs.
“We've got a good one-two punch.” 
@ToledoWalleye
https://t.co/yRCul1lxyk https://t.co/ztoIGToV9r</t>
  </si>
  <si>
    <t>Phillip Thompson</t>
  </si>
  <si>
    <t>Sports Editor</t>
  </si>
  <si>
    <t>plthompson@chicagotribune.com</t>
  </si>
  <si>
    <t>_phil_thompson</t>
  </si>
  <si>
    <t>Chicago</t>
  </si>
  <si>
    <t>Chicago Tribune sports guy. Blackhawks, fantasy football, sports pop culture, etc. Anything fandom. Always random.</t>
  </si>
  <si>
    <t>Metro Chicago,Sports,U.S.</t>
  </si>
  <si>
    <t>Rockford IceHogs to watch: 'We're coming into what's hopefully going to be a very special time’ https://t.co/eg1E176NAI</t>
  </si>
  <si>
    <t>Pat Mikesch on the @ToledoWalleye   sweep of Indy. “Everybody wanted to get it done and not play Saturday. But you knew it was going to be a tight checking game and you've got to wait for your opportunities. So credit to the whole group.” Early gamer:
https://t.co/aHFhBeB4Xx</t>
  </si>
  <si>
    <t>Walleye coach Pat Mikesch said has kept close tabs on the Fort Wayne/Iowa series. Komets up 2-1 with Game 4 going to OT now. “If they want to go on a long series, I won't be opposed to it,” Mikesch said with a chuckle.
https://t.co/aHFhBeB4Xx via @toledonews</t>
  </si>
  <si>
    <t>The @ToledoWalleye outscored Indy 20-10 in the series sweep.
“Even when we're not playing our best hockey, it's still pretty good. But when we're playing our best hockey, we're a tough out for everybody.” 
https://t.co/GrdUchpYDq https://t.co/GD6K8BGpP7</t>
  </si>
  <si>
    <t>The 7,500-seat Fishers Event Center, which cost $170 million to build, is a half hour north of Indianapolis. It is home to 3 pro sports teams: the Indy Fuel, Indy Ignite (Professional Volleyball Federation), &amp; Fishers Freight (Indoor Football League):
https://t.co/1E1udIWYMk</t>
  </si>
  <si>
    <t>A final farewell from Fishers Events Center. Really nice new arena. Spacious. Good site lines. Very good food selection. Good people.
https://t.co/o9wFYo42qh https://t.co/yjSQhPf0c6</t>
  </si>
  <si>
    <t>The @ToledoWalleye top Fuel 5-3 to put Indy on the brink of playoff elimination. “It's the shark mentality. You smell blood, you've got to go after it. And I think we do that well. You see an opportunity, you have to take it.” -Brandon Hawkins https://t.co/CRN08z7ReP</t>
  </si>
  <si>
    <t>To no one's surprise, @ToledoWalleye F Brandon Hawkins now leads the @ECHL in playoff scoring with 9 points (4 G, 5 A) in 3 games. The Walleye, who have scored 16 goals to take a 3-0 series lead over Indy, have 5 players among the league's scoring leaders.
https://t.co/CRN08z7ReP</t>
  </si>
  <si>
    <t>Walleye D-men Jalen Smereck and Colby Ambrosio each have 6 points, while forwards Mitch Lewandowski and Trenton Bliss each have 5 points. Ambrosio, a rookie, leads the ECHL with 6 assists. Hawkins has a league-high 4 goals.
@ToledoWalleye off to 3-0 start:
https://t.co/nbGpZDktKr https://t.co/96r37nPTas</t>
  </si>
  <si>
    <t>The @ToledoWalleye looking to sweep the Fuel tonight: “We've put ourselves in a good position, and the ability to give yourself some rest. The hardest thing to do is to try to end a team's season. We want to get it done [tonight].” - Mitch Lewandowski
https://t.co/CRN08z8p4n</t>
  </si>
  <si>
    <t>Briggs: For @ToledoWalleye star Brandon Hawkins, Toledo has become a dream ‘home.’ Let us raise a glass to Hawkins. He’s grateful playing for fans who adore him as much as he appreciates them. He has become a hockey institution, aptly nicknamed The Mayor.
https://t.co/yAFtnhuBeW</t>
  </si>
  <si>
    <t>Dave Briggs</t>
  </si>
  <si>
    <t>Columnist</t>
  </si>
  <si>
    <t>dbriggs@theblade.com</t>
  </si>
  <si>
    <t>DBriggsBlade</t>
  </si>
  <si>
    <t>Sports columnist for The Toledo Blade. AP Top 25 football voter. Email: dbriggs@theblade.com.</t>
  </si>
  <si>
    <t>Briggs: For Walleye star Brandon Hawkins, Toledo has become a dream 'home' https://t.co/vEe4ABCE7u via @toledonews</t>
  </si>
  <si>
    <t>Ron Seibel</t>
  </si>
  <si>
    <t>Sports Assignment Editor</t>
  </si>
  <si>
    <t>rseibel@theblade.com</t>
  </si>
  <si>
    <t>RonSeibel</t>
  </si>
  <si>
    <t>Toledo, OH</t>
  </si>
  <si>
    <t>Sports assignment editor at @toledosports. (419) native. Previously spent quality time with @telegraphga, among others. Treasurer, @bladeguild ⚔️</t>
  </si>
  <si>
    <t>Sports</t>
  </si>
  <si>
    <t>Today's good read: @DBriggsBlade on the connection between @ToledoWalleye standout @B_Hawkins17 and the city that he has built a bond with. https://t.co/4M8ROL60B6</t>
  </si>
  <si>
    <t>Andrew Chernoff</t>
  </si>
  <si>
    <t>Weekend Sports Anchor</t>
  </si>
  <si>
    <t>andrew.chernoff@wishtv.com</t>
  </si>
  <si>
    <t>ADChernoff</t>
  </si>
  <si>
    <t>Indianapolis, IN</t>
  </si>
  <si>
    <t>Emmy Award-winning weekend sports anchor @WISHNews8 📺. @SyracuseU 🍊 grad &amp; open-wheel racing 🏁 fan! Follow me on Instagram (@ADChernoff).</t>
  </si>
  <si>
    <t>WNDY-TV (Indianapolis, IN),WISH-TV (Indianapolis, IN)</t>
  </si>
  <si>
    <t>.@IndyFuel is back home tomorrow night to face Toledo in Game 3 of their @ECHL Kelly Cup Playoff series. 🏒
https://t.co/PvCs0eFE39</t>
  </si>
  <si>
    <t>.@ToledoWalleye seize 2-0 playoff series lead over Indy with 5-2 win. G Carter Gylander on the crowd: “That is what we play for. It's a pretty special feeling playing in a rink like that. You can't even hear the whistle. We're happy to win for the city.” https://t.co/Wa31QnNzmP</t>
  </si>
  <si>
    <t>The @ToledoWalleye saw their lead cut to 1-goal twice, but answered both times. “I think our responses were good . That's playoff hockey. They're going to get some bounces, they're going to score some goals. But there's no hesitation in our group.” -Lewey
https://t.co/XWSGHBkhyF https://t.co/qzimORaQb4</t>
  </si>
  <si>
    <t>The @ToledoWalleye  had an answer for every attempt the Indy Fuel made to steal a road playoff win Friday in the Central Division semis.
The Walleye got off to a good start, then held off the feisty Fuel to grab a 2-0 series lead with a 5-2 win in Game 2.
https://t.co/XWSGHBkhyF https://t.co/Wn3TQKHMKr</t>
  </si>
  <si>
    <t>Content Manager, Host</t>
  </si>
  <si>
    <t>chris@crisp.amsterdam</t>
  </si>
  <si>
    <t>chrismpeters</t>
  </si>
  <si>
    <t>USA</t>
  </si>
  <si>
    <t>Content Manager, @FloHockey. NHL Draft and Prospects Analyst. Called Up: The Prospects Podcast. Previous: ESPN, CBS Sports, Daily Faceoff</t>
  </si>
  <si>
    <t>FloHockey,Hockey Sense with Chris Peters</t>
  </si>
  <si>
    <t>Brandon Hawkins of the @ToledoWalleye becomes the second player in @ECHL history to go back-to-back as MVP. He led the league with 89 points this season and has scored 77 goals over the last two years. https://t.co/qNZth8Cerc</t>
  </si>
  <si>
    <t>Back-to-back for Hawk! @ToledoWalleye F Brandon Hawkins has once again been recognized as the best player in the @ECHL, earning the MVP award for the 2nd consecutive season. Hawk also repeated as the league's scoring leader, finishing with 89 points.
https://t.co/M7tXkAXH3E</t>
  </si>
  <si>
    <t>In typical Hawk fashion, the @ToledoWalleye forward gives full credit to his teammates for earning the @ECHL MVP award. “It's a 'we' over 'me' thing. I don't get [the MVP award] without these guys on my team, period. I don't get to do it without them.”
https://t.co/M7tXkAXH3E</t>
  </si>
  <si>
    <t>The series started in near-perfect fashion for the @ToledoWalleye, who got goals on back-to-back shots from Bliss and Hawkins just 1:50 apart early in the1st to grab an instant 2-0 lead. Then each time Indy pulled within striking distance, Toledo answered:
https://t.co/FJGySyaVpP</t>
  </si>
  <si>
    <t>“Getting those first two goals got the crowd into it and then we did a really good job of responding to their goals as well and kept momentum. We just need to keep our intensity level up and stick to our identity.” @ToledoWalleye 
Game story:
https://t.co/FJGySyaVpP https://t.co/fRKPxASgwn https://t.co/v7uZgxfbKT</t>
  </si>
  <si>
    <t>This Incredible goal here by Trenton Bliss got momentum going for the @ToledoWalleye in Game 1. The shorthanded goal gave the Walleye a 1–0 lead just 4:32 into the game.
“It was a great individual effort right there, and we kept building on that.” Recap:
https://t.co/FJGySyaVpP https://t.co/Ucm2reKiW1</t>
  </si>
  <si>
    <t>Playoff preview: @ToledoWalleye  look to get rolling vs Indy. “We have trust and belief in everybody. Everyone here is a talented hockey player. We have the right mindset. When everyone has the same belief, you're able to do special things.”- Trenton Bliss
https://t.co/qJs7Fb4H5S</t>
  </si>
  <si>
    <t>2025 playoff preview: the @ToledoWalleye went 2-1-1 vs the @IndyFuel.  “Playoffs are exciting. It's like the first day of school with all your best friends in the same class. The excitement's there. And we're ready.” — Sam Craggs https://t.co/qJs7Fb4H5S via @toledonews https://t.co/dbGmJVvWxM</t>
  </si>
  <si>
    <t>.@IndyFuel coach Duncan Dalmao on the series vs the @ToledoWalleye 
“We know we're coming in as the underdog, and we're OK with that. We're happy with the way we're looking going into the series. We're ready to go.” A playoff preview:
https://t.co/qJs7Fb4H5S</t>
  </si>
  <si>
    <t>Get primed here. @ToledoWalleye  look to get rolling vs @IndyFuel:
https://t.co/vYHPLUjMPr
3 keys:
https://t.co/rfHMgxXSez
Series to follow 2-2-1-1-1 format:
https://t.co/A9MHJcJSKb
24-man roster:
https://t.co/FqfNOdM97K
5 things to know about the Fuel:
https://t.co/rrextvgLh3 https://t.co/BpURlt3KrE</t>
  </si>
  <si>
    <t>The @ToledoWalleye open the 2025 Kelly Cup playoffs tonight vs the @IndyFuel. The division foes met just 4 times during the regular season. Both teams were 2-1-1 against each other. Opening puck drop for Game 1 is at 7:15 at the Bank Tank. A preview:
https://t.co/qJs7Fb5eVq</t>
  </si>
  <si>
    <t>Playoff preview: @ToledoWalleye look to get rolling against @IndyFuel in Game 1 tonight. “They're a good club over there. They play hard, they play well to their systems. We just have to play our game, and not let them dictate things.” - Brandon Hawkins https://t.co/qJs7Fb4H5S</t>
  </si>
  <si>
    <t>Traditionally ECHL playoff series follow a 2-3-2 schedule to limit travel and keep costs down. The @ToledoWalleye and @IndyFuel series will follow the NHL format of 2-2-1-1-1. “It's the NHL way. I think that's how playoffs should be.” Details:
https://t.co/A9MHJcJSKb</t>
  </si>
  <si>
    <t>Traditional NHL schedule format should benefit @ToledoWalleye  against Fuel. “That's the reason why you play the regular season — to get in the best possible position for playoffs. And it's a huge advantage to start at home.” - G Jan Bednar https://t.co/b70nqGUdtq</t>
  </si>
  <si>
    <t>The @ToledoWalleye /Indy Fuel Central Division semifinals will follow the traditional NHL playoff format.
“We're able to space this series out. I think it'll be a better brand of hockey where both teams should be feeling pretty good going into every game.”
https://t.co/b70nqGUdtq</t>
  </si>
  <si>
    <t>The @ToledoWalleye have set their 24-man roster for the 2025 Kelly Cup playoffs. “The energy level has been great,” second-year coach Pat Mikesch said after Tuesday's morning practice. “I really like our group.” 
Details:
https://t.co/tRwUy7WJCH</t>
  </si>
  <si>
    <t>Eva Hallman</t>
  </si>
  <si>
    <t>Producer and Reporter, Sideline Reporter, Student</t>
  </si>
  <si>
    <t>eva.hallman@wane.com</t>
  </si>
  <si>
    <t>onairwitheva</t>
  </si>
  <si>
    <t>Butler Univ. '26
@IndyFuel Color Commentator &amp; @FishersFreight Sideline Reporter</t>
  </si>
  <si>
    <t>Crime and Justice</t>
  </si>
  <si>
    <t>With his first assist on Sunday, Lemos also broke the Fuel franchise all-time assists record with 124 (now 125), passing Alex Wideman who has held the record since last season.
https://t.co/beIIf7UQan</t>
  </si>
  <si>
    <t>Justin Powell</t>
  </si>
  <si>
    <t>News Producer</t>
  </si>
  <si>
    <t>jpowell@fox59.com</t>
  </si>
  <si>
    <t>justin_powell24</t>
  </si>
  <si>
    <t>News Producer @fox59/@cbs4indy| Former: @IndyStarSports, Shelbyville News| IUPUI’21| Story Idea? jpowell@fox59.com</t>
  </si>
  <si>
    <t>U.S.</t>
  </si>
  <si>
    <t>RT @IndyFuel: ECHL Player of the Week, Bryan Lemos 🔥
📰 https://t.co/AtNnDd6U9B https://t.co/D9oO18c2NA</t>
  </si>
  <si>
    <t>The @ToledoWalleye have faced the Indy Fuel twice in the postseason. In 2022-23, Toledo defeated Indy in the Central Division semifinals (4 games to 0). In 2017-18, Toledo defeated Indy in the Central Division semifinals (4 games to 0).
https://t.co/BnSvgxI02w via @toledonews</t>
  </si>
  <si>
    <t>The roster is set. Kelly Cup Playoffs start Thurs/Fri in Toledo and then Mon/Tues in Indy 
https://t.co/MilmV28Hp2</t>
  </si>
  <si>
    <t>The @ToledoWalleye recognized the Goaldiggers Turner Cup champs. “To see the camaraderie they still have, and how much the crowd loved it, was pretty special. We were talking on the bench about how cool it would be if we could do that in 50 years.”
 https://t.co/DlFU4UQQzb</t>
  </si>
  <si>
    <t>After home loss to Fort Wayne, @ToledoWalleye turn attention to playoffs. “We're going to have some tough [roster] decisions here on Monday, and you want to put guys in situations where they can show you how they can help us come playoff time.” https://t.co/16mKQLpdyW</t>
  </si>
  <si>
    <t>2 college prospects, F Will Hillman &amp; D Nick Andrews, made their @ToledoWalleye home debuts.
“It was great energy. The building is great.”
“It's cool to be able to come to a team that has had success this year and them wanting me to be a part of it.” 
https://t.co/16mKQLpdyW</t>
  </si>
  <si>
    <t>The @ToledoWalleye  to play the Indy Fuel in first round of the Kelly Cup playoffs. Details: https://t.co/qDb39TxpqU via @toledonews</t>
  </si>
  <si>
    <t>Big night in the @ECHL with playoff spots still up for grabs as teams close out the regular-season. We've got @RailersHC vs. @ReadingRoyals free on social in what is basically a playoff game. More about ECHL playoff races and the four spots still unclaimed https://t.co/jKVnp2kUrI</t>
  </si>
  <si>
    <t>Samantha Johnson</t>
  </si>
  <si>
    <t>Reporter</t>
  </si>
  <si>
    <t>samantha.johnson@wthr.com</t>
  </si>
  <si>
    <t>SamJohnsonNews</t>
  </si>
  <si>
    <t>Reporter at @WTHRcom ☀️ | Proud Hoosier native &amp; @BallState alumna | What's going on in your neighborhood? Message me! 📲</t>
  </si>
  <si>
    <t>U.S. Regional</t>
  </si>
  <si>
    <t>ICYMI ⤵️
@IPSSchools students talked with players from the @IndyFuel about the challenges of mental health. 
"Hockey Talks" started more than a decade ago in honor of a former Vancouver Canucks player who passed away in 2011.
WATCH NOW @WTHRcom
https://t.co/hJJPPP5Erv</t>
  </si>
  <si>
    <t>Freelance News Contributor, Sports Reporter</t>
  </si>
  <si>
    <t>jkrause@jg.net</t>
  </si>
  <si>
    <t>jkrausepro</t>
  </si>
  <si>
    <t>Fort Wayne, IN</t>
  </si>
  <si>
    <t>Sports Reporter for Fort Wayne Journal Gazette | Writer for @Frontstretch | NIU ‘21 | formerly of Northern Star and La Crosse Tribune</t>
  </si>
  <si>
    <t>Frontstretch,The Journal Gazette</t>
  </si>
  <si>
    <t>Puck drops at 7:35 for the final meeting in the Coliseum this season between @FWKomets and @IndyFuel. #ECHL
https://t.co/oJlPxd7ODx</t>
  </si>
  <si>
    <t>Mark Jaworski</t>
  </si>
  <si>
    <t>Editor</t>
  </si>
  <si>
    <t>mjaworski@jg.net</t>
  </si>
  <si>
    <t>jawsfort</t>
  </si>
  <si>
    <t>Sports Editor of the The Journal Gazette. Northeastern University. Northeast Indiana sports. Boston raised.</t>
  </si>
  <si>
    <t>Sports,U.S.</t>
  </si>
  <si>
    <t>The .@FWKomets start the weekend against the instate rival Indy Fuel at 7:35 p.m. today at the Coliseum.
https://t.co/P4jZINJqGZ</t>
  </si>
  <si>
    <t>After the .@FWKomets fell 4-1 at Kalamazoo on Tuesday for their fifth loss in six games, coach Jesse Kallechy tried to light a fire under his team for what he referred to as the dog days of their season.
https://t.co/15tb0xThEf</t>
  </si>
  <si>
    <t>Komets — with just one win in their last six — look to rebound this weekend against a pair of teams fighting for the final Central Division playoff spot.
https://t.co/y0uTTARpBf</t>
  </si>
  <si>
    <t>Pete Tobey</t>
  </si>
  <si>
    <t>Sports Writer, Editor and Photographer</t>
  </si>
  <si>
    <t>tobey@poststar.com</t>
  </si>
  <si>
    <t>ByPeteTobey</t>
  </si>
  <si>
    <t>Glens Falls, NY</t>
  </si>
  <si>
    <t>Dad times 3. Husband. Son. Sports Editor, The Post-Star, Glens Falls, NY. Guitar snob. Eagles fan. SUNY Plattsburgh.</t>
  </si>
  <si>
    <t>Stick it to Cancer Weekend, shutouts, and resilience: Some Adirondack Thunder takeaways #ECHL https://t.co/RA7DVkYY16 via @poststar</t>
  </si>
  <si>
    <t>sleber@wtvo.com</t>
  </si>
  <si>
    <t>ScottLeberWTVO</t>
  </si>
  <si>
    <t>Sports Director WTVO-ABC &amp; Fox 39 Rockford, IL</t>
  </si>
  <si>
    <t>This was more like it. The IceHogs shrink their magic number for clinching a playoff berth to 5! #IceHogs https://t.co/YUBSA0bfmq</t>
  </si>
  <si>
    <t>Chrystal Stone WNYT</t>
  </si>
  <si>
    <t>Sports Reporter and Anchor</t>
  </si>
  <si>
    <t>Chrystal.Stone@wnyt.com</t>
  </si>
  <si>
    <t>chrystalstone_</t>
  </si>
  <si>
    <t>Phoenix, AZ</t>
  </si>
  <si>
    <t>Sports Reporter/Anchor @WNYT | @Cronkite_ASU &amp; @UTAustin Alum | Actor | @RisingMediaStars | Fr. @espnradio host, seen on @FirstTake | Ps 27:1</t>
  </si>
  <si>
    <t>Adirondack Thunder get second-straight shutout win against the Indy Fuel
@ECHLThunder @RodgerWyland @WNYT 
https://t.co/pib2csYvUY https://t.co/4C5PMuxAjt</t>
  </si>
  <si>
    <t>RT @ToledoWalleye: Swimming North with a series split
https://t.co/PQl8pYK1ld</t>
  </si>
  <si>
    <t>College Sportswriter</t>
  </si>
  <si>
    <t>dsinn@jg.net</t>
  </si>
  <si>
    <t>DylanSinn</t>
  </si>
  <si>
    <t>IU, ND, Purdue, @TinCaps beat writer for The Journal Gazette (@JGFortWayne) | “A millennial twit"-A reader | IU and #MerrillMade alum Comments: dsinn@jg.net</t>
  </si>
  <si>
    <t>Hello from Memorial Coliseum! I'm here tonight to see the @FWKomets play their first home game in 20 days, against Bloomington. They clinched a playoff spot last night, but are still playing for positioning. 
My pregame look at the matchup:
https://t.co/4pDmTu9kM5</t>
  </si>
  <si>
    <t>Adirondack Thunder shut out the Indy Fuel 3-0 to kick off Stick it to Cancer weekend
@RodgerWyland @WNYT 
https://t.co/gvnl3qOUgP</t>
  </si>
  <si>
    <t>Editor-in-Chief</t>
  </si>
  <si>
    <t>wilimekandrew@gmail.com</t>
  </si>
  <si>
    <t>wilimek5</t>
  </si>
  <si>
    <t>Ontario, Canada</t>
  </si>
  <si>
    <t>University of Ottawa 🇨🇦 Editor-in-Chief — OB.SESSED</t>
  </si>
  <si>
    <t>Canada,Sports</t>
  </si>
  <si>
    <t>OB.SESSED</t>
  </si>
  <si>
    <t>The U SPORTS men’s hockey championships turned into a spectacle this weekend at TD Place, concluding with Franky Lapenna leading the underdog Gee-Gees to their first national championship in program history in front of a home crowd of more than 4000.
https://t.co/3Ok54RcgWP</t>
  </si>
  <si>
    <t>Hockey Writer</t>
  </si>
  <si>
    <t>GregBoysen</t>
  </si>
  <si>
    <t>Wilmette, IL</t>
  </si>
  <si>
    <t>Beat writer for @chihockeynow. Sober since 3/19/19. Trivia Host.</t>
  </si>
  <si>
    <t>Metro Chicago,Sports</t>
  </si>
  <si>
    <t>Morning Chirps: Roman Kantserov Stays Hot, First Michigan Goal in PWHL https://t.co/MyEylVWFV3</t>
  </si>
  <si>
    <t>Adirondack Thunder make flurry of moves before weekend ECHL road trip #ECHL https://t.co/2LFTuSpvmM via @poststar</t>
  </si>
  <si>
    <t>The Komets open one of their most important weekends of the season tonight at Xtream Arena in Coralville, Iowa.
https://t.co/ZNT6RqCwvw</t>
  </si>
  <si>
    <t>Jason Hoffman</t>
  </si>
  <si>
    <t>Senior Editor, Sports</t>
  </si>
  <si>
    <t>jhoffman@enquirer.com</t>
  </si>
  <si>
    <t>JHoffinCincy</t>
  </si>
  <si>
    <t>Cincinnati</t>
  </si>
  <si>
    <t>@ENQSports Senior Editor. Father, husband and Marine Veteran. 'Nobody's gonna stand in my way, give it up son, I'm doing this my way.'</t>
  </si>
  <si>
    <t>RT @MiamiOH_Hockey: SIGNED ✍️ Six RedHawks move on to Pro Hockey! 
🔗 RELEASE: https://t.co/4hMUTB0Adq
#RiseUpRedHawks https://t.co/1brdSi…</t>
  </si>
  <si>
    <t>Jeffrey Middleton</t>
  </si>
  <si>
    <t>Writer</t>
  </si>
  <si>
    <t>jjmid04</t>
  </si>
  <si>
    <t>A rink or ballpark</t>
  </si>
  <si>
    <t>Sports intern @PittsburghPG | Asst. Sports Editor/Hockey beat @miamistudent | #Flames at @FlamesNation | Yankees at @PinstripeAlley | PxP/Color @redhawkradio</t>
  </si>
  <si>
    <t>The Hockey Writers,On The Forecheck,Broad Street Hockey</t>
  </si>
  <si>
    <t>glenn.marini@wane.com</t>
  </si>
  <si>
    <t>GlennMariniWANE</t>
  </si>
  <si>
    <t>Fort Wayne, Ind.</t>
  </si>
  <si>
    <t>Sports director at WANE-TV (CBS)
2024 Indiana Sportscaster of the Year
These pretzels are making me thirsty.</t>
  </si>
  <si>
    <t>In the words of the late, great Meatloaf, "Two out of three ain't bad."
@Kometsshane helps us break down a solid week of @FWKomets hockey, plus look ahead with 7⃣ of their next 8⃣ games on the road in an all-new #Komets Corner:
https://t.co/vQwNSD4aV3</t>
  </si>
  <si>
    <t>Justin Taylor scored a shootout goal on the sixth of the Komets' six tries and .@FWKomets defeated the Indy Fuel 2-1 on Friday at Fishers Event Center.
https://t.co/JGkqMVLrB7</t>
  </si>
  <si>
    <t>Blackhawks Q&amp;A: NHL Trade Deadline Edition https://t.co/qO07GcyC7E</t>
  </si>
  <si>
    <t>Kyle Mayhew scored twice and Jack Dugan registered the game winner in the third period as the .@FWKomets rallied past the Bloomington Bison 4-3 Wednesday before 4,744 fans at Grossinger Motors Arena in Bloomington, Illinois.
https://t.co/PwHMgR1vRy</t>
  </si>
  <si>
    <t>✅ 5 pts in 3 games
✅Justin Taylor's ECHL milestone
✅ @Aleardi42's six-goal weekend
✅ 9 road games/2 home games left in March
@Kometsshane  &amp; I had a lot of good stuff to talk about in your latest edition of #Komets Corner!
@FWKomets @ECHL 
https://t.co/mluBOasJlr</t>
  </si>
  <si>
    <t>Sports Correspondent</t>
  </si>
  <si>
    <t>cjdubbya</t>
  </si>
  <si>
    <t>@fortwaynefc @usf_fb coverage and more for @journalgsports. #Cubs, #Crew96. Independent wrestling referee - DM for bookings. #RefJoshPatterson #OVWRise</t>
  </si>
  <si>
    <t>Speaking of updates - a couple roster updates in my pregame blog: https://t.co/5R6v0BIZCC</t>
  </si>
  <si>
    <t>The .@FWKomets play host to the Wings tonight for the eighth of 11 regular-season matchups, with Fort Wayne holding a 4-3 edge through the first seven matchups this season.
https://t.co/zPMgHFLl6g</t>
  </si>
  <si>
    <t>VJacobsen@jg.net</t>
  </si>
  <si>
    <t>Vicky_Jacobsen</t>
  </si>
  <si>
    <t>High school and other sports for The Journal Gazette (@JGfortwayne). I get paid to watch other people exercise. Send story ideas/tips to vjacobsen@jg.net</t>
  </si>
  <si>
    <t>Here's what else we have over at the Journal Gazette sports page today: The @FWKomets started the weekend off right, scoring four goals in the second period to roll to a 7-2 win over the Indy Fuel https://t.co/vfyNPlTQoM</t>
  </si>
  <si>
    <t>Journal Gazette photographer Stan Sussina was at the Indy Fuel-Komets game Friday at the Coliseum. Here are his best photos:
https://t.co/Vjbz6J9QlW</t>
  </si>
  <si>
    <t>Photo gallery from the @FWKomets win by @StanSussina https://t.co/6MQ1KmXHtX</t>
  </si>
  <si>
    <t>The .@FWKomets enjoyed one of their best periods of the night on Friday at Memorial Coliseum, scoring four goals against the Indy Fuel in the second on their way to a dominant 7-2 victory.
https://t.co/bsimhYskLL</t>
  </si>
  <si>
    <t>Welcome back to Memorial Coliseum, where the .@FWKomets are kicking off another weekend of action three points out of third place in the Western Conference standings.
https://t.co/XqLw2F4M07</t>
  </si>
  <si>
    <t>A rash of injuries led to the .@FWKomets revamping their forward line through a pair of weekend acquisitions in the hopes of bolstering their chances in the upcoming ECHL playoffs.
https://t.co/5kT0NsMOp1</t>
  </si>
  <si>
    <t>Chris G.</t>
  </si>
  <si>
    <t>Host, HabsConnection Podcast, Senior Writer</t>
  </si>
  <si>
    <t>chris.habs360@gmail.com</t>
  </si>
  <si>
    <t>ChrisHabs360</t>
  </si>
  <si>
    <t>Laval, QC</t>
  </si>
  <si>
    <t>Chris G, Senior writer for @RocketSports covering Montreal Canadiens, Laval Rocket, &amp; Trois-Rivieres Lions (ECHL) -@HockeyHStove contributor-English &amp; français-</t>
  </si>
  <si>
    <t>Canadiens Connection,Freelance</t>
  </si>
  <si>
    <t>My latest story for @RocketSports on #HockeyBuzz
#Lions3R Notepad
🗒️ Weekend recap vs #Thunder
🗒️ Former #Habs prospect rejoins team
🗒️ Upcoming schedule
Click on link below to read
⬇️ 
https://t.co/sXlewzruym 
#ECHL #Hockey #GoHabsGo https://t.co/miE7f3VvQp</t>
  </si>
  <si>
    <t>ICYMI
My latest story for @RocketSports on #HockeyBuzz
#Lions3R Notepad
🗒️ Weekend recap vs #Thunder
🗒️ Former #Habs prospect rejoins team
🗒️ Upcoming schedule
Click on link below to read
⬇️ 
https://t.co/sXlewzruym 
#ECHL #Hockey #GoHabsGo https://t.co/IwoUye3l6x</t>
  </si>
  <si>
    <t>✅ Jack Dugan named @FWKomets captain
✅ @Boudens28 returns to FW
✅ 4⃣ games in 5⃣ days
After a busy week for the #Komets, @Kometsshane helps us break it all down &amp; preview this weekend's 3 games (including 2 at @acwmc) in your latest Komets Corner!
https://t.co/yEKvZb2l9Q</t>
  </si>
  <si>
    <t>Mykal McEldowney</t>
  </si>
  <si>
    <t>Photojournalist</t>
  </si>
  <si>
    <t>Mykal.McEldowney@indystar.com</t>
  </si>
  <si>
    <t>mykalmphoto</t>
  </si>
  <si>
    <t xml:space="preserve">Indianapolis, Ind. </t>
  </si>
  <si>
    <t>@IndyStar photojournalist focused on covering local communities. Ohio Bobcat, husband, girl dad. Pulitzer Prize and Emmy award-winner. Instagram, link below.</t>
  </si>
  <si>
    <t>Mad Millers? Pacers to reveal new G League name ahead of Noblesville move. Here are some options https://t.co/ctnU5WfzWQ via @John_Tuohy</t>
  </si>
  <si>
    <t>Tim Evans</t>
  </si>
  <si>
    <t>Investigative Editor</t>
  </si>
  <si>
    <t>tim.evans@indystar.com</t>
  </si>
  <si>
    <t>starwatchtim</t>
  </si>
  <si>
    <t>Indianapolis, Indiana</t>
  </si>
  <si>
    <t>Investigations Editor @IndyStar. Indiana Journalism Hall of Fame. Husband. Father. Mousetrap collector. I tweet about my work and stuff I find interesting.</t>
  </si>
  <si>
    <t>Business and Finance,Crime and Justice,U.S. Regional</t>
  </si>
  <si>
    <t>Mad Millers? Pacers to reveal new G League name ahead of Noblesville move. Here are some options https://t.co/SnxmMMD1s0 via @indystar</t>
  </si>
  <si>
    <t>bill.althaus@examiner.net</t>
  </si>
  <si>
    <t>AlthausEJC</t>
  </si>
  <si>
    <t>Missouri, USA</t>
  </si>
  <si>
    <t>Started with manual typewriter and now I'm Tweeting. What a memorable journey it's been. Thanks for sharing it. 41 years at The Examiner. Is that possible?</t>
  </si>
  <si>
    <t>Examiner (Independence, MO)</t>
  </si>
  <si>
    <t>RT @GrainValleyNews: Ostman stars at the net in 6-3 victory over Allen Americans 
https://t.co/k7TZ7slwrn
Story and photo by @AlthausEJC…</t>
  </si>
  <si>
    <t>Weekend Sports Anchor and Sports Reporter</t>
  </si>
  <si>
    <t>pcunningham@wmbd.com</t>
  </si>
  <si>
    <t>pmc3_83</t>
  </si>
  <si>
    <t>Weekend Sports Anchor for @WMBDNews in Peoria, IL. Formerly @KETK. ETX native🤠 Former UTT Play-by-Play, statistician. ✈️Plane nerd. 🧢Hat collector. FL➡️TX➡️IL</t>
  </si>
  <si>
    <t>WMBD-TV (Peoria, IL)</t>
  </si>
  <si>
    <t>The Bradley women won their first I-74 rivalry matchup over Illinois State in five years Sunday afternoon, thanks to a 25-4 run in the first quarter.
The Bloomington Bison and Peoria Rivermen also won both their games.
Highlights: https://t.co/zKgHa3yhYf https://t.co/C3GrBziiVM</t>
  </si>
  <si>
    <t>Pacers Beat Reporter</t>
  </si>
  <si>
    <t>fieldhousefiles@gmail.com</t>
  </si>
  <si>
    <t>ScottAgness</t>
  </si>
  <si>
    <t>Indianapolis</t>
  </si>
  <si>
    <t>Indiana Pacers, Fever beat reporter:@FieldhouseFiles | Podcast Host l Play-by-play announcer | fieldhousefiles@gmail.com</t>
  </si>
  <si>
    <t>What has Caitlin Clark sitting courtside for a match and former Pacer Jalen Rose returning to town to co-host?
It's Indy Ignite, a new pro volleyball team in town. And today is the league's first-ever All-Star match in Fishers. Soon on CBS.
https://t.co/DB66fdwh3U https://t.co/jy5dwXcxRC</t>
  </si>
  <si>
    <t>.@FWKomets win streak reached four Wednesday with a nail-biting 4-3 overtime victory over the Indy Fuel at the Fishers Event Center as the visitors got an equalizer in regulation and the winning goal in the extra period from forward Ethan Keppen.
https://t.co/zzoD6m5TI6</t>
  </si>
  <si>
    <t>All it took was a few physical moments to bring the Fort Wayne Komets a bit of levity in the face of one of the season’s busiest stretches.
https://t.co/1t3F9pZIFX</t>
  </si>
  <si>
    <t>HOCKEY: @FWKomets fans of @4NationsHockey 
Team tuned into USA/Canada after Saturday’s @ECHL win over @KalamazooWings 
https://t.co/dz9N6qzDIQ</t>
  </si>
  <si>
    <t>3⃣ games 🟰 3⃣ wins!
@Kometsshane helps us recap a perfect weekend for the @FWKomets &amp; preview another busy week with 4 games, starting Wednesday night at Indy for #Komets.
@ECHL @ECHLWeek 
https://t.co/OcgtiombB4</t>
  </si>
  <si>
    <t>.@FWKomets are loading up for one of their more important – and taxing – stretches of the season.
Starting with tonight's game at Memorial Coliseum against Cincinnati, Fort Wayne will play seven games in 10 days as it enters the home stretch of the season.
https://t.co/zYQG6XUEKK</t>
  </si>
  <si>
    <t>Morning Chirps: Artyom Levshunov Scores, Blackhawks Land 7 Prospects in Top 100 https://t.co/gNZ1JAyVkT</t>
  </si>
  <si>
    <t>Tab Bamford</t>
  </si>
  <si>
    <t>Columnist, Freelance Journalist, Writer</t>
  </si>
  <si>
    <t>the1tab@gmail.com</t>
  </si>
  <si>
    <t>The1Tab</t>
  </si>
  <si>
    <t>Chicago Suburbs</t>
  </si>
  <si>
    <t>Member, @thePHWA - Lead #Blackhawks writer - @BleacherNation 🏒 Columnist - @TheFourthPeriod 🏒 Co-Host, Author.</t>
  </si>
  <si>
    <t>Bleacher Nation,Freelance,The Fourth Period Magazine</t>
  </si>
  <si>
    <t>RT @goicehogs: NEWS 📰: IceHogs Recall Ben Gaudreau
https://t.co/VAoSKbuQyk</t>
  </si>
  <si>
    <t>In a close battle of division rivals, the third period belonged to the Walleye. Tyler Spezia scored the go-ahead goal at 5:58 of the third period as Toledo held off a late Komets charge for a 3-2 victory Friday at the Coliseum.
https://t.co/TcYs2aPCTE</t>
  </si>
  <si>
    <t>Tyler Spezia scored the go-ahead goal at 5:58 of the third period and then scored a short-handed goal with under eight minutes to go as Toledo held off a late Komets charge for a 3-2 victory Friday at the Coliseum.
https://t.co/TcYs2aQaJc</t>
  </si>
  <si>
    <t>Tonight I'm coming to you from Memorial Coliseum, where the Komets are hosting the division-leading Toledo Walleye https://t.co/WgNPE50cj6</t>
  </si>
  <si>
    <t>The Komets are playing host to the Central Division-leading Walleye, who lead the third-place Komets by 11 points, in the first of two back-to-back games tonight.
https://t.co/RrYiXZVkZH</t>
  </si>
  <si>
    <t>The Komets will be missing forwards Jack Dugan and Nick Deakin-Poot and defenseman Darren Brady when they face rival Toledo on Friday at Memorial Coliseum in a crucial Central Division matchup.
https://t.co/uEAyAormkU</t>
  </si>
  <si>
    <t>VIDEO: The @FWKomets prepare for 2⃣ games against rival Toledo (including Friday's game at @acwmc) as @Kometsshane joins us for your latest edition of Komets Corner brought to you by Lee's Famous Recipe! #Komets @ECHL @echlfans @ECHLWeek 
https://t.co/q3tW86AkIF</t>
  </si>
  <si>
    <t>HOCKEY: @IndyFuel fell @FWKomets in fight filled final moments
https://t.co/LfbtvdtoTG</t>
  </si>
  <si>
    <t>@SportsiCohn With about 15 minutes before puck drop, I jotted down some initial thoughts on tonight’s game, which is big for both teams. More broadly, this is the start of the JG doing our best to maintain the elite standard Justin set over so many years. https://t.co/8iSoxKI8Ml</t>
  </si>
  <si>
    <t>Nancy Haggerty</t>
  </si>
  <si>
    <t>Sports Reporter and Columnist</t>
  </si>
  <si>
    <t>nhaggerty@lohud.com</t>
  </si>
  <si>
    <t>HaggertyNancy</t>
  </si>
  <si>
    <t>Somers, New York</t>
  </si>
  <si>
    <t>Sports reporter/columnist The Journal News, a daily newspaper in White Plains, NY. Focus includes track &amp; field; sports equality; injured-athlete opioid use.</t>
  </si>
  <si>
    <t>Pearl River kid, who played in high school for NJ's Don Bosco, is finalist for college ice hockey's most prestigious award.  Pearl River hockey player nominated for Hobey Baker Award for best college hockey player https://t.co/5OL91oCaFa via @lohud</t>
  </si>
  <si>
    <t>Former Komets star Brandon Hawkins scored two power-play goals, including the game winner early in the third period, to lift Toledo to a 4-3 win over the Komets before 8,087 fans at the Huntington Center, in Toledo, Ohio, on Friday.
https://t.co/vkEJXkaXBx</t>
  </si>
  <si>
    <t>Nicole Haase</t>
  </si>
  <si>
    <t>nicole.haase@uscho.com</t>
  </si>
  <si>
    <t>NicoleHaase</t>
  </si>
  <si>
    <t>Milwaukee</t>
  </si>
  <si>
    <t>Freelance journo. Women's hockey writer @USCHO &amp; @thevictorypress. Sports, schools, food, travel writer. she/her name-coach.com/nicole-haase
IG: @nicolehaase14</t>
  </si>
  <si>
    <t>Freelance,USCHO.com</t>
  </si>
  <si>
    <t>RT @alys216: Breaking Barriers and the Ice: Women Belong in Hockey
#WomenInSports | @girlsclubsports ⬇️
https://t.co/V1iEWwuECP</t>
  </si>
  <si>
    <t>Kaitlin Lange</t>
  </si>
  <si>
    <t>Politics and Government Editor</t>
  </si>
  <si>
    <t>kaitlin.lange@indystar.com</t>
  </si>
  <si>
    <t>kaitlin_lange</t>
  </si>
  <si>
    <t>Government and politics editor @IndyStar. Past: @stateaffairsIN senior investigative reporter. Ball State grad. Tips: Kaitlin.Lange@IndyStar.com</t>
  </si>
  <si>
    <t>Politics,U.S. Regional</t>
  </si>
  <si>
    <t>Soooo how do we feel about this new name: https://t.co/D6EXpyIauW</t>
  </si>
  <si>
    <t>This weekend, the .@FWKomets return to playing familiar opponents, with a matchup at first-place Toledo today, and then home games against the Wheeling Nailers on Saturday and Indy Fuel on Sunday.
https://t.co/rjwSYvOeE9</t>
  </si>
  <si>
    <t>Tonight is the first Komets home game of the post-@SportsiCohn era at the JG. I will be on the laptop for this one. Fort Wayne is coming off a 4-3 loss to Toledo last night. Prior to the 3-game weekend set, I wrote about where the Komets stand: 
https://t.co/7QxTPVgOh5</t>
  </si>
  <si>
    <t>Judd Spicer</t>
  </si>
  <si>
    <t>Contributor, Writer and Host, Spicer Speaking</t>
  </si>
  <si>
    <t>thespicerboys@msn.com</t>
  </si>
  <si>
    <t>JuddSpicer</t>
  </si>
  <si>
    <t>Palm Desert, CA</t>
  </si>
  <si>
    <t>Twin Cities native now in the desert. Eight-time award-winning writer &amp; broadcaster. GWAA member. Lover. Fighter. @Firebirds Insider.</t>
  </si>
  <si>
    <t>The Desert Sun (Palm Springs, CA),Freelance</t>
  </si>
  <si>
    <t>Note that @kc_mavericks' goalie Victor Ostman has been recalled from loan by @Firebirds today:
Transactions | ECHL https://t.co/3EGhjjKsMK</t>
  </si>
  <si>
    <t>Six different Komets found the net Sunday in the rubber match of Fort Wayne’s three-game trip to Tahoe as the visitors won 6-1 to takes two out of three from the Knight Monsters at the Tahoe Blue Event Center in Stateline, Nevada.
https://t.co/bTXtcNxNlK</t>
  </si>
  <si>
    <t>Olivia Jacobs</t>
  </si>
  <si>
    <t>Newsroom Assistant</t>
  </si>
  <si>
    <t>olivia.jacobs@lee.net</t>
  </si>
  <si>
    <t>olivia___jacobs</t>
  </si>
  <si>
    <t>Illinois, USA</t>
  </si>
  <si>
    <t>Reporter at the Pantagraph</t>
  </si>
  <si>
    <t>RT @Pantagraph: Bison goaltender Perets gets shutout win over Cincinnati Cyclones https://t.co/JsI1MFIxig</t>
  </si>
  <si>
    <t>RT @Pantagraph: Bison game canceled due to ice conditions at Grossinger Motors Arena https://t.co/31Xh94Z3sn</t>
  </si>
  <si>
    <t>The @indystar did a feature on me! Here are some amazing photos by @GraceHollars ... article coming soon :) 
https://t.co/NURaE1O9QS</t>
  </si>
  <si>
    <t>RT @indystar: Photos: See behind the scenes with Eva Hallman, the Fuel's first and only female broadcaster https://t.co/JkyAl3aELG</t>
  </si>
  <si>
    <t>RT @Pantagraph: Looking for something to do this weekend in Central Illinois? Here's the list. https://t.co/q766EtFLlR</t>
  </si>
  <si>
    <t>WHL and Vancouver Canucks Site Editor</t>
  </si>
  <si>
    <t>adam.kierszenblat@thearenagroup.net</t>
  </si>
  <si>
    <t>Adamkblat</t>
  </si>
  <si>
    <t>British Columbia, Canada</t>
  </si>
  <si>
    <t>Covering the WHL and the Vancouver Canucks for @TheHockeyNews</t>
  </si>
  <si>
    <t>The Hockey News</t>
  </si>
  <si>
    <t>RT @KalamazooWings: The @abbycanucks product is an @ECHL ALL ⭐️!
Congratulations, Ben Berard!
#Our50th
https://t.co/lb5HWPWTQj</t>
  </si>
  <si>
    <t>Ben Lypka</t>
  </si>
  <si>
    <t>Contributor, Reporter and Photographer</t>
  </si>
  <si>
    <t>sports@abbynews.com</t>
  </si>
  <si>
    <t>BenLypka</t>
  </si>
  <si>
    <t>Worldwide</t>
  </si>
  <si>
    <t>Reporter/Photographer for @AbbyNews. Contributor @slamwrestling. Also available at bsky.app/profile/benlypka.bsky.social</t>
  </si>
  <si>
    <t>Abbotsford News,SLAM! Wrestling</t>
  </si>
  <si>
    <t>.@FWKomets defenseman Kyle Mayhew was named to the ECHL midseason all-star team. He has six goals and 33 points in 36 games.
https://t.co/jcAp2GWMxY</t>
  </si>
  <si>
    <t>RT @ECHL: ‼️2025 ECHL All-Star Rosters are in‼️
⭐️Congrats to all of our stars from the East &amp; the West⭐️
📝: https://t.co/QyGH4V0zYj http…</t>
  </si>
  <si>
    <t>Karl Zinke</t>
  </si>
  <si>
    <t>Managing Editor</t>
  </si>
  <si>
    <t>karl.zinke@examiner.net</t>
  </si>
  <si>
    <t>EJCExam_Sports</t>
  </si>
  <si>
    <t>Eastern Jackson County, Mo.</t>
  </si>
  <si>
    <t>Official account of The Examiner Sports Department, Eastern Jackson County, Missouri, serving the communities of Independence, Blue Springs, Grain Valley.</t>
  </si>
  <si>
    <t>jeff.johnson@thegazette.com</t>
  </si>
  <si>
    <t>jeje66</t>
  </si>
  <si>
    <t>Cedar Rapids, Iowa</t>
  </si>
  <si>
    <t>Sportswriter in Cedar Rapids who loves all sports. Baseball was my 1st deep love, but hockey might be it now. Adore my wife, family, friends ... and popcorn.</t>
  </si>
  <si>
    <t>This week's Corridor Cross Checks: Guerin Slezak of @ridertownusa is the quintessential defensive defenseman and the captain of the team despite being just 18 years old: https://t.co/Kkj5xijtff #USHL</t>
  </si>
  <si>
    <t>RT @Pantagraph: How the Bison snapped their win streak with loss to Utah https://t.co/RDQw5JzLMY</t>
  </si>
  <si>
    <t>RT @IndyFuel: Alex Wideman sets the franchise record for points in tonight's win. Full @ibew481 recap below 👇
📰 https://t.co/FYec5LKDQs ht…</t>
  </si>
  <si>
    <t>RT @Pantagraph: Column: Bison have many 'firsts' to celebrate — and more still to come https://t.co/HrNQSlCw92</t>
  </si>
  <si>
    <t>Dave Eid</t>
  </si>
  <si>
    <t>deid@sbgtv.com</t>
  </si>
  <si>
    <t>DaveEidWGME</t>
  </si>
  <si>
    <t>Sports Director at WGME-TV in Portland.</t>
  </si>
  <si>
    <t>Maine Mariners rally to defeat Indy Fuel in overtime thriller ⁦@MarinersOfMaine⁩  https://t.co/ffQWGFWZ69</t>
  </si>
  <si>
    <t>Dustin Grove</t>
  </si>
  <si>
    <t>News Anchor</t>
  </si>
  <si>
    <t>dustin.grove@wthr.com</t>
  </si>
  <si>
    <t>DustinGroveTV</t>
  </si>
  <si>
    <t>Indiana</t>
  </si>
  <si>
    <t>Storyteller| Educator | Native Hoosier | Lover of good conversation, coffee and craft beer | @wthrcom @tegna @WISH_TV @wlfi @wsbt @ballstate @lifeatpurdue</t>
  </si>
  <si>
    <t>Congrats to Chuck on his coming retirement. You will not meet a finer, kinder human being. It has been an honor and a privilege to work with him.  https://t.co/Vn5br2OIb5 @WTHRcom @ChuckWTHR</t>
  </si>
  <si>
    <t>I grew up watching @ChuckWTHR every morning before school. 
Getting to, now, call him a friend &amp; colleague is a real honor.
Congratulations on your retirement, Chuck!! 👏
https://t.co/2K4NsWZJJq</t>
  </si>
  <si>
    <t>In light of the new ECHL ownership news, @SportsiCohn had a really interesting look at the ins and outs of expansion, attendance, ownership and more in an interview with @ECHL commish Ryan Crelin. https://t.co/LdWt3ljBVG</t>
  </si>
  <si>
    <t>"When we’re going, we are a hard team to beat.” Resumed CCC this week, the lede being the Iowa Heartlanders @GoHeartlanders on a 5-game win streak. Coach Derek Damon has done a great job with that club. Also talks about the down-up week for @ridertownusa. https://t.co/rRWgbhF2vh</t>
  </si>
  <si>
    <t>RT @Pantagraph: Bloomington Bison goalie Mark Sinclair gets team's first shutout win https://t.co/E4H9mc7zTj</t>
  </si>
  <si>
    <t>Komets expect to get Walleye's best; rival had 56 days to mull Fort Wayne's dominant win https://t.co/IoKTI7zYRB via @JGfortwayne</t>
  </si>
  <si>
    <t>RT @IndyFuel: Welcome to Indy, William 🔥
📝 https://t.co/Qk50TyEaoE https://t.co/PQ4gDpT56f</t>
  </si>
  <si>
    <t>Komets 'bounced' again on New Year's Eve, fall to expansion Bison https://t.co/xQljGHkDlg via @JGfortwayne</t>
  </si>
  <si>
    <t>'You're seeing him really blossom': Komets' Connor Ungar shines after dismal start to career https://t.co/lxmPAwbvaq via @JGfortwayne</t>
  </si>
  <si>
    <t>Dan Wakefield, Carl Erskine and 'Loverman Jerry Wade': Notable Hoosiers who died in 2024 https://t.co/Dr7GrifHcP via @indystar</t>
  </si>
  <si>
    <t>5 players who have elevated their play as Komets have won 7 of 8 https://t.co/lBsjm2AiwE via @JGfortwayne</t>
  </si>
  <si>
    <t>Sports Reporter and Sports Anchor</t>
  </si>
  <si>
    <t>Joshua.Ayen@wane.com</t>
  </si>
  <si>
    <t>Josh_Ayen</t>
  </si>
  <si>
    <t>I'm just here so I don't get fined. 
@wane15 Sports Reporter and weekend Sports Anchor | Play-by-play announcer | @XavierU &amp; IU Indy @SportsCapJour alum 🇵🇭</t>
  </si>
  <si>
    <t>3⃣ wins in 3⃣ nights ✅
New Year's Eve game vs. Bloomington ⏳
Back-to-back games against Toledo 🔜
After a strong weekend from the @FWKomets, @Kometsshane and I chat in your latest edition of Komets Corner, presented by Lee's Famous Recipe Chicken!
https://t.co/DqUONsm6M0</t>
  </si>
  <si>
    <t>RT @Pantagraph: How Chongmin Lee's hockey dreams led him from Seoul to Central Illinois https://t.co/Tv2G3kbMej</t>
  </si>
  <si>
    <t>RT @SportsiCohn: Just dropped at @FloHockey ...
Holiday Break: Gifts Teams Could Really Use This Season https://t.co/IFhFvkaHBR 
CC: @ECHL</t>
  </si>
  <si>
    <t>Doyle Woody</t>
  </si>
  <si>
    <t>doylewoody@yahoo.com</t>
  </si>
  <si>
    <t>JaromirBlagr</t>
  </si>
  <si>
    <t>Wilsonville, OR</t>
  </si>
  <si>
    <t>Hockey writer (semi-retired division), Alaskan (no matter where I live), dude who goes for runs with Sadie-dog. alaskasportsreport.com</t>
  </si>
  <si>
    <t>Freelance</t>
  </si>
  <si>
    <t>RT @AKSportsReport: Hausinger presents hat trick just before the holiday break (plus AK pro stat updates) https://t.co/S3OK7AcKlz</t>
  </si>
  <si>
    <t>VIDEO: The Komets head into the holiday break after splitting two games against Indy this past weekend. Hear from @Kometsshane in this week's edition of Komets Corner, brought to you by Lee's Famous Recipe! @FWKomets @ECHL @ECHLWeek #Komets
https://t.co/i6izeysJwv</t>
  </si>
  <si>
    <t>Komets start with bang, as Turcotte fights Indy's Cameron, but lose 1st trip to Fishers Event Center https://t.co/fy7IOSHDnf via @JGfortwayne</t>
  </si>
  <si>
    <t>Kyle Neddenriep</t>
  </si>
  <si>
    <t>High School Sports Reporter</t>
  </si>
  <si>
    <t>kyle.neddenriep@indystar.com</t>
  </si>
  <si>
    <t>KyleNeddenriep</t>
  </si>
  <si>
    <t>High school sports reporter for the Indianapolis Star. Part-time rec basketball player, full-time dad of two sons. Email: kyle.neddenriep@indystar.com</t>
  </si>
  <si>
    <t>'A special night for the community.' The opening high school basketball event at the Fishers Event Center is the Mudsock rivalry between Fishers and HSE. On the new building, possibility of future events and plenty of photos, too: https://t.co/R2k6hkP9tY https://t.co/x2MnEMQEKF</t>
  </si>
  <si>
    <t>Strong at both ends, Komets solve Fuel for victory https://t.co/t6jRyDpnX0 via @JGfortwayne</t>
  </si>
  <si>
    <t>Strong at both ends, Komets solve Fuel for victory https://t.co/t6jRyDpVMy via @JGfortwayne</t>
  </si>
  <si>
    <t>Komets must figure out Indy's stifling defense, which is like 'solving a Rubik's Cube' https://t.co/QOedOcsmwK via @JGfortwayne</t>
  </si>
  <si>
    <t>Komets forward Dugan seems to have recaptured game after uncharacteristic start https://t.co/GfwOV50uQd via @JGfortwayne</t>
  </si>
  <si>
    <t>.@RealProVB's inaugural All-Star Match will take place inside the @FishersEventCtr. 🏐
@IndyIgniteVB | @IndSportsCorp | @WISHNews8 
https://t.co/XZW8eVDe16</t>
  </si>
  <si>
    <t>Takeaways: Teddy bears, turnover and time; plenty of season left for Adirondack Thunder #ECHL https://t.co/HyiPWOhEiU via @poststar</t>
  </si>
  <si>
    <t>Komets' offense breaks out: 8 goals from 8 different scorers in romp over struggling Americans https://t.co/xqxwjo4ox1 via @JGfortwayne</t>
  </si>
  <si>
    <t>Brad Brown</t>
  </si>
  <si>
    <t>Host, Miss Indiana Scholarship Organization, Sports Reporter and Anchor</t>
  </si>
  <si>
    <t>bbrown@wrtv.com</t>
  </si>
  <si>
    <t>BradBrownTV</t>
  </si>
  <si>
    <t>Sports Anchor &amp; MMJ: @wrtv
Host: @MissIndiana_Org
Often at Movies.
'Foodie'? Nah, I just like to eat.
📺🎞️🎭⚾🏀🏈🏁🕹️🎰
Made in Indiana
IG: bradbrowntv</t>
  </si>
  <si>
    <t>WRTV-TV (Indianapolis, IN),Freelance</t>
  </si>
  <si>
    <t>RT @IndyFuel: 6,852 teddy bears were tossed. Full @ibew481 recap below 👇
📰 https://t.co/hUBpn9p7ih https://t.co/J1XhxgWOxj</t>
  </si>
  <si>
    <t>Komets win defensive-minded game over Bison as Brochu stops 27 shots https://t.co/jWUYxwT494 via @JGfortwayne</t>
  </si>
  <si>
    <t>Hamilton County Growth and Development Reporter</t>
  </si>
  <si>
    <t>john.tuohy@indystar.com</t>
  </si>
  <si>
    <t>John_Tuohy</t>
  </si>
  <si>
    <t>@Indystar reporter covering Hamilton County. Reported in Chi.,Fla., &amp; D.C. Compassionate skeptic. Rye toast enthusiast.</t>
  </si>
  <si>
    <t>Transportation,U.S. Regional</t>
  </si>
  <si>
    <t>How Fishers Event Center got the March Madness court where Purdue rolled to key victories https://t.co/M3UZBM6sTF via ⁦@indystar⁩</t>
  </si>
  <si>
    <t>RT @IndyFuel: We're finally back at home. A look back at this week in Indy Fuel hockey 🔥
📰 https://t.co/Ce3YRIwp3L https://t.co/eqhq1w4YKs</t>
  </si>
  <si>
    <t>Check out my game preview about tomorrow's HOME OPENER!!! SO EXCITED!!
https://t.co/6pCw9mgUCu</t>
  </si>
  <si>
    <t>Dawn Olsen</t>
  </si>
  <si>
    <t>Contributor</t>
  </si>
  <si>
    <t>dawn@makewordsgo.com</t>
  </si>
  <si>
    <t>dmarieolsen</t>
  </si>
  <si>
    <t>Writer. Runner. @IndyDBNS CCO. Board member @FFDAIndy &amp; @INCulturalTrail. Native Iowan. Downtown resident. she/her | dawn@makewordsgo.com</t>
  </si>
  <si>
    <t>Arts and Entertainment</t>
  </si>
  <si>
    <t>RT @CBS4Indy: Our #PackThePantries donations have exceeded $38,000! #GivingTuesday https://t.co/lEU8V6pXbZ</t>
  </si>
  <si>
    <t>A.J. Reyelts @AjReyelts of Cedar Rapids RoughRiders @RidertownUSA is the USHL Goalie of the Week. His older brother, Kennan, is a forward in the NAHL and is the one responsible for A.J. being a goaltender. Read how in Corridor Cross Checks: https://t.co/sGKuUb2WZi</t>
  </si>
  <si>
    <t>RT @IndyFuel: Broke out the brooms in Utah. Full @ibew481 game recap below 👇
📰 https://t.co/ImiPbW4Qs7 https://t.co/WiEJr081bL</t>
  </si>
  <si>
    <t>Allan Crow</t>
  </si>
  <si>
    <t>Live Editor</t>
  </si>
  <si>
    <t>allan.crow@nationalworld.com</t>
  </si>
  <si>
    <t>FifeFreePressEd</t>
  </si>
  <si>
    <t>Kirkcaldy</t>
  </si>
  <si>
    <t>Editor, scribbler/columnist at  @FFP 
Writes on gigs, theatre, festivals, ice hockey, Fife, Springsteen. 
allan.crow@nationalworld.com @allancrow.bsky.soc</t>
  </si>
  <si>
    <t>Sports,United Kingdom</t>
  </si>
  <si>
    <t>The Falkirk Herald,East Fife Mail,Fife Herald,Fife Free Press</t>
  </si>
  <si>
    <t>ICE HOCKEY | @FifeFlyers  Tom Coolen admits this has been a tough time as results go south - 'I'm old school, so work hard, work it out’
https://t.co/nLH2j9KA8e
📸Al Goold https://t.co/fHMrEvuIsm</t>
  </si>
  <si>
    <t>Host, The Beat with Dave Lindquist, Reporter</t>
  </si>
  <si>
    <t>dlindquist@ibj.com</t>
  </si>
  <si>
    <t>317lindquist</t>
  </si>
  <si>
    <t>Indianapolis Business Journal reporter, @ibjnews. / Host of "The Beat with Dave Lindquist" 7p Mondays on @wttsfm. / Click below for current playlist.</t>
  </si>
  <si>
    <t>Arts and Entertainment,Business and Finance,Food and Dining,U.S. Regional</t>
  </si>
  <si>
    <t>Indianapolis Business Journal,WTTS-FM (Trafalgar, IN)</t>
  </si>
  <si>
    <t>Honky-tonk sounds of Turnpike Troubadours launch new arena in Fishers, where no-gates parking policy faces learning curve. Attendees who don't pay are subject to $20 invoice sent by mail. Details at @IBJnews: https://t.co/IVXmWgGKk9 Concert photos by @Tony_Vasquez_ https://t.co/SbI7KyrAyA</t>
  </si>
  <si>
    <t>RT @Pantagraph: Looking for something to do this weekend in Central Illinois? Here's the list. https://t.co/VJFz7hCK3v</t>
  </si>
  <si>
    <t>ICE HOCKEY | New centreman for @fifeflyers as Tom Coolen adds more size to his roster
https://t.co/NT3WyRJbfJ</t>
  </si>
  <si>
    <t>MShuey@ibj.com</t>
  </si>
  <si>
    <t>MickeyShuey</t>
  </si>
  <si>
    <t>Real estate, tourism and sports business reporter for @IBJnews. Husband, dad, journalist, photographer, and @DaytonFlyers fan.</t>
  </si>
  <si>
    <t>Business and Finance,Real Estate,Sports,Travel,U.S. Regional</t>
  </si>
  <si>
    <t>NEW: @corteva has acquired the naming rights for the Coliseum at @IndyStateFair, in a deal worth $4 million over 10 years.
Story for @IBJnews w/ @mkaufman85: https://t.co/vUsLMouuti</t>
  </si>
  <si>
    <t>The @ToledoWalleye moved back to the top of the @ECHL Central Division with today's 5-3 win at Kalamazoo. Toledo has 15 points, one more than idle Fort Wayne. With his hat trick, Brandon Hawkins leads the ECHL in scoring with 17 points in 10 games.
https://t.co/NiINCQn4Tq https://t.co/3DDUg4vIom</t>
  </si>
  <si>
    <t>RT @IndyFuel: Indy hands Kalamazoo their first loss of the season. Full @ibew481 recap below 👇
📰 https://t.co/AkziwA8PEq https://t.co/Tuo8…</t>
  </si>
  <si>
    <t>RT @Pantagraph: Column: Keeping up with the Bison's ever-changing roster — and why it could be an advantage https://t.co/ffpePLSNk7</t>
  </si>
  <si>
    <t>RT @indystar: Take a look inside the $170 million Fishers Event Center, set to open its doors in November https://t.co/AjmFErjzwY</t>
  </si>
  <si>
    <t>Brochu has had remarkable ride from spare goalie with Komets to NHL prospect https://t.co/Iw500hRWRU via @JGfortwayne</t>
  </si>
  <si>
    <t>Ken Fang</t>
  </si>
  <si>
    <t>Associate Editor</t>
  </si>
  <si>
    <t>fangsbites</t>
  </si>
  <si>
    <t>RI, USA</t>
  </si>
  <si>
    <t>Taiwanese-American. #VeryAsian. @aaja, Fang's Bites, Associate Editor @awfulannouncing, contributor to @thecomeback. IG: fangsbites. he/him RIP, Sampson</t>
  </si>
  <si>
    <t>Muskegon hockey broadcaster Terry Ficorelli celebrates calling 3,900 games and counting https://t.co/tTnW8z3vrW https://t.co/tHVGE7KIac</t>
  </si>
  <si>
    <t>Al Daniel</t>
  </si>
  <si>
    <t>WriterAlDaniel</t>
  </si>
  <si>
    <t>Freelance writer. Bylines @awfulannouncing, @RIMonthly, @MagazineofMaine, @mental_floss, @WhyWaldorfWorks, @MosesBrown, @TeamUSA, @MCSDurham, @USCHO, @FanSided.</t>
  </si>
  <si>
    <t>Doc Emrick — the American hockey listener’s most well-known walking two-in-one glossary/thesaurus — texted Terry Ficorelli before the latter embarked on his sixth decade in sportscasting.
Full story here via @awfulannouncing: 
https://t.co/nakjmjgRLz</t>
  </si>
  <si>
    <t>ICYMI, the original voice of the @KalamazooWings and @CincyCyclones plus six other franchises is still making memories and eyeing milestones with the MIHL's @HockeyMuskegon.
https://t.co/nakjmjgRLz</t>
  </si>
  <si>
    <t>Gary Truitt</t>
  </si>
  <si>
    <t>President</t>
  </si>
  <si>
    <t>gtruitt@hoosieragtoday.com</t>
  </si>
  <si>
    <t>hoosieragtoday</t>
  </si>
  <si>
    <t>Your home for Indiana agriculture news and the voice for Hoosier farm families and the ag community | On your radio and online</t>
  </si>
  <si>
    <t>Business and Finance,Environment,Food and Dining</t>
  </si>
  <si>
    <t>The @Colts, @Pacers, @IndianaFootball and @PurdueFootball all share something in common. Each of their home venues offer concessions cooked in high oleic soybean oil, which is grown in Indiana. @INSoybean  
https://t.co/tkNF9cwkWP</t>
  </si>
  <si>
    <t>RT @Pantagraph: Column: After Bison 'dress rehearsal,' get ready for the real thing https://t.co/XYwxk5DBaz</t>
  </si>
  <si>
    <t>clayton.freeman@jacksonville.com</t>
  </si>
  <si>
    <t>CFreemanJAX</t>
  </si>
  <si>
    <t>Jacksonville, FL</t>
  </si>
  <si>
    <t>Tracking sports &amp; more across Northeast Florida &amp; Southeast Georgia for Florida Times-Union/@jaxdotcom. 5th-generation Jacksonville resident. @TimesUnionGuild.</t>
  </si>
  <si>
    <t>The @JaxIcemen return to action this weekend: 4 things to watch for the new season, via @jaxdotcom: https://t.co/N32uYrqlR6</t>
  </si>
  <si>
    <t>Almost @JaxIcemen time: 4 things to watch for the new season, via @jaxdotcom: https://t.co/N32uYrqTGE</t>
  </si>
  <si>
    <t>amy.zimmer@hearst.com</t>
  </si>
  <si>
    <t>AmyZimmerWJCL</t>
  </si>
  <si>
    <t>MI➡️NYC➡️CA➡️GA</t>
  </si>
  <si>
    <t>Sports Director @WJCLNews | Sideline Reporter &amp; Analyst ESPN+ | Former D1 Athlete | @StJohnsU Grad | IG: amy_zimmer | Email: amy.zimmer@hearst.com</t>
  </si>
  <si>
    <t>Hearst,WJCL-TV (Savannah, GA)</t>
  </si>
  <si>
    <t>Ghost Pirates Coach's Corner: Previewing opening night with head coach Jared Staal @WJCLNews @SavGhostPirates 
https://t.co/7jDXZgNlfr</t>
  </si>
  <si>
    <t>'These legs, they still move good': Anthony Petruzzelli hopes to reenergize Komets in return https://t.co/0ER8V5dKEW via @JGfortwayne</t>
  </si>
  <si>
    <t>Savannah Ghost Pirates, WJCL 22 announce partnership for live broadcast of home games. @WJCLNews @SavGhostPirates 
https://t.co/YYyn2aEYzF https://t.co/uSqa31JmJm</t>
  </si>
  <si>
    <t>Ben Hart</t>
  </si>
  <si>
    <t>President and General Manager</t>
  </si>
  <si>
    <t>ben.hart@iowastatedaily.com</t>
  </si>
  <si>
    <t>benhart2</t>
  </si>
  <si>
    <t>Savannah, GA</t>
  </si>
  <si>
    <t>newshound, news nerd, news director, TV GM</t>
  </si>
  <si>
    <t>https://t.co/NmSKMlrMSi https://t.co/NmSKMlrMSi</t>
  </si>
  <si>
    <t>Breaking News Reporter, Reporter</t>
  </si>
  <si>
    <t>mateusz.janik@lee.net</t>
  </si>
  <si>
    <t>mjanik99</t>
  </si>
  <si>
    <t>Reporter @pantagraph - he/him - Columbia College Chicago Alumni - formerly @JGTCOnline, @heraldandreview, @CCChronicle, @AustinTalks - 📨 mateusz.janik@lee.net</t>
  </si>
  <si>
    <t>Arts and Entertainment,Education,Health,Politics,U.S. Regional</t>
  </si>
  <si>
    <t>Herald &amp; Review,Pantagraph</t>
  </si>
  <si>
    <t>RT @Pantagraph: Column: Bison offer another chance — the best so far — for Bloomington pro hockey https://t.co/3PqeXs4bCQ</t>
  </si>
  <si>
    <t>ICYMI: Savannah Ghost Pirates 2024-25 Season Preview Special @WJCLNews 
https://t.co/HyejEbBh6P</t>
  </si>
  <si>
    <t>RT @Pantagraph: Looking for something to do this weekend in Central Illinois? Here's the list. https://t.co/ROJofSdziP</t>
  </si>
  <si>
    <t>Savannah Ghost Pirates open training camp under new head coach Jared Staal @WJCLNews @SavGhostPirates @ECHL 
https://t.co/6ZMZiIUyPp</t>
  </si>
  <si>
    <t>Sports Reporter, Sports Writer</t>
  </si>
  <si>
    <t>rreinhardt@pantagraph.com</t>
  </si>
  <si>
    <t>Pg_Reinhardt</t>
  </si>
  <si>
    <t>Sportswriter for the Pantagraph in Bloomington, Illinois, covering Illinois State, Illinois Wesleyan and high schools, too.</t>
  </si>
  <si>
    <t>Metro Chicago,Sports,U.S. Regional</t>
  </si>
  <si>
    <t>A look at the Bloomington Bison as the ECHL season draws near:
https://t.co/3YmbHMrDaU</t>
  </si>
  <si>
    <t>RT @Pg_Reinhardt: A look at the Bloomington Bison as the ECHL season draws near:
https://t.co/3YmbHMrDaU</t>
  </si>
  <si>
    <t>RT @Pantagraph: Bloomington Bison gather to begin preparation for first season in ECHL https://t.co/skwxGimU8H</t>
  </si>
  <si>
    <t>Analysis: 5 big questions as Komets open training camp https://t.co/Aiu1tnAoDs via @JGfortwayne</t>
  </si>
  <si>
    <t>Big name attached to a date at the soon-to-open Fishers Event Center: Blake Shelton. @dcbradley has the details at @IBJnews: https://t.co/AeEuF0t4lK https://t.co/HHdCvKouIA</t>
  </si>
  <si>
    <t>december</t>
  </si>
  <si>
    <t>january</t>
  </si>
  <si>
    <t>february</t>
  </si>
  <si>
    <t>march</t>
  </si>
  <si>
    <t>april</t>
  </si>
  <si>
    <t xml:space="preserve">AVE </t>
  </si>
  <si>
    <t>DEC</t>
  </si>
  <si>
    <t>JAN</t>
  </si>
  <si>
    <t>feb</t>
  </si>
  <si>
    <t>Location Category</t>
  </si>
  <si>
    <t>Local</t>
  </si>
  <si>
    <t>International</t>
  </si>
  <si>
    <t>Advertising Value Equivalency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</si>
</sst>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yyyy\-mm\-dd"/>
    <numFmt numFmtId="165" formatCode="yyyy\-mm\-dd\ hh:mm:ss"/>
  </numFmts>
  <fonts count="3" x14ac:knownFonts="1">
    <font>
      <sz val="11"/>
      <color theme="1"/>
      <name val="Calibri"/>
      <family val="2"/>
      <scheme val="minor"/>
    </font>
    <font>
      <b/>
      <sz val="10"/>
      <name val="Arial"/>
    </font>
    <font>
      <sz val="10"/>
      <name val="Arial"/>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5">
    <xf numFmtId="0" fontId="0" fillId="0" borderId="0"/>
    <xf numFmtId="0" fontId="1" fillId="0" borderId="1"/>
    <xf numFmtId="0" fontId="2" fillId="0" borderId="1">
      <alignment vertical="top" wrapText="1"/>
    </xf>
    <xf numFmtId="164" fontId="2" fillId="0" borderId="1">
      <alignment vertical="top" wrapText="1"/>
    </xf>
    <xf numFmtId="165" fontId="2" fillId="0" borderId="1">
      <alignment vertical="top" wrapText="1"/>
    </xf>
  </cellStyleXfs>
  <cellXfs count="9">
    <xf numFmtId="0" fontId="0" fillId="0" borderId="0" xfId="0"/>
    <xf numFmtId="0" fontId="1" fillId="0" borderId="1" xfId="1"/>
    <xf numFmtId="0" fontId="2" fillId="0" borderId="1" xfId="2">
      <alignment vertical="top" wrapText="1"/>
    </xf>
    <xf numFmtId="164" fontId="2" fillId="0" borderId="1" xfId="3">
      <alignment vertical="top" wrapText="1"/>
    </xf>
    <xf numFmtId="165" fontId="2" fillId="0" borderId="1" xfId="4">
      <alignment vertical="top" wrapText="1"/>
    </xf>
    <xf numFmtId="8" fontId="0" fillId="0" borderId="0" xfId="0" applyNumberFormat="1"/>
    <xf numFmtId="0" fontId="0" fillId="2" borderId="0" xfId="0" applyFill="1"/>
    <xf numFmtId="8" fontId="0" fillId="2" borderId="0" xfId="0" applyNumberFormat="1" applyFill="1"/>
    <xf numFmtId="4" fontId="0" fillId="2" borderId="0" xfId="0" applyNumberFormat="1" applyFill="1"/>
  </cellXfs>
  <cellStyles count="5">
    <cellStyle name="mr_date" xfId="3" xr:uid="{00000000-0005-0000-0000-000003000000}"/>
    <cellStyle name="mr_datetime" xfId="4" xr:uid="{00000000-0005-0000-0000-000004000000}"/>
    <cellStyle name="mr_header" xfId="1" xr:uid="{00000000-0005-0000-0000-000001000000}"/>
    <cellStyle name="mr_normal" xfId="2" xr:uid="{00000000-0005-0000-0000-000002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workbookViewId="0">
      <selection activeCell="O11" sqref="O11"/>
    </sheetView>
  </sheetViews>
  <sheetFormatPr defaultRowHeight="14.4" x14ac:dyDescent="0.3"/>
  <cols>
    <col min="1" max="1" width="34" customWidth="1"/>
    <col min="2" max="3" width="32" customWidth="1"/>
    <col min="4" max="4" width="14.109375" bestFit="1" customWidth="1"/>
    <col min="5" max="6" width="13.109375" bestFit="1" customWidth="1"/>
    <col min="7" max="8" width="14.109375" bestFit="1" customWidth="1"/>
    <col min="9" max="9" width="14.33203125" customWidth="1"/>
    <col min="10" max="10" width="10" bestFit="1" customWidth="1"/>
    <col min="11" max="11" width="14.88671875" customWidth="1"/>
    <col min="12" max="12" width="11.5546875" bestFit="1" customWidth="1"/>
  </cols>
  <sheetData>
    <row r="1" spans="1:12" ht="26.4" x14ac:dyDescent="0.3">
      <c r="A1" s="1" t="s">
        <v>0</v>
      </c>
      <c r="B1" s="2" t="s">
        <v>1</v>
      </c>
      <c r="C1" s="2"/>
    </row>
    <row r="2" spans="1:12" ht="39.6" x14ac:dyDescent="0.3">
      <c r="A2" s="1" t="s">
        <v>2</v>
      </c>
      <c r="B2" s="2" t="str">
        <f>HYPERLINK("https://indy-ignite-pro-volleyball.muckrack.com/coverage-reports/gQZ1/edit/")</f>
        <v>https://indy-ignite-pro-volleyball.muckrack.com/coverage-reports/gQZ1/edit/</v>
      </c>
      <c r="C2" s="2"/>
    </row>
    <row r="3" spans="1:12" x14ac:dyDescent="0.3">
      <c r="A3" s="1" t="s">
        <v>3</v>
      </c>
      <c r="B3" s="3">
        <v>45837</v>
      </c>
      <c r="C3" s="3"/>
    </row>
    <row r="4" spans="1:12" x14ac:dyDescent="0.3">
      <c r="A4" s="1" t="s">
        <v>4</v>
      </c>
      <c r="B4" s="2" t="s">
        <v>5</v>
      </c>
      <c r="C4" s="2"/>
    </row>
    <row r="5" spans="1:12" x14ac:dyDescent="0.3">
      <c r="C5" t="s">
        <v>784</v>
      </c>
      <c r="D5" s="6" t="s">
        <v>790</v>
      </c>
      <c r="E5" t="s">
        <v>785</v>
      </c>
      <c r="F5" s="6" t="s">
        <v>791</v>
      </c>
      <c r="G5" t="s">
        <v>786</v>
      </c>
      <c r="H5" s="6" t="s">
        <v>792</v>
      </c>
      <c r="I5" t="s">
        <v>787</v>
      </c>
      <c r="J5" s="6" t="s">
        <v>787</v>
      </c>
      <c r="K5" t="s">
        <v>788</v>
      </c>
      <c r="L5" s="6" t="s">
        <v>788</v>
      </c>
    </row>
    <row r="6" spans="1:12" x14ac:dyDescent="0.3">
      <c r="A6" s="1" t="s">
        <v>6</v>
      </c>
      <c r="B6" s="2">
        <v>2701</v>
      </c>
      <c r="C6">
        <v>533</v>
      </c>
      <c r="D6" s="6">
        <v>123</v>
      </c>
      <c r="E6">
        <v>385</v>
      </c>
      <c r="F6" s="6">
        <v>89</v>
      </c>
      <c r="G6">
        <v>311</v>
      </c>
      <c r="H6" s="6">
        <v>67</v>
      </c>
      <c r="I6">
        <v>441</v>
      </c>
      <c r="J6" s="6">
        <v>85</v>
      </c>
      <c r="K6">
        <v>294</v>
      </c>
      <c r="L6" s="6">
        <v>84</v>
      </c>
    </row>
    <row r="7" spans="1:12" x14ac:dyDescent="0.3">
      <c r="A7" s="1" t="s">
        <v>7</v>
      </c>
      <c r="B7" s="2">
        <v>36473</v>
      </c>
      <c r="C7">
        <v>6094</v>
      </c>
      <c r="D7" s="6">
        <v>1801</v>
      </c>
      <c r="E7">
        <v>6479</v>
      </c>
      <c r="F7" s="6">
        <v>378</v>
      </c>
      <c r="G7">
        <v>1911</v>
      </c>
      <c r="H7" s="6">
        <v>458</v>
      </c>
      <c r="I7">
        <v>1834</v>
      </c>
      <c r="J7" s="6">
        <v>338</v>
      </c>
      <c r="K7">
        <v>1628</v>
      </c>
      <c r="L7" s="6">
        <v>316</v>
      </c>
    </row>
    <row r="8" spans="1:12" x14ac:dyDescent="0.3">
      <c r="A8" s="1" t="s">
        <v>8</v>
      </c>
      <c r="B8" s="2">
        <v>13</v>
      </c>
      <c r="C8">
        <v>11.43</v>
      </c>
      <c r="D8" s="6">
        <v>14.64</v>
      </c>
      <c r="E8">
        <v>16.829999999999998</v>
      </c>
      <c r="F8" s="6">
        <v>4.25</v>
      </c>
      <c r="G8">
        <v>6.14</v>
      </c>
      <c r="H8" s="6">
        <v>6.84</v>
      </c>
      <c r="I8">
        <v>4.16</v>
      </c>
      <c r="J8" s="6">
        <v>3.98</v>
      </c>
      <c r="K8">
        <v>5.54</v>
      </c>
      <c r="L8" s="6">
        <v>3.76</v>
      </c>
    </row>
    <row r="9" spans="1:12" x14ac:dyDescent="0.3">
      <c r="A9" s="1" t="s">
        <v>9</v>
      </c>
      <c r="B9" s="2">
        <v>7931331473</v>
      </c>
      <c r="C9">
        <v>1549837426</v>
      </c>
      <c r="D9" s="6">
        <v>140509080</v>
      </c>
      <c r="E9">
        <v>260785634</v>
      </c>
      <c r="F9" s="6">
        <v>64725080</v>
      </c>
      <c r="G9">
        <v>1034729374</v>
      </c>
      <c r="H9" s="6">
        <v>106379924</v>
      </c>
      <c r="I9">
        <v>1433748337</v>
      </c>
      <c r="J9" s="6">
        <v>90482035</v>
      </c>
      <c r="K9">
        <v>330588090</v>
      </c>
      <c r="L9" s="6">
        <v>69248932</v>
      </c>
    </row>
    <row r="10" spans="1:12" x14ac:dyDescent="0.3">
      <c r="A10" s="1" t="s">
        <v>10</v>
      </c>
      <c r="B10" s="2">
        <v>195</v>
      </c>
      <c r="C10">
        <v>43</v>
      </c>
      <c r="D10" s="6">
        <v>12</v>
      </c>
      <c r="E10">
        <v>33</v>
      </c>
      <c r="F10" s="6">
        <v>5</v>
      </c>
      <c r="G10">
        <v>28</v>
      </c>
      <c r="H10" s="6">
        <v>7</v>
      </c>
      <c r="I10">
        <v>20</v>
      </c>
      <c r="J10" s="6">
        <v>3</v>
      </c>
      <c r="K10">
        <v>34</v>
      </c>
      <c r="L10" s="6">
        <v>15</v>
      </c>
    </row>
    <row r="11" spans="1:12" x14ac:dyDescent="0.3">
      <c r="A11" s="1" t="s">
        <v>11</v>
      </c>
      <c r="B11" s="2">
        <v>1065351</v>
      </c>
      <c r="C11">
        <v>249764</v>
      </c>
      <c r="D11" s="6">
        <v>34149</v>
      </c>
      <c r="E11">
        <v>163834</v>
      </c>
      <c r="F11" s="6">
        <v>19963</v>
      </c>
      <c r="G11">
        <v>183382</v>
      </c>
      <c r="H11" s="6">
        <v>6787</v>
      </c>
      <c r="I11">
        <v>74381</v>
      </c>
      <c r="J11" s="6">
        <v>6238</v>
      </c>
      <c r="K11">
        <v>211646</v>
      </c>
      <c r="L11" s="6">
        <v>79679</v>
      </c>
    </row>
    <row r="12" spans="1:12" x14ac:dyDescent="0.3">
      <c r="A12" s="1" t="s">
        <v>789</v>
      </c>
      <c r="C12" s="5">
        <v>14335996.189999999</v>
      </c>
      <c r="D12" s="7">
        <v>1299708.99</v>
      </c>
      <c r="E12" s="5">
        <v>2412267.11</v>
      </c>
      <c r="F12" s="7">
        <v>598706.99</v>
      </c>
      <c r="G12" s="5">
        <v>9571246.7100000009</v>
      </c>
      <c r="H12" s="7">
        <v>984014.3</v>
      </c>
      <c r="I12" s="5">
        <v>13262172.119999999</v>
      </c>
      <c r="J12" s="8">
        <v>836958.82</v>
      </c>
      <c r="K12" s="5">
        <v>3057939.83</v>
      </c>
      <c r="L12" s="7">
        <v>640552.62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22"/>
  <sheetViews>
    <sheetView tabSelected="1" topLeftCell="G84" workbookViewId="0">
      <selection activeCell="G2" sqref="G2:G85"/>
    </sheetView>
  </sheetViews>
  <sheetFormatPr defaultRowHeight="14.4" x14ac:dyDescent="0.3"/>
  <cols>
    <col min="1" max="1" width="48" customWidth="1"/>
    <col min="2" max="2" width="32" customWidth="1"/>
    <col min="3" max="4" width="24" customWidth="1"/>
    <col min="5" max="5" width="19" customWidth="1"/>
    <col min="6" max="7" width="48" customWidth="1"/>
    <col min="8" max="8" width="28" customWidth="1"/>
    <col min="9" max="9" width="17" customWidth="1"/>
    <col min="10" max="11" width="16" customWidth="1"/>
    <col min="12" max="12" width="13" customWidth="1"/>
    <col min="13" max="13" width="24" customWidth="1"/>
    <col min="14" max="14" width="17.33203125" bestFit="1" customWidth="1"/>
  </cols>
  <sheetData>
    <row r="1" spans="1:14" x14ac:dyDescent="0.3">
      <c r="A1" s="1" t="s">
        <v>12</v>
      </c>
      <c r="B1" s="1" t="s">
        <v>2</v>
      </c>
      <c r="C1" s="1" t="s">
        <v>13</v>
      </c>
      <c r="D1" s="1" t="s">
        <v>14</v>
      </c>
      <c r="E1" s="1" t="s">
        <v>15</v>
      </c>
      <c r="F1" s="1" t="s">
        <v>16</v>
      </c>
      <c r="G1" s="1" t="s">
        <v>796</v>
      </c>
      <c r="H1" s="1" t="s">
        <v>17</v>
      </c>
      <c r="I1" s="1" t="s">
        <v>18</v>
      </c>
      <c r="J1" s="1" t="s">
        <v>19</v>
      </c>
      <c r="K1" s="1" t="s">
        <v>7</v>
      </c>
      <c r="L1" s="1" t="s">
        <v>20</v>
      </c>
      <c r="M1" s="1" t="s">
        <v>21</v>
      </c>
      <c r="N1" s="1" t="s">
        <v>793</v>
      </c>
    </row>
    <row r="2" spans="1:14" ht="132" x14ac:dyDescent="0.3">
      <c r="A2" s="2" t="s">
        <v>32</v>
      </c>
      <c r="B2" s="2" t="str">
        <f>HYPERLINK("https://www.keepingupincarmel.com/post/the-in-list-2024-4-28-5-4")</f>
        <v>https://www.keepingupincarmel.com/post/the-in-list-2024-4-28-5-4</v>
      </c>
      <c r="C2" s="2" t="s">
        <v>33</v>
      </c>
      <c r="D2" s="2" t="s">
        <v>34</v>
      </c>
      <c r="E2" s="4">
        <v>45774.647326388891</v>
      </c>
      <c r="F2" s="2" t="s">
        <v>35</v>
      </c>
      <c r="G2" s="2">
        <f>H2*0.025*0.35</f>
        <v>6.0025000000000004</v>
      </c>
      <c r="H2" s="2">
        <v>686</v>
      </c>
      <c r="I2" s="2">
        <v>0</v>
      </c>
      <c r="J2" s="2">
        <v>0</v>
      </c>
      <c r="K2" s="2">
        <v>0</v>
      </c>
      <c r="L2" s="2" t="s">
        <v>22</v>
      </c>
      <c r="M2" s="2"/>
      <c r="N2" t="s">
        <v>794</v>
      </c>
    </row>
    <row r="3" spans="1:14" ht="105.6" x14ac:dyDescent="0.3">
      <c r="A3" s="2" t="s">
        <v>41</v>
      </c>
      <c r="B3" s="2" t="str">
        <f>HYPERLINK("https://www.wtol.com/video/sports/local-sports/chasing-the-game/toledo-walleye-sweep-indy-fuel/512-13b31929-96db-4512-a485-8a9518efc47d")</f>
        <v>https://www.wtol.com/video/sports/local-sports/chasing-the-game/toledo-walleye-sweep-indy-fuel/512-13b31929-96db-4512-a485-8a9518efc47d</v>
      </c>
      <c r="C3" s="2"/>
      <c r="D3" s="2" t="s">
        <v>42</v>
      </c>
      <c r="E3" s="4">
        <v>45770.682280092587</v>
      </c>
      <c r="F3" s="2" t="s">
        <v>43</v>
      </c>
      <c r="G3" s="2">
        <f t="shared" ref="G3:G66" si="0">H3*0.025*0.35</f>
        <v>5575.4475000000002</v>
      </c>
      <c r="H3" s="2">
        <v>637194</v>
      </c>
      <c r="I3" s="2">
        <v>0</v>
      </c>
      <c r="J3" s="2">
        <v>0</v>
      </c>
      <c r="K3" s="2">
        <v>0</v>
      </c>
      <c r="L3" s="2" t="s">
        <v>38</v>
      </c>
      <c r="M3" s="2"/>
      <c r="N3" t="s">
        <v>341</v>
      </c>
    </row>
    <row r="4" spans="1:14" ht="79.2" x14ac:dyDescent="0.3">
      <c r="A4" s="2" t="s">
        <v>45</v>
      </c>
      <c r="B4" s="2" t="str">
        <f>HYPERLINK("https://www.wtol.com/article/sports/local-sports/walleye-sweep-indy-fuel-advance-to-second-round-of-kelly-cup-playoffs-indianapolis-echl-hockey-playoffs/512-15106a51-d6df-4f84-8a71-bb5ee2e633ff")</f>
        <v>https://www.wtol.com/article/sports/local-sports/walleye-sweep-indy-fuel-advance-to-second-round-of-kelly-cup-playoffs-indianapolis-echl-hockey-playoffs/512-15106a51-d6df-4f84-8a71-bb5ee2e633ff</v>
      </c>
      <c r="C4" s="2" t="s">
        <v>46</v>
      </c>
      <c r="D4" s="2" t="s">
        <v>42</v>
      </c>
      <c r="E4" s="4">
        <v>45770.569803240738</v>
      </c>
      <c r="F4" s="2" t="s">
        <v>47</v>
      </c>
      <c r="G4" s="2">
        <f t="shared" si="0"/>
        <v>5575.4475000000002</v>
      </c>
      <c r="H4" s="2">
        <v>637194</v>
      </c>
      <c r="I4" s="2">
        <v>0</v>
      </c>
      <c r="J4" s="2">
        <v>0</v>
      </c>
      <c r="K4" s="2">
        <v>1</v>
      </c>
      <c r="L4" s="2" t="s">
        <v>30</v>
      </c>
      <c r="M4" s="2"/>
      <c r="N4" t="s">
        <v>341</v>
      </c>
    </row>
    <row r="5" spans="1:14" ht="92.4" x14ac:dyDescent="0.3">
      <c r="A5" s="2" t="s">
        <v>49</v>
      </c>
      <c r="B5" s="2" t="str">
        <f>HYPERLINK("https://ca.sports.yahoo.com/news/fish-sweep-fuel-advance-central-155733325.html")</f>
        <v>https://ca.sports.yahoo.com/news/fish-sweep-fuel-advance-central-155733325.html</v>
      </c>
      <c r="C5" s="2" t="s">
        <v>25</v>
      </c>
      <c r="D5" s="2" t="s">
        <v>26</v>
      </c>
      <c r="E5" s="4">
        <v>45770.498298611114</v>
      </c>
      <c r="F5" s="2" t="s">
        <v>50</v>
      </c>
      <c r="G5" s="2">
        <f t="shared" si="0"/>
        <v>5428.6137499999995</v>
      </c>
      <c r="H5" s="2">
        <v>620413</v>
      </c>
      <c r="I5" s="2">
        <v>0</v>
      </c>
      <c r="J5" s="2">
        <v>0</v>
      </c>
      <c r="K5" s="2">
        <v>0</v>
      </c>
      <c r="L5" s="2" t="s">
        <v>22</v>
      </c>
      <c r="M5" s="2"/>
      <c r="N5" t="s">
        <v>795</v>
      </c>
    </row>
    <row r="6" spans="1:14" ht="224.4" x14ac:dyDescent="0.3">
      <c r="A6" s="2" t="s">
        <v>51</v>
      </c>
      <c r="B6" s="2" t="str">
        <f>HYPERLINK("https://insidetherink.com/echl-central-division-semifinals-toledo-walleye-sweep-indy-fuel/")</f>
        <v>https://insidetherink.com/echl-central-division-semifinals-toledo-walleye-sweep-indy-fuel/</v>
      </c>
      <c r="C6" s="2" t="s">
        <v>52</v>
      </c>
      <c r="D6" s="2" t="s">
        <v>53</v>
      </c>
      <c r="E6" s="4">
        <v>45770.377581018518</v>
      </c>
      <c r="F6" s="2" t="s">
        <v>54</v>
      </c>
      <c r="G6" s="2">
        <f t="shared" si="0"/>
        <v>425.85375000000005</v>
      </c>
      <c r="H6" s="2">
        <v>48669</v>
      </c>
      <c r="I6" s="2">
        <v>0</v>
      </c>
      <c r="J6" s="2">
        <v>0</v>
      </c>
      <c r="K6" s="2">
        <v>20</v>
      </c>
      <c r="L6" s="2" t="s">
        <v>30</v>
      </c>
      <c r="M6" s="2"/>
      <c r="N6" t="s">
        <v>341</v>
      </c>
    </row>
    <row r="7" spans="1:14" ht="92.4" x14ac:dyDescent="0.3">
      <c r="A7" s="2" t="s">
        <v>55</v>
      </c>
      <c r="B7" s="2" t="str">
        <f>HYPERLINK("https://www.toledoblade.com/sports/walleye/2025/04/23/video-every-goal-scored-walleye-in-the-indy-fuel-series-four-game-sweep-hockey/stories/20250423082")</f>
        <v>https://www.toledoblade.com/sports/walleye/2025/04/23/video-every-goal-scored-walleye-in-the-indy-fuel-series-four-game-sweep-hockey/stories/20250423082</v>
      </c>
      <c r="C7" s="2"/>
      <c r="D7" s="2" t="s">
        <v>29</v>
      </c>
      <c r="E7" s="4">
        <v>45770.331273148149</v>
      </c>
      <c r="F7" s="2" t="s">
        <v>56</v>
      </c>
      <c r="G7" s="2">
        <f t="shared" si="0"/>
        <v>3577.8575000000001</v>
      </c>
      <c r="H7" s="2">
        <v>408898</v>
      </c>
      <c r="I7" s="2">
        <v>0</v>
      </c>
      <c r="J7" s="2">
        <v>0</v>
      </c>
      <c r="K7" s="2">
        <v>0</v>
      </c>
      <c r="L7" s="2" t="s">
        <v>22</v>
      </c>
      <c r="M7" s="2"/>
      <c r="N7" t="s">
        <v>341</v>
      </c>
    </row>
    <row r="8" spans="1:14" ht="92.4" x14ac:dyDescent="0.3">
      <c r="A8" s="2" t="s">
        <v>58</v>
      </c>
      <c r="B8" s="2" t="str">
        <f>HYPERLINK("https://www.oursportscentral.com/services/releases/fuel-close-out-record-breaking-season-with-a-hard-fought-battle-against-toledo/n-6217957")</f>
        <v>https://www.oursportscentral.com/services/releases/fuel-close-out-record-breaking-season-with-a-hard-fought-battle-against-toledo/n-6217957</v>
      </c>
      <c r="C8" s="2"/>
      <c r="D8" s="2" t="s">
        <v>31</v>
      </c>
      <c r="E8" s="4">
        <v>45770.322222222218</v>
      </c>
      <c r="F8" s="2" t="s">
        <v>59</v>
      </c>
      <c r="G8" s="2">
        <f t="shared" si="0"/>
        <v>353.51749999999998</v>
      </c>
      <c r="H8" s="2">
        <v>40402</v>
      </c>
      <c r="I8" s="2">
        <v>0</v>
      </c>
      <c r="J8" s="2">
        <v>0</v>
      </c>
      <c r="K8" s="2">
        <v>0</v>
      </c>
      <c r="L8" s="2" t="s">
        <v>38</v>
      </c>
      <c r="M8" s="2"/>
      <c r="N8" t="s">
        <v>341</v>
      </c>
    </row>
    <row r="9" spans="1:14" ht="105.6" x14ac:dyDescent="0.3">
      <c r="A9" s="2" t="s">
        <v>61</v>
      </c>
      <c r="B9" s="2" t="str">
        <f>HYPERLINK("https://www.oursportscentral.com/services/releases/walleye-advance-to-central-division-finals-with-game-4-win-at-indy/n-6217915")</f>
        <v>https://www.oursportscentral.com/services/releases/walleye-advance-to-central-division-finals-with-game-4-win-at-indy/n-6217915</v>
      </c>
      <c r="C9" s="2"/>
      <c r="D9" s="2" t="s">
        <v>31</v>
      </c>
      <c r="E9" s="4">
        <v>45769.960590277777</v>
      </c>
      <c r="F9" s="2" t="s">
        <v>62</v>
      </c>
      <c r="G9" s="2">
        <f t="shared" si="0"/>
        <v>353.51749999999998</v>
      </c>
      <c r="H9" s="2">
        <v>40402</v>
      </c>
      <c r="I9" s="2">
        <v>0</v>
      </c>
      <c r="J9" s="2">
        <v>0</v>
      </c>
      <c r="K9" s="2">
        <v>0</v>
      </c>
      <c r="L9" s="2" t="s">
        <v>30</v>
      </c>
      <c r="M9" s="2"/>
      <c r="N9" t="s">
        <v>341</v>
      </c>
    </row>
    <row r="10" spans="1:14" ht="92.4" x14ac:dyDescent="0.3">
      <c r="A10" s="2" t="s">
        <v>63</v>
      </c>
      <c r="B10" s="2" t="str">
        <f>HYPERLINK("https://www.toledoblade.com/sports/walleye/2025/04/22/walleye-series-sweep-indy-fuel-3-2-win-game-4-central-division-semifinals-echl/stories/20250422129")</f>
        <v>https://www.toledoblade.com/sports/walleye/2025/04/22/walleye-series-sweep-indy-fuel-3-2-win-game-4-central-division-semifinals-echl/stories/20250422129</v>
      </c>
      <c r="C10" s="2" t="s">
        <v>28</v>
      </c>
      <c r="D10" s="2" t="s">
        <v>29</v>
      </c>
      <c r="E10" s="4">
        <v>45769.921539351853</v>
      </c>
      <c r="F10" s="2" t="s">
        <v>64</v>
      </c>
      <c r="G10" s="2">
        <f t="shared" si="0"/>
        <v>3577.8575000000001</v>
      </c>
      <c r="H10" s="2">
        <v>408898</v>
      </c>
      <c r="I10" s="2">
        <v>1</v>
      </c>
      <c r="J10" s="2">
        <v>4982</v>
      </c>
      <c r="K10" s="2">
        <v>34</v>
      </c>
      <c r="L10" s="2" t="s">
        <v>30</v>
      </c>
      <c r="M10" s="2"/>
      <c r="N10" t="s">
        <v>341</v>
      </c>
    </row>
    <row r="11" spans="1:14" ht="52.8" x14ac:dyDescent="0.3">
      <c r="A11" s="2" t="s">
        <v>65</v>
      </c>
      <c r="B11" s="2" t="str">
        <f>HYPERLINK("https://www.larryinfishers.com/2025/04/22/indy-fuel-end-the-season-losing-to-toledo-walleye-in-playoff-game-4/")</f>
        <v>https://www.larryinfishers.com/2025/04/22/indy-fuel-end-the-season-losing-to-toledo-walleye-in-playoff-game-4/</v>
      </c>
      <c r="C11" s="2"/>
      <c r="D11" s="2" t="s">
        <v>66</v>
      </c>
      <c r="E11" s="4">
        <v>45769.91914351852</v>
      </c>
      <c r="F11" s="2" t="s">
        <v>67</v>
      </c>
      <c r="G11" s="2">
        <f t="shared" si="0"/>
        <v>30.703749999999999</v>
      </c>
      <c r="H11" s="2">
        <v>3509</v>
      </c>
      <c r="I11" s="2">
        <v>0</v>
      </c>
      <c r="J11" s="2">
        <v>0</v>
      </c>
      <c r="K11" s="2">
        <v>1</v>
      </c>
      <c r="L11" s="2" t="s">
        <v>38</v>
      </c>
      <c r="M11" s="2"/>
      <c r="N11" t="s">
        <v>794</v>
      </c>
    </row>
    <row r="12" spans="1:14" ht="118.8" x14ac:dyDescent="0.3">
      <c r="A12" s="2" t="s">
        <v>68</v>
      </c>
      <c r="B12" s="2" t="str">
        <f>HYPERLINK("https://www.wtol.com/video/sports/hockey/walleye/asking-indy-fuel-fans-their-thoughts-on-toledo-ahead-of-game-4/512-b1c4ab6a-efb5-491f-8cea-cff0cce60035")</f>
        <v>https://www.wtol.com/video/sports/hockey/walleye/asking-indy-fuel-fans-their-thoughts-on-toledo-ahead-of-game-4/512-b1c4ab6a-efb5-491f-8cea-cff0cce60035</v>
      </c>
      <c r="C12" s="2"/>
      <c r="D12" s="2" t="s">
        <v>42</v>
      </c>
      <c r="E12" s="4">
        <v>45769.732569444437</v>
      </c>
      <c r="F12" s="2" t="s">
        <v>69</v>
      </c>
      <c r="G12" s="2">
        <f t="shared" si="0"/>
        <v>5575.4475000000002</v>
      </c>
      <c r="H12" s="2">
        <v>637194</v>
      </c>
      <c r="I12" s="2">
        <v>0</v>
      </c>
      <c r="J12" s="2">
        <v>0</v>
      </c>
      <c r="K12" s="2">
        <v>0</v>
      </c>
      <c r="L12" s="2" t="s">
        <v>38</v>
      </c>
      <c r="M12" s="2"/>
      <c r="N12" t="s">
        <v>341</v>
      </c>
    </row>
    <row r="13" spans="1:14" ht="118.8" x14ac:dyDescent="0.3">
      <c r="A13" s="2" t="s">
        <v>70</v>
      </c>
      <c r="B13" s="2" t="str">
        <f>HYPERLINK("https://www.oursportscentral.com/services/releases/fuel-fall-5-3-to-toledo-on-monday-night/n-6217561")</f>
        <v>https://www.oursportscentral.com/services/releases/fuel-fall-5-3-to-toledo-on-monday-night/n-6217561</v>
      </c>
      <c r="C13" s="2"/>
      <c r="D13" s="2" t="s">
        <v>31</v>
      </c>
      <c r="E13" s="4">
        <v>45769.319386574083</v>
      </c>
      <c r="F13" s="2" t="s">
        <v>71</v>
      </c>
      <c r="G13" s="2">
        <f t="shared" si="0"/>
        <v>353.51749999999998</v>
      </c>
      <c r="H13" s="2">
        <v>40402</v>
      </c>
      <c r="I13" s="2">
        <v>0</v>
      </c>
      <c r="J13" s="2">
        <v>0</v>
      </c>
      <c r="K13" s="2">
        <v>0</v>
      </c>
      <c r="L13" s="2" t="s">
        <v>38</v>
      </c>
      <c r="M13" s="2"/>
      <c r="N13" t="s">
        <v>341</v>
      </c>
    </row>
    <row r="14" spans="1:14" ht="66" x14ac:dyDescent="0.3">
      <c r="A14" s="2" t="s">
        <v>74</v>
      </c>
      <c r="B14" s="2" t="str">
        <f>HYPERLINK("https://www.larryinfishers.com/2025/04/21/walleye-take-3-0-series-lead-with-5-3-win-over-fuel-in-game-3/")</f>
        <v>https://www.larryinfishers.com/2025/04/21/walleye-take-3-0-series-lead-with-5-3-win-over-fuel-in-game-3/</v>
      </c>
      <c r="C14" s="2"/>
      <c r="D14" s="2" t="s">
        <v>66</v>
      </c>
      <c r="E14" s="4">
        <v>45768.963553240741</v>
      </c>
      <c r="F14" s="2" t="s">
        <v>75</v>
      </c>
      <c r="G14" s="2">
        <f t="shared" si="0"/>
        <v>30.703749999999999</v>
      </c>
      <c r="H14" s="2">
        <v>3509</v>
      </c>
      <c r="I14" s="2">
        <v>0</v>
      </c>
      <c r="J14" s="2">
        <v>0</v>
      </c>
      <c r="K14" s="2">
        <v>1</v>
      </c>
      <c r="L14" s="2" t="s">
        <v>30</v>
      </c>
      <c r="M14" s="2"/>
      <c r="N14" t="s">
        <v>794</v>
      </c>
    </row>
    <row r="15" spans="1:14" ht="105.6" x14ac:dyDescent="0.3">
      <c r="A15" s="2" t="s">
        <v>76</v>
      </c>
      <c r="B15" s="2" t="str">
        <f>HYPERLINK("https://www.oursportscentral.com/services/releases/hawkins-has-four-point-night-in-game-3-win-at-indy/n-6217515")</f>
        <v>https://www.oursportscentral.com/services/releases/hawkins-has-four-point-night-in-game-3-win-at-indy/n-6217515</v>
      </c>
      <c r="C15" s="2"/>
      <c r="D15" s="2" t="s">
        <v>31</v>
      </c>
      <c r="E15" s="4">
        <v>45768.923773148148</v>
      </c>
      <c r="F15" s="2" t="s">
        <v>77</v>
      </c>
      <c r="G15" s="2">
        <f t="shared" si="0"/>
        <v>353.51749999999998</v>
      </c>
      <c r="H15" s="2">
        <v>40402</v>
      </c>
      <c r="I15" s="2">
        <v>0</v>
      </c>
      <c r="J15" s="2">
        <v>0</v>
      </c>
      <c r="K15" s="2">
        <v>0</v>
      </c>
      <c r="L15" s="2" t="s">
        <v>30</v>
      </c>
      <c r="M15" s="2"/>
      <c r="N15" t="s">
        <v>341</v>
      </c>
    </row>
    <row r="16" spans="1:14" ht="52.8" x14ac:dyDescent="0.3">
      <c r="A16" s="2" t="s">
        <v>78</v>
      </c>
      <c r="B16" s="2" t="str">
        <f>HYPERLINK("https://www.toledoblade.com/sports/walleye/2025/04/21/walleye-top-fuel-5-3-indy-brink-playoff-elimination/stories/20250421109")</f>
        <v>https://www.toledoblade.com/sports/walleye/2025/04/21/walleye-top-fuel-5-3-indy-brink-playoff-elimination/stories/20250421109</v>
      </c>
      <c r="C16" s="2" t="s">
        <v>28</v>
      </c>
      <c r="D16" s="2" t="s">
        <v>29</v>
      </c>
      <c r="E16" s="4">
        <v>45768.912083333344</v>
      </c>
      <c r="F16" s="2" t="s">
        <v>79</v>
      </c>
      <c r="G16" s="2">
        <f t="shared" si="0"/>
        <v>3577.8575000000001</v>
      </c>
      <c r="H16" s="2">
        <v>408898</v>
      </c>
      <c r="I16" s="2">
        <v>1</v>
      </c>
      <c r="J16" s="2">
        <v>4982</v>
      </c>
      <c r="K16" s="2">
        <v>22</v>
      </c>
      <c r="L16" s="2" t="s">
        <v>30</v>
      </c>
      <c r="M16" s="2"/>
      <c r="N16" t="s">
        <v>341</v>
      </c>
    </row>
    <row r="17" spans="1:14" ht="92.4" x14ac:dyDescent="0.3">
      <c r="A17" s="2" t="s">
        <v>80</v>
      </c>
      <c r="B17" s="2" t="str">
        <f>HYPERLINK("https://www.flohockey.tv/events/14088917-2025-toledo-walleye-vs-indy-fuel")</f>
        <v>https://www.flohockey.tv/events/14088917-2025-toledo-walleye-vs-indy-fuel</v>
      </c>
      <c r="C17" s="2"/>
      <c r="D17" s="2" t="s">
        <v>24</v>
      </c>
      <c r="E17" s="4">
        <v>45767.956377314818</v>
      </c>
      <c r="F17" s="2" t="s">
        <v>81</v>
      </c>
      <c r="G17" s="2">
        <f t="shared" si="0"/>
        <v>2807.7787499999999</v>
      </c>
      <c r="H17" s="2">
        <v>320889</v>
      </c>
      <c r="I17" s="2">
        <v>0</v>
      </c>
      <c r="J17" s="2">
        <v>0</v>
      </c>
      <c r="K17" s="2">
        <v>0</v>
      </c>
      <c r="L17" s="2" t="s">
        <v>38</v>
      </c>
      <c r="M17" s="2"/>
      <c r="N17" t="s">
        <v>341</v>
      </c>
    </row>
    <row r="18" spans="1:14" ht="145.19999999999999" x14ac:dyDescent="0.3">
      <c r="A18" s="2" t="s">
        <v>82</v>
      </c>
      <c r="B18" s="2" t="str">
        <f>HYPERLINK("https://www.keepingupincarmel.com/post/the-in-list-2024-4-21-4-27")</f>
        <v>https://www.keepingupincarmel.com/post/the-in-list-2024-4-21-4-27</v>
      </c>
      <c r="C18" s="2" t="s">
        <v>33</v>
      </c>
      <c r="D18" s="2" t="s">
        <v>34</v>
      </c>
      <c r="E18" s="4">
        <v>45767.660694444443</v>
      </c>
      <c r="F18" s="2" t="s">
        <v>83</v>
      </c>
      <c r="G18" s="2">
        <f t="shared" si="0"/>
        <v>6.0025000000000004</v>
      </c>
      <c r="H18" s="2">
        <v>686</v>
      </c>
      <c r="I18" s="2">
        <v>0</v>
      </c>
      <c r="J18" s="2">
        <v>0</v>
      </c>
      <c r="K18" s="2">
        <v>0</v>
      </c>
      <c r="L18" s="2" t="s">
        <v>22</v>
      </c>
      <c r="M18" s="2"/>
      <c r="N18" t="s">
        <v>794</v>
      </c>
    </row>
    <row r="19" spans="1:14" ht="92.4" x14ac:dyDescent="0.3">
      <c r="A19" s="2" t="s">
        <v>80</v>
      </c>
      <c r="B19" s="2" t="str">
        <f>HYPERLINK("https://www.flohockey.tv/events/14088913-2025-toledo-walleye-vs-indy-fuel")</f>
        <v>https://www.flohockey.tv/events/14088913-2025-toledo-walleye-vs-indy-fuel</v>
      </c>
      <c r="C19" s="2"/>
      <c r="D19" s="2" t="s">
        <v>24</v>
      </c>
      <c r="E19" s="4">
        <v>45767.074826388889</v>
      </c>
      <c r="F19" s="2" t="s">
        <v>84</v>
      </c>
      <c r="G19" s="2">
        <f t="shared" si="0"/>
        <v>2807.7787499999999</v>
      </c>
      <c r="H19" s="2">
        <v>320889</v>
      </c>
      <c r="I19" s="2">
        <v>0</v>
      </c>
      <c r="J19" s="2">
        <v>0</v>
      </c>
      <c r="K19" s="2">
        <v>0</v>
      </c>
      <c r="L19" s="2" t="s">
        <v>38</v>
      </c>
      <c r="M19" s="2"/>
      <c r="N19" t="s">
        <v>341</v>
      </c>
    </row>
    <row r="20" spans="1:14" ht="52.8" x14ac:dyDescent="0.3">
      <c r="A20" s="2" t="s">
        <v>85</v>
      </c>
      <c r="B20" s="2" t="str">
        <f>HYPERLINK("https://www.wishtv.com/sports/indianapolis-fuel-playoff/")</f>
        <v>https://www.wishtv.com/sports/indianapolis-fuel-playoff/</v>
      </c>
      <c r="C20" s="2" t="s">
        <v>86</v>
      </c>
      <c r="D20" s="2" t="s">
        <v>87</v>
      </c>
      <c r="E20" s="4">
        <v>45766.487256944441</v>
      </c>
      <c r="F20" s="2" t="s">
        <v>88</v>
      </c>
      <c r="G20" s="2">
        <f t="shared" si="0"/>
        <v>4971.0150000000003</v>
      </c>
      <c r="H20" s="2">
        <v>568116</v>
      </c>
      <c r="I20" s="2">
        <v>1</v>
      </c>
      <c r="J20" s="2">
        <v>7750</v>
      </c>
      <c r="K20" s="2">
        <v>7</v>
      </c>
      <c r="L20" s="2" t="s">
        <v>30</v>
      </c>
      <c r="M20" s="2"/>
      <c r="N20" t="s">
        <v>794</v>
      </c>
    </row>
    <row r="21" spans="1:14" ht="92.4" x14ac:dyDescent="0.3">
      <c r="A21" s="2" t="s">
        <v>89</v>
      </c>
      <c r="B21" s="2" t="str">
        <f>HYPERLINK("https://www.oursportscentral.com/services/releases/lewandowski-scores-two-in-game-2-win-against-indy/n-6216174")</f>
        <v>https://www.oursportscentral.com/services/releases/lewandowski-scores-two-in-game-2-win-against-indy/n-6216174</v>
      </c>
      <c r="C21" s="2"/>
      <c r="D21" s="2" t="s">
        <v>31</v>
      </c>
      <c r="E21" s="4">
        <v>45765.961261574077</v>
      </c>
      <c r="F21" s="2" t="s">
        <v>90</v>
      </c>
      <c r="G21" s="2">
        <f t="shared" si="0"/>
        <v>353.51749999999998</v>
      </c>
      <c r="H21" s="2">
        <v>40402</v>
      </c>
      <c r="I21" s="2">
        <v>0</v>
      </c>
      <c r="J21" s="2">
        <v>0</v>
      </c>
      <c r="K21" s="2">
        <v>0</v>
      </c>
      <c r="L21" s="2" t="s">
        <v>30</v>
      </c>
      <c r="M21" s="2"/>
      <c r="N21" t="s">
        <v>341</v>
      </c>
    </row>
    <row r="22" spans="1:14" ht="52.8" x14ac:dyDescent="0.3">
      <c r="A22" s="2" t="s">
        <v>91</v>
      </c>
      <c r="B22" s="2" t="str">
        <f>HYPERLINK("https://www.toledoblade.com/sports/walleye/2025/04/18/photo-gallery-walleye-vs-indy-fuel-game-2/stories/20250418155")</f>
        <v>https://www.toledoblade.com/sports/walleye/2025/04/18/photo-gallery-walleye-vs-indy-fuel-game-2/stories/20250418155</v>
      </c>
      <c r="C22" s="2" t="s">
        <v>92</v>
      </c>
      <c r="D22" s="2" t="s">
        <v>29</v>
      </c>
      <c r="E22" s="4">
        <v>45765.94326388889</v>
      </c>
      <c r="F22" s="2" t="s">
        <v>93</v>
      </c>
      <c r="G22" s="2">
        <f t="shared" si="0"/>
        <v>3577.8575000000001</v>
      </c>
      <c r="H22" s="2">
        <v>408898</v>
      </c>
      <c r="I22" s="2">
        <v>0</v>
      </c>
      <c r="J22" s="2">
        <v>0</v>
      </c>
      <c r="K22" s="2">
        <v>0</v>
      </c>
      <c r="L22" s="2" t="s">
        <v>38</v>
      </c>
      <c r="M22" s="2"/>
      <c r="N22" t="s">
        <v>341</v>
      </c>
    </row>
    <row r="23" spans="1:14" ht="52.8" x14ac:dyDescent="0.3">
      <c r="A23" s="2" t="s">
        <v>94</v>
      </c>
      <c r="B23" s="2" t="str">
        <f>HYPERLINK("https://www.larryinfishers.com/2025/04/18/walleye-take-commanding-2-0-series-lead-with-5-2-win-over-fuel/")</f>
        <v>https://www.larryinfishers.com/2025/04/18/walleye-take-commanding-2-0-series-lead-with-5-2-win-over-fuel/</v>
      </c>
      <c r="C23" s="2"/>
      <c r="D23" s="2" t="s">
        <v>66</v>
      </c>
      <c r="E23" s="4">
        <v>45765.939768518518</v>
      </c>
      <c r="F23" s="2" t="s">
        <v>95</v>
      </c>
      <c r="G23" s="2">
        <f t="shared" si="0"/>
        <v>30.703749999999999</v>
      </c>
      <c r="H23" s="2">
        <v>3509</v>
      </c>
      <c r="I23" s="2">
        <v>0</v>
      </c>
      <c r="J23" s="2">
        <v>0</v>
      </c>
      <c r="K23" s="2">
        <v>1</v>
      </c>
      <c r="L23" s="2" t="s">
        <v>30</v>
      </c>
      <c r="M23" s="2"/>
      <c r="N23" t="s">
        <v>794</v>
      </c>
    </row>
    <row r="24" spans="1:14" ht="52.8" x14ac:dyDescent="0.3">
      <c r="A24" s="2" t="s">
        <v>96</v>
      </c>
      <c r="B24" s="2" t="str">
        <f>HYPERLINK("https://www.toledoblade.com/sports/walleye/2025/04/18/walleye-seize-2-0-playoff-series-lead-over-indy-5-2-win/stories/20250418150")</f>
        <v>https://www.toledoblade.com/sports/walleye/2025/04/18/walleye-seize-2-0-playoff-series-lead-over-indy-5-2-win/stories/20250418150</v>
      </c>
      <c r="C24" s="2" t="s">
        <v>28</v>
      </c>
      <c r="D24" s="2" t="s">
        <v>29</v>
      </c>
      <c r="E24" s="4">
        <v>45765.934918981482</v>
      </c>
      <c r="F24" s="2" t="s">
        <v>97</v>
      </c>
      <c r="G24" s="2">
        <f t="shared" si="0"/>
        <v>3577.8575000000001</v>
      </c>
      <c r="H24" s="2">
        <v>408898</v>
      </c>
      <c r="I24" s="2">
        <v>1</v>
      </c>
      <c r="J24" s="2">
        <v>4982</v>
      </c>
      <c r="K24" s="2">
        <v>56</v>
      </c>
      <c r="L24" s="2" t="s">
        <v>30</v>
      </c>
      <c r="M24" s="2"/>
      <c r="N24" t="s">
        <v>341</v>
      </c>
    </row>
    <row r="25" spans="1:14" ht="52.8" x14ac:dyDescent="0.3">
      <c r="A25" s="2" t="s">
        <v>94</v>
      </c>
      <c r="B25" s="2" t="str">
        <f>HYPERLINK("https://rb.gy/dh4idc")</f>
        <v>https://rb.gy/dh4idc</v>
      </c>
      <c r="C25" s="2"/>
      <c r="D25" s="2" t="s">
        <v>98</v>
      </c>
      <c r="E25" s="4">
        <v>45765.934351851851</v>
      </c>
      <c r="F25" s="2" t="s">
        <v>95</v>
      </c>
      <c r="G25" s="2">
        <f t="shared" si="0"/>
        <v>17746.487499999999</v>
      </c>
      <c r="H25" s="2">
        <v>2028170</v>
      </c>
      <c r="I25" s="2">
        <v>0</v>
      </c>
      <c r="J25" s="2">
        <v>0</v>
      </c>
      <c r="K25" s="2">
        <v>1</v>
      </c>
      <c r="L25" s="2" t="s">
        <v>30</v>
      </c>
      <c r="M25" s="2"/>
      <c r="N25" t="s">
        <v>795</v>
      </c>
    </row>
    <row r="26" spans="1:14" ht="79.2" x14ac:dyDescent="0.3">
      <c r="A26" s="2" t="s">
        <v>99</v>
      </c>
      <c r="B26" s="2" t="str">
        <f>HYPERLINK("https://www.oursportscentral.com/services/releases/fuel-lose-hard-fought-game-2-in-toledo/n-6216087")</f>
        <v>https://www.oursportscentral.com/services/releases/fuel-lose-hard-fought-game-2-in-toledo/n-6216087</v>
      </c>
      <c r="C26" s="2"/>
      <c r="D26" s="2" t="s">
        <v>31</v>
      </c>
      <c r="E26" s="4">
        <v>45765.922835648147</v>
      </c>
      <c r="F26" s="2" t="s">
        <v>100</v>
      </c>
      <c r="G26" s="2">
        <f t="shared" si="0"/>
        <v>353.51749999999998</v>
      </c>
      <c r="H26" s="2">
        <v>40402</v>
      </c>
      <c r="I26" s="2">
        <v>0</v>
      </c>
      <c r="J26" s="2">
        <v>0</v>
      </c>
      <c r="K26" s="2">
        <v>0</v>
      </c>
      <c r="L26" s="2" t="s">
        <v>38</v>
      </c>
      <c r="M26" s="2"/>
      <c r="N26" t="s">
        <v>341</v>
      </c>
    </row>
    <row r="27" spans="1:14" ht="79.2" x14ac:dyDescent="0.3">
      <c r="A27" s="2" t="s">
        <v>101</v>
      </c>
      <c r="B27" s="2" t="str">
        <f>HYPERLINK("https://ca.sports.yahoo.com/news/wheeling-sees-double-toledo-doubles-143956371.html")</f>
        <v>https://ca.sports.yahoo.com/news/wheeling-sees-double-toledo-doubles-143956371.html</v>
      </c>
      <c r="C27" s="2" t="s">
        <v>25</v>
      </c>
      <c r="D27" s="2" t="s">
        <v>26</v>
      </c>
      <c r="E27" s="4">
        <v>45765.451481481483</v>
      </c>
      <c r="F27" s="2" t="s">
        <v>102</v>
      </c>
      <c r="G27" s="2">
        <f t="shared" si="0"/>
        <v>5428.6137499999995</v>
      </c>
      <c r="H27" s="2">
        <v>620413</v>
      </c>
      <c r="I27" s="2">
        <v>0</v>
      </c>
      <c r="J27" s="2">
        <v>0</v>
      </c>
      <c r="K27" s="2">
        <v>0</v>
      </c>
      <c r="L27" s="2" t="s">
        <v>22</v>
      </c>
      <c r="M27" s="2"/>
      <c r="N27" t="s">
        <v>795</v>
      </c>
    </row>
    <row r="28" spans="1:14" ht="105.6" x14ac:dyDescent="0.3">
      <c r="A28" s="2" t="s">
        <v>103</v>
      </c>
      <c r="B28" s="2" t="str">
        <f>HYPERLINK("https://www.oursportscentral.com/services/releases/walleye-win-a-dominant-game-one-against-the-indy-fuel/n-6215740")</f>
        <v>https://www.oursportscentral.com/services/releases/walleye-win-a-dominant-game-one-against-the-indy-fuel/n-6215740</v>
      </c>
      <c r="C28" s="2"/>
      <c r="D28" s="2" t="s">
        <v>31</v>
      </c>
      <c r="E28" s="4">
        <v>45764.988159722219</v>
      </c>
      <c r="F28" s="2" t="s">
        <v>104</v>
      </c>
      <c r="G28" s="2">
        <f t="shared" si="0"/>
        <v>353.51749999999998</v>
      </c>
      <c r="H28" s="2">
        <v>40402</v>
      </c>
      <c r="I28" s="2">
        <v>0</v>
      </c>
      <c r="J28" s="2">
        <v>0</v>
      </c>
      <c r="K28" s="2">
        <v>0</v>
      </c>
      <c r="L28" s="2" t="s">
        <v>30</v>
      </c>
      <c r="M28" s="2"/>
      <c r="N28" t="s">
        <v>341</v>
      </c>
    </row>
    <row r="29" spans="1:14" ht="145.19999999999999" x14ac:dyDescent="0.3">
      <c r="A29" s="2" t="s">
        <v>105</v>
      </c>
      <c r="B29" s="2" t="str">
        <f>HYPERLINK("https://www.oursportscentral.com/services/releases/fuel-fall-to-walleye-6-3-in-first-playoff-matchup/n-6215707")</f>
        <v>https://www.oursportscentral.com/services/releases/fuel-fall-to-walleye-6-3-in-first-playoff-matchup/n-6215707</v>
      </c>
      <c r="C29" s="2"/>
      <c r="D29" s="2" t="s">
        <v>31</v>
      </c>
      <c r="E29" s="4">
        <v>45764.9608912037</v>
      </c>
      <c r="F29" s="2" t="s">
        <v>106</v>
      </c>
      <c r="G29" s="2">
        <f t="shared" si="0"/>
        <v>353.51749999999998</v>
      </c>
      <c r="H29" s="2">
        <v>40402</v>
      </c>
      <c r="I29" s="2">
        <v>0</v>
      </c>
      <c r="J29" s="2">
        <v>0</v>
      </c>
      <c r="K29" s="2">
        <v>0</v>
      </c>
      <c r="L29" s="2" t="s">
        <v>38</v>
      </c>
      <c r="M29" s="2"/>
      <c r="N29" t="s">
        <v>341</v>
      </c>
    </row>
    <row r="30" spans="1:14" ht="92.4" x14ac:dyDescent="0.3">
      <c r="A30" s="2" t="s">
        <v>107</v>
      </c>
      <c r="B30" s="2" t="str">
        <f>HYPERLINK("https://www.larryinfishers.com/2025/04/17/fuel-drop-playoff-opener-to-walleye-in-physical-game-1-battle/")</f>
        <v>https://www.larryinfishers.com/2025/04/17/fuel-drop-playoff-opener-to-walleye-in-physical-game-1-battle/</v>
      </c>
      <c r="C30" s="2"/>
      <c r="D30" s="2" t="s">
        <v>66</v>
      </c>
      <c r="E30" s="4">
        <v>45764.949583333328</v>
      </c>
      <c r="F30" s="2" t="s">
        <v>108</v>
      </c>
      <c r="G30" s="2">
        <f t="shared" si="0"/>
        <v>30.703749999999999</v>
      </c>
      <c r="H30" s="2">
        <v>3509</v>
      </c>
      <c r="I30" s="2">
        <v>0</v>
      </c>
      <c r="J30" s="2">
        <v>0</v>
      </c>
      <c r="K30" s="2">
        <v>1</v>
      </c>
      <c r="L30" s="2" t="s">
        <v>38</v>
      </c>
      <c r="M30" s="2"/>
      <c r="N30" t="s">
        <v>794</v>
      </c>
    </row>
    <row r="31" spans="1:14" ht="66" x14ac:dyDescent="0.3">
      <c r="A31" s="2" t="s">
        <v>109</v>
      </c>
      <c r="B31" s="2" t="str">
        <f>HYPERLINK("https://www.toledoblade.com/sports/walleye/2025/04/17/photo-gallery-walleye-vs-indy-fuel-game-1/stories/20250417151")</f>
        <v>https://www.toledoblade.com/sports/walleye/2025/04/17/photo-gallery-walleye-vs-indy-fuel-game-1/stories/20250417151</v>
      </c>
      <c r="C31" s="2" t="s">
        <v>92</v>
      </c>
      <c r="D31" s="2" t="s">
        <v>29</v>
      </c>
      <c r="E31" s="4">
        <v>45764.933032407411</v>
      </c>
      <c r="F31" s="2" t="s">
        <v>110</v>
      </c>
      <c r="G31" s="2">
        <f t="shared" si="0"/>
        <v>3577.8575000000001</v>
      </c>
      <c r="H31" s="2">
        <v>408898</v>
      </c>
      <c r="I31" s="2">
        <v>0</v>
      </c>
      <c r="J31" s="2">
        <v>0</v>
      </c>
      <c r="K31" s="2">
        <v>0</v>
      </c>
      <c r="L31" s="2" t="s">
        <v>30</v>
      </c>
      <c r="M31" s="2"/>
      <c r="N31" t="s">
        <v>341</v>
      </c>
    </row>
    <row r="32" spans="1:14" ht="52.8" x14ac:dyDescent="0.3">
      <c r="A32" s="2" t="s">
        <v>111</v>
      </c>
      <c r="B32" s="2" t="str">
        <f>HYPERLINK("https://www.toledoblade.com/sports/walleye/2025/04/17/walleye-open-playoffs-convincing-6-3-win-over-indy-fuel/stories/20250417147")</f>
        <v>https://www.toledoblade.com/sports/walleye/2025/04/17/walleye-open-playoffs-convincing-6-3-win-over-indy-fuel/stories/20250417147</v>
      </c>
      <c r="C32" s="2" t="s">
        <v>28</v>
      </c>
      <c r="D32" s="2" t="s">
        <v>29</v>
      </c>
      <c r="E32" s="4">
        <v>45764.932916666658</v>
      </c>
      <c r="F32" s="2" t="s">
        <v>112</v>
      </c>
      <c r="G32" s="2">
        <f t="shared" si="0"/>
        <v>3577.8575000000001</v>
      </c>
      <c r="H32" s="2">
        <v>408898</v>
      </c>
      <c r="I32" s="2">
        <v>1</v>
      </c>
      <c r="J32" s="2">
        <v>4982</v>
      </c>
      <c r="K32" s="2">
        <v>8</v>
      </c>
      <c r="L32" s="2" t="s">
        <v>30</v>
      </c>
      <c r="M32" s="2"/>
      <c r="N32" t="s">
        <v>341</v>
      </c>
    </row>
    <row r="33" spans="1:14" ht="79.2" x14ac:dyDescent="0.3">
      <c r="A33" s="2" t="s">
        <v>113</v>
      </c>
      <c r="B33" s="2" t="str">
        <f>HYPERLINK("https://www.toledoblade.com/sports/walleye/2025/04/16/who-has-edge-analyzing-walleye-fuel-first-round-series/stories/20250416152")</f>
        <v>https://www.toledoblade.com/sports/walleye/2025/04/16/who-has-edge-analyzing-walleye-fuel-first-round-series/stories/20250416152</v>
      </c>
      <c r="C33" s="2" t="s">
        <v>28</v>
      </c>
      <c r="D33" s="2" t="s">
        <v>29</v>
      </c>
      <c r="E33" s="4">
        <v>45763.795358796298</v>
      </c>
      <c r="F33" s="2" t="s">
        <v>114</v>
      </c>
      <c r="G33" s="2">
        <f t="shared" si="0"/>
        <v>3577.8575000000001</v>
      </c>
      <c r="H33" s="2">
        <v>408898</v>
      </c>
      <c r="I33" s="2">
        <v>0</v>
      </c>
      <c r="J33" s="2">
        <v>0</v>
      </c>
      <c r="K33" s="2">
        <v>0</v>
      </c>
      <c r="L33" s="2" t="s">
        <v>22</v>
      </c>
      <c r="M33" s="2"/>
      <c r="N33" t="s">
        <v>341</v>
      </c>
    </row>
    <row r="34" spans="1:14" ht="79.2" x14ac:dyDescent="0.3">
      <c r="A34" s="2" t="s">
        <v>115</v>
      </c>
      <c r="B34" s="2" t="str">
        <f>HYPERLINK("https://www.toledoblade.com/sports/walleye/2025/04/16/2025-playoff-preview-walleye-look-to-get-rolling-against-indy/stories/20250416130")</f>
        <v>https://www.toledoblade.com/sports/walleye/2025/04/16/2025-playoff-preview-walleye-look-to-get-rolling-against-indy/stories/20250416130</v>
      </c>
      <c r="C34" s="2" t="s">
        <v>28</v>
      </c>
      <c r="D34" s="2" t="s">
        <v>29</v>
      </c>
      <c r="E34" s="4">
        <v>45763.669675925928</v>
      </c>
      <c r="F34" s="2" t="s">
        <v>116</v>
      </c>
      <c r="G34" s="2">
        <f t="shared" si="0"/>
        <v>3577.8575000000001</v>
      </c>
      <c r="H34" s="2">
        <v>408898</v>
      </c>
      <c r="I34" s="2">
        <v>1</v>
      </c>
      <c r="J34" s="2">
        <v>4982</v>
      </c>
      <c r="K34" s="2">
        <v>11</v>
      </c>
      <c r="L34" s="2" t="s">
        <v>30</v>
      </c>
      <c r="M34" s="2"/>
      <c r="N34" t="s">
        <v>341</v>
      </c>
    </row>
    <row r="35" spans="1:14" ht="79.2" x14ac:dyDescent="0.3">
      <c r="A35" s="2" t="s">
        <v>117</v>
      </c>
      <c r="B35" s="2" t="str">
        <f>HYPERLINK("https://www.toledoblade.com/sports/walleye/2025/04/15/3-keys-walleye-indy-fuel-2025-echl-central-division-semifinals-kely-cup-playoffs/stories/20250415111")</f>
        <v>https://www.toledoblade.com/sports/walleye/2025/04/15/3-keys-walleye-indy-fuel-2025-echl-central-division-semifinals-kely-cup-playoffs/stories/20250415111</v>
      </c>
      <c r="C35" s="2" t="s">
        <v>28</v>
      </c>
      <c r="D35" s="2" t="s">
        <v>29</v>
      </c>
      <c r="E35" s="4">
        <v>45762.700474537043</v>
      </c>
      <c r="F35" s="2" t="s">
        <v>118</v>
      </c>
      <c r="G35" s="2">
        <f t="shared" si="0"/>
        <v>3577.8575000000001</v>
      </c>
      <c r="H35" s="2">
        <v>408898</v>
      </c>
      <c r="I35" s="2">
        <v>1</v>
      </c>
      <c r="J35" s="2">
        <v>4982</v>
      </c>
      <c r="K35" s="2">
        <v>1</v>
      </c>
      <c r="L35" s="2" t="s">
        <v>22</v>
      </c>
      <c r="M35" s="2"/>
      <c r="N35" t="s">
        <v>341</v>
      </c>
    </row>
    <row r="36" spans="1:14" ht="66" x14ac:dyDescent="0.3">
      <c r="A36" s="2" t="s">
        <v>119</v>
      </c>
      <c r="B36" s="2" t="str">
        <f>HYPERLINK("https://www.oursportscentral.com/services/releases/indys-lemos-named-inglasco-echl-player-of-the-week/n-6214374")</f>
        <v>https://www.oursportscentral.com/services/releases/indys-lemos-named-inglasco-echl-player-of-the-week/n-6214374</v>
      </c>
      <c r="C36" s="2"/>
      <c r="D36" s="2" t="s">
        <v>31</v>
      </c>
      <c r="E36" s="4">
        <v>45762.627141203702</v>
      </c>
      <c r="F36" s="2" t="s">
        <v>120</v>
      </c>
      <c r="G36" s="2">
        <f t="shared" si="0"/>
        <v>353.51749999999998</v>
      </c>
      <c r="H36" s="2">
        <v>40402</v>
      </c>
      <c r="I36" s="2">
        <v>0</v>
      </c>
      <c r="J36" s="2">
        <v>0</v>
      </c>
      <c r="K36" s="2">
        <v>0</v>
      </c>
      <c r="L36" s="2" t="s">
        <v>22</v>
      </c>
      <c r="M36" s="2"/>
      <c r="N36" t="s">
        <v>341</v>
      </c>
    </row>
    <row r="37" spans="1:14" ht="105.6" x14ac:dyDescent="0.3">
      <c r="A37" s="2" t="s">
        <v>122</v>
      </c>
      <c r="B37" s="2" t="str">
        <f>HYPERLINK("https://www.toledoblade.com/sports/walleye/2025/04/14/indy-fuel-5-things-to-know-about-the-walleye-s-2025-division-semifinal-opponent/stories/20250414081")</f>
        <v>https://www.toledoblade.com/sports/walleye/2025/04/14/indy-fuel-5-things-to-know-about-the-walleye-s-2025-division-semifinal-opponent/stories/20250414081</v>
      </c>
      <c r="C37" s="2" t="s">
        <v>28</v>
      </c>
      <c r="D37" s="2" t="s">
        <v>29</v>
      </c>
      <c r="E37" s="4">
        <v>45761.550509259258</v>
      </c>
      <c r="F37" s="2" t="s">
        <v>123</v>
      </c>
      <c r="G37" s="2">
        <f t="shared" si="0"/>
        <v>3577.8575000000001</v>
      </c>
      <c r="H37" s="2">
        <v>408898</v>
      </c>
      <c r="I37" s="2">
        <v>1</v>
      </c>
      <c r="J37" s="2">
        <v>4982</v>
      </c>
      <c r="K37" s="2">
        <v>26</v>
      </c>
      <c r="L37" s="2" t="s">
        <v>22</v>
      </c>
      <c r="M37" s="2"/>
      <c r="N37" t="s">
        <v>341</v>
      </c>
    </row>
    <row r="38" spans="1:14" ht="92.4" x14ac:dyDescent="0.3">
      <c r="A38" s="2" t="s">
        <v>124</v>
      </c>
      <c r="B38" s="2" t="str">
        <f>HYPERLINK("https://indyfuelhockey.com/news/2025/04/indy-fuel-announce-2025-kelly-cup-playoff-roster")</f>
        <v>https://indyfuelhockey.com/news/2025/04/indy-fuel-announce-2025-kelly-cup-playoff-roster</v>
      </c>
      <c r="C38" s="2"/>
      <c r="D38" s="2" t="s">
        <v>121</v>
      </c>
      <c r="E38" s="4">
        <v>45761.415937500002</v>
      </c>
      <c r="F38" s="2" t="s">
        <v>125</v>
      </c>
      <c r="G38" s="2">
        <f t="shared" si="0"/>
        <v>0</v>
      </c>
      <c r="H38" s="2"/>
      <c r="I38" s="2">
        <v>1</v>
      </c>
      <c r="J38" s="2">
        <v>840</v>
      </c>
      <c r="K38" s="2">
        <v>1</v>
      </c>
      <c r="L38" s="2" t="s">
        <v>22</v>
      </c>
      <c r="M38" s="2"/>
      <c r="N38" t="s">
        <v>794</v>
      </c>
    </row>
    <row r="39" spans="1:14" ht="105.6" x14ac:dyDescent="0.3">
      <c r="A39" s="2" t="s">
        <v>126</v>
      </c>
      <c r="B39" s="2" t="str">
        <f>HYPERLINK("https://www.oursportscentral.com/services/releases/fuel-earn-point-in-overtime-battle-with-walleye/n-6213639")</f>
        <v>https://www.oursportscentral.com/services/releases/fuel-earn-point-in-overtime-battle-with-walleye/n-6213639</v>
      </c>
      <c r="C39" s="2"/>
      <c r="D39" s="2" t="s">
        <v>31</v>
      </c>
      <c r="E39" s="4">
        <v>45760.887604166674</v>
      </c>
      <c r="F39" s="2" t="s">
        <v>127</v>
      </c>
      <c r="G39" s="2">
        <f t="shared" si="0"/>
        <v>353.51749999999998</v>
      </c>
      <c r="H39" s="2">
        <v>40402</v>
      </c>
      <c r="I39" s="2">
        <v>0</v>
      </c>
      <c r="J39" s="2">
        <v>0</v>
      </c>
      <c r="K39" s="2">
        <v>0</v>
      </c>
      <c r="L39" s="2" t="s">
        <v>38</v>
      </c>
      <c r="M39" s="2"/>
      <c r="N39" t="s">
        <v>341</v>
      </c>
    </row>
    <row r="40" spans="1:14" ht="79.2" x14ac:dyDescent="0.3">
      <c r="A40" s="2" t="s">
        <v>128</v>
      </c>
      <c r="B40" s="2" t="str">
        <f>HYPERLINK("https://www.larryinfishers.com/2025/04/13/fuel-set-for-first-round-showdown-with-toledo-in-kelly-cup-playoffs/")</f>
        <v>https://www.larryinfishers.com/2025/04/13/fuel-set-for-first-round-showdown-with-toledo-in-kelly-cup-playoffs/</v>
      </c>
      <c r="C40" s="2"/>
      <c r="D40" s="2" t="s">
        <v>66</v>
      </c>
      <c r="E40" s="4">
        <v>45760.868101851847</v>
      </c>
      <c r="F40" s="2" t="s">
        <v>129</v>
      </c>
      <c r="G40" s="2">
        <f t="shared" si="0"/>
        <v>30.703749999999999</v>
      </c>
      <c r="H40" s="2">
        <v>3509</v>
      </c>
      <c r="I40" s="2">
        <v>0</v>
      </c>
      <c r="J40" s="2">
        <v>0</v>
      </c>
      <c r="K40" s="2">
        <v>2</v>
      </c>
      <c r="L40" s="2" t="s">
        <v>22</v>
      </c>
      <c r="M40" s="2"/>
      <c r="N40" t="s">
        <v>794</v>
      </c>
    </row>
    <row r="41" spans="1:14" ht="409.6" x14ac:dyDescent="0.3">
      <c r="A41" s="2" t="s">
        <v>130</v>
      </c>
      <c r="B41" s="2" t="str">
        <f>HYPERLINK("https://www.therinklive.com/sports/pro/bloom-scores-twice-in-kalamazoo-wings-win-over-indy-fuel-20250413014042")</f>
        <v>https://www.therinklive.com/sports/pro/bloom-scores-twice-in-kalamazoo-wings-win-over-indy-fuel-20250413014042</v>
      </c>
      <c r="C41" s="2"/>
      <c r="D41" s="2" t="s">
        <v>131</v>
      </c>
      <c r="E41" s="4">
        <v>45760.236620370371</v>
      </c>
      <c r="F41" s="2" t="s">
        <v>132</v>
      </c>
      <c r="G41" s="2">
        <f t="shared" si="0"/>
        <v>146.47499999999999</v>
      </c>
      <c r="H41" s="2">
        <v>16740</v>
      </c>
      <c r="I41" s="2">
        <v>0</v>
      </c>
      <c r="J41" s="2">
        <v>0</v>
      </c>
      <c r="K41" s="2">
        <v>0</v>
      </c>
      <c r="L41" s="2" t="s">
        <v>30</v>
      </c>
      <c r="M41" s="2"/>
      <c r="N41" t="s">
        <v>341</v>
      </c>
    </row>
    <row r="42" spans="1:14" ht="92.4" x14ac:dyDescent="0.3">
      <c r="A42" s="2" t="s">
        <v>133</v>
      </c>
      <c r="B42" s="2" t="str">
        <f>HYPERLINK("https://www.flohockey.tv/events/12626805-2025-indy-fuel-vs-toledo-walleye")</f>
        <v>https://www.flohockey.tv/events/12626805-2025-indy-fuel-vs-toledo-walleye</v>
      </c>
      <c r="C42" s="2"/>
      <c r="D42" s="2" t="s">
        <v>24</v>
      </c>
      <c r="E42" s="4">
        <v>45760</v>
      </c>
      <c r="F42" s="2" t="s">
        <v>134</v>
      </c>
      <c r="G42" s="2">
        <f t="shared" si="0"/>
        <v>2807.7787499999999</v>
      </c>
      <c r="H42" s="2">
        <v>320889</v>
      </c>
      <c r="I42" s="2">
        <v>0</v>
      </c>
      <c r="J42" s="2">
        <v>0</v>
      </c>
      <c r="K42" s="2">
        <v>0</v>
      </c>
      <c r="L42" s="2" t="s">
        <v>38</v>
      </c>
      <c r="M42" s="2"/>
      <c r="N42" t="s">
        <v>341</v>
      </c>
    </row>
    <row r="43" spans="1:14" ht="105.6" x14ac:dyDescent="0.3">
      <c r="A43" s="2" t="s">
        <v>135</v>
      </c>
      <c r="B43" s="2" t="str">
        <f>HYPERLINK("https://www.oursportscentral.com/services/releases/fuel-set-new-franchise-records-on-saturday-despite-loss-to-k-wings/n-6213105")</f>
        <v>https://www.oursportscentral.com/services/releases/fuel-set-new-franchise-records-on-saturday-despite-loss-to-k-wings/n-6213105</v>
      </c>
      <c r="C43" s="2"/>
      <c r="D43" s="2" t="s">
        <v>31</v>
      </c>
      <c r="E43" s="4">
        <v>45759.962453703702</v>
      </c>
      <c r="F43" s="2" t="s">
        <v>136</v>
      </c>
      <c r="G43" s="2">
        <f t="shared" si="0"/>
        <v>353.51749999999998</v>
      </c>
      <c r="H43" s="2">
        <v>40402</v>
      </c>
      <c r="I43" s="2">
        <v>0</v>
      </c>
      <c r="J43" s="2">
        <v>0</v>
      </c>
      <c r="K43" s="2">
        <v>0</v>
      </c>
      <c r="L43" s="2" t="s">
        <v>30</v>
      </c>
      <c r="M43" s="2"/>
      <c r="N43" t="s">
        <v>341</v>
      </c>
    </row>
    <row r="44" spans="1:14" ht="118.8" x14ac:dyDescent="0.3">
      <c r="A44" s="2" t="s">
        <v>137</v>
      </c>
      <c r="B44" s="2" t="str">
        <f>HYPERLINK("https://www.oursportscentral.com/services/releases/k-wings-throttle-fuel-with-big-goals--big-hits/n-6213050")</f>
        <v>https://www.oursportscentral.com/services/releases/k-wings-throttle-fuel-with-big-goals--big-hits/n-6213050</v>
      </c>
      <c r="C44" s="2"/>
      <c r="D44" s="2" t="s">
        <v>31</v>
      </c>
      <c r="E44" s="4">
        <v>45759.942962962959</v>
      </c>
      <c r="F44" s="2" t="s">
        <v>138</v>
      </c>
      <c r="G44" s="2">
        <f t="shared" si="0"/>
        <v>353.51749999999998</v>
      </c>
      <c r="H44" s="2">
        <v>40402</v>
      </c>
      <c r="I44" s="2">
        <v>0</v>
      </c>
      <c r="J44" s="2">
        <v>0</v>
      </c>
      <c r="K44" s="2">
        <v>0</v>
      </c>
      <c r="L44" s="2" t="s">
        <v>22</v>
      </c>
      <c r="M44" s="2"/>
      <c r="N44" t="s">
        <v>341</v>
      </c>
    </row>
    <row r="45" spans="1:14" ht="92.4" x14ac:dyDescent="0.3">
      <c r="A45" s="2" t="s">
        <v>140</v>
      </c>
      <c r="B45" s="2" t="str">
        <f>HYPERLINK("https://www.therinklive.com/sports/pro/kalamazoo-wings-beat-indy-fuel-in-shootout-20250412011942")</f>
        <v>https://www.therinklive.com/sports/pro/kalamazoo-wings-beat-indy-fuel-in-shootout-20250412011942</v>
      </c>
      <c r="C45" s="2"/>
      <c r="D45" s="2" t="s">
        <v>131</v>
      </c>
      <c r="E45" s="4">
        <v>45759.220231481479</v>
      </c>
      <c r="F45" s="2" t="s">
        <v>141</v>
      </c>
      <c r="G45" s="2">
        <f t="shared" si="0"/>
        <v>146.47499999999999</v>
      </c>
      <c r="H45" s="2">
        <v>16740</v>
      </c>
      <c r="I45" s="2">
        <v>0</v>
      </c>
      <c r="J45" s="2">
        <v>0</v>
      </c>
      <c r="K45" s="2">
        <v>0</v>
      </c>
      <c r="L45" s="2" t="s">
        <v>22</v>
      </c>
      <c r="M45" s="2"/>
      <c r="N45" t="s">
        <v>341</v>
      </c>
    </row>
    <row r="46" spans="1:14" ht="105.6" x14ac:dyDescent="0.3">
      <c r="A46" s="2" t="s">
        <v>142</v>
      </c>
      <c r="B46" s="2" t="str">
        <f>HYPERLINK("https://www.oursportscentral.com/services/releases/fuel-clinch-playoffs-in-shootout-loss-to-kalamazoo/n-6212686")</f>
        <v>https://www.oursportscentral.com/services/releases/fuel-clinch-playoffs-in-shootout-loss-to-kalamazoo/n-6212686</v>
      </c>
      <c r="C46" s="2"/>
      <c r="D46" s="2" t="s">
        <v>31</v>
      </c>
      <c r="E46" s="4">
        <v>45759.126157407409</v>
      </c>
      <c r="F46" s="2" t="s">
        <v>143</v>
      </c>
      <c r="G46" s="2">
        <f t="shared" si="0"/>
        <v>353.51749999999998</v>
      </c>
      <c r="H46" s="2">
        <v>40402</v>
      </c>
      <c r="I46" s="2">
        <v>0</v>
      </c>
      <c r="J46" s="2">
        <v>0</v>
      </c>
      <c r="K46" s="2">
        <v>0</v>
      </c>
      <c r="L46" s="2" t="s">
        <v>38</v>
      </c>
      <c r="M46" s="2"/>
      <c r="N46" t="s">
        <v>341</v>
      </c>
    </row>
    <row r="47" spans="1:14" ht="92.4" x14ac:dyDescent="0.3">
      <c r="A47" s="2" t="s">
        <v>144</v>
      </c>
      <c r="B47" s="2" t="str">
        <f>HYPERLINK("https://www.flohockey.tv/events/12626776-2025-indy-fuel-vs-kalamazoo-wings")</f>
        <v>https://www.flohockey.tv/events/12626776-2025-indy-fuel-vs-kalamazoo-wings</v>
      </c>
      <c r="C47" s="2"/>
      <c r="D47" s="2" t="s">
        <v>24</v>
      </c>
      <c r="E47" s="4">
        <v>45759</v>
      </c>
      <c r="F47" s="2" t="s">
        <v>145</v>
      </c>
      <c r="G47" s="2">
        <f t="shared" si="0"/>
        <v>2807.7787499999999</v>
      </c>
      <c r="H47" s="2">
        <v>320889</v>
      </c>
      <c r="I47" s="2">
        <v>0</v>
      </c>
      <c r="J47" s="2">
        <v>0</v>
      </c>
      <c r="K47" s="2">
        <v>0</v>
      </c>
      <c r="L47" s="2" t="s">
        <v>38</v>
      </c>
      <c r="M47" s="2"/>
      <c r="N47" t="s">
        <v>341</v>
      </c>
    </row>
    <row r="48" spans="1:14" ht="105.6" x14ac:dyDescent="0.3">
      <c r="A48" s="2" t="s">
        <v>146</v>
      </c>
      <c r="B48" s="2" t="str">
        <f>HYPERLINK("https://www.oursportscentral.com/services/releases/k-wings-beat-fuel-in-shootout/n-6212506")</f>
        <v>https://www.oursportscentral.com/services/releases/k-wings-beat-fuel-in-shootout/n-6212506</v>
      </c>
      <c r="C48" s="2"/>
      <c r="D48" s="2" t="s">
        <v>31</v>
      </c>
      <c r="E48" s="4">
        <v>45758.969270833331</v>
      </c>
      <c r="F48" s="2" t="s">
        <v>147</v>
      </c>
      <c r="G48" s="2">
        <f t="shared" si="0"/>
        <v>353.51749999999998</v>
      </c>
      <c r="H48" s="2">
        <v>40402</v>
      </c>
      <c r="I48" s="2">
        <v>0</v>
      </c>
      <c r="J48" s="2">
        <v>0</v>
      </c>
      <c r="K48" s="2">
        <v>0</v>
      </c>
      <c r="L48" s="2" t="s">
        <v>22</v>
      </c>
      <c r="M48" s="2"/>
      <c r="N48" t="s">
        <v>341</v>
      </c>
    </row>
    <row r="49" spans="1:14" ht="79.2" x14ac:dyDescent="0.3">
      <c r="A49" s="2" t="s">
        <v>148</v>
      </c>
      <c r="B49" s="2" t="str">
        <f>HYPERLINK("https://www.toledoblade.com/sports/walleye/2025/04/11/walleye-play-indy-fuel-first-round-kelly-cup-playoffs/stories/20250411152")</f>
        <v>https://www.toledoblade.com/sports/walleye/2025/04/11/walleye-play-indy-fuel-first-round-kelly-cup-playoffs/stories/20250411152</v>
      </c>
      <c r="C49" s="2" t="s">
        <v>28</v>
      </c>
      <c r="D49" s="2" t="s">
        <v>29</v>
      </c>
      <c r="E49" s="4">
        <v>45758.936909722222</v>
      </c>
      <c r="F49" s="2" t="s">
        <v>149</v>
      </c>
      <c r="G49" s="2">
        <f t="shared" si="0"/>
        <v>3577.8575000000001</v>
      </c>
      <c r="H49" s="2">
        <v>408898</v>
      </c>
      <c r="I49" s="2">
        <v>1</v>
      </c>
      <c r="J49" s="2">
        <v>4982</v>
      </c>
      <c r="K49" s="2">
        <v>19</v>
      </c>
      <c r="L49" s="2" t="s">
        <v>30</v>
      </c>
      <c r="M49" s="2"/>
      <c r="N49" t="s">
        <v>341</v>
      </c>
    </row>
    <row r="50" spans="1:14" ht="79.2" x14ac:dyDescent="0.3">
      <c r="A50" s="2" t="s">
        <v>150</v>
      </c>
      <c r="B50" s="2" t="str">
        <f>HYPERLINK("https://www.larryinfishers.com/2025/04/11/fuel-lose-game-gain-a-playoff-spot/")</f>
        <v>https://www.larryinfishers.com/2025/04/11/fuel-lose-game-gain-a-playoff-spot/</v>
      </c>
      <c r="C50" s="2"/>
      <c r="D50" s="2" t="s">
        <v>66</v>
      </c>
      <c r="E50" s="4">
        <v>45758.93476851852</v>
      </c>
      <c r="F50" s="2" t="s">
        <v>151</v>
      </c>
      <c r="G50" s="2">
        <f t="shared" si="0"/>
        <v>30.703749999999999</v>
      </c>
      <c r="H50" s="2">
        <v>3509</v>
      </c>
      <c r="I50" s="2">
        <v>0</v>
      </c>
      <c r="J50" s="2">
        <v>0</v>
      </c>
      <c r="K50" s="2">
        <v>13</v>
      </c>
      <c r="L50" s="2" t="s">
        <v>30</v>
      </c>
      <c r="M50" s="2"/>
      <c r="N50" t="s">
        <v>794</v>
      </c>
    </row>
    <row r="51" spans="1:14" ht="92.4" x14ac:dyDescent="0.3">
      <c r="A51" s="2" t="s">
        <v>153</v>
      </c>
      <c r="B51" s="2" t="str">
        <f>HYPERLINK("https://www.axios.com/local/indianapolis/2025/04/11/indianapolis-weekend-events-mokao-fest-peter-frampton-pacers-and-more")</f>
        <v>https://www.axios.com/local/indianapolis/2025/04/11/indianapolis-weekend-events-mokao-fest-peter-frampton-pacers-and-more</v>
      </c>
      <c r="C51" s="2" t="s">
        <v>154</v>
      </c>
      <c r="D51" s="2" t="s">
        <v>155</v>
      </c>
      <c r="E51" s="4">
        <v>45758.265601851846</v>
      </c>
      <c r="F51" s="2" t="s">
        <v>156</v>
      </c>
      <c r="G51" s="2">
        <f t="shared" si="0"/>
        <v>126441.72624999999</v>
      </c>
      <c r="H51" s="2">
        <v>14450483</v>
      </c>
      <c r="I51" s="2">
        <v>0</v>
      </c>
      <c r="J51" s="2">
        <v>0</v>
      </c>
      <c r="K51" s="2">
        <v>0</v>
      </c>
      <c r="L51" s="2" t="s">
        <v>30</v>
      </c>
      <c r="M51" s="2"/>
      <c r="N51" t="s">
        <v>794</v>
      </c>
    </row>
    <row r="52" spans="1:14" ht="92.4" x14ac:dyDescent="0.3">
      <c r="A52" s="2" t="s">
        <v>157</v>
      </c>
      <c r="B52" s="2" t="str">
        <f>HYPERLINK("https://www.archynewsy.com/indy-fuel-fan-appreciation-night-april-11/")</f>
        <v>https://www.archynewsy.com/indy-fuel-fan-appreciation-night-april-11/</v>
      </c>
      <c r="C52" s="2"/>
      <c r="D52" s="2" t="s">
        <v>158</v>
      </c>
      <c r="E52" s="4">
        <v>45758.140567129631</v>
      </c>
      <c r="F52" s="2" t="s">
        <v>159</v>
      </c>
      <c r="G52" s="2">
        <f t="shared" si="0"/>
        <v>17.701249999999998</v>
      </c>
      <c r="H52" s="2">
        <v>2023</v>
      </c>
      <c r="I52" s="2">
        <v>0</v>
      </c>
      <c r="J52" s="2">
        <v>0</v>
      </c>
      <c r="K52" s="2">
        <v>0</v>
      </c>
      <c r="L52" s="2" t="s">
        <v>30</v>
      </c>
      <c r="M52" s="2"/>
      <c r="N52" t="s">
        <v>341</v>
      </c>
    </row>
    <row r="53" spans="1:14" ht="92.4" x14ac:dyDescent="0.3">
      <c r="A53" s="2" t="s">
        <v>160</v>
      </c>
      <c r="B53" s="2" t="str">
        <f>HYPERLINK("https://www.flohockey.tv/events/12626746-2025-kalamazoo-wings-vs-indy-fuel")</f>
        <v>https://www.flohockey.tv/events/12626746-2025-kalamazoo-wings-vs-indy-fuel</v>
      </c>
      <c r="C53" s="2"/>
      <c r="D53" s="2" t="s">
        <v>24</v>
      </c>
      <c r="E53" s="4">
        <v>45758</v>
      </c>
      <c r="F53" s="2" t="s">
        <v>161</v>
      </c>
      <c r="G53" s="2">
        <f t="shared" si="0"/>
        <v>2807.7787499999999</v>
      </c>
      <c r="H53" s="2">
        <v>320889</v>
      </c>
      <c r="I53" s="2">
        <v>0</v>
      </c>
      <c r="J53" s="2">
        <v>0</v>
      </c>
      <c r="K53" s="2">
        <v>0</v>
      </c>
      <c r="L53" s="2" t="s">
        <v>38</v>
      </c>
      <c r="M53" s="2"/>
      <c r="N53" t="s">
        <v>341</v>
      </c>
    </row>
    <row r="54" spans="1:14" ht="92.4" x14ac:dyDescent="0.3">
      <c r="A54" s="2" t="s">
        <v>162</v>
      </c>
      <c r="B54" s="2" t="str">
        <f>HYPERLINK("https://www.bnd.com/sports/article303992371.html")</f>
        <v>https://www.bnd.com/sports/article303992371.html</v>
      </c>
      <c r="C54" s="2"/>
      <c r="D54" s="2" t="s">
        <v>57</v>
      </c>
      <c r="E54" s="4">
        <v>45757.983229166668</v>
      </c>
      <c r="F54" s="2" t="s">
        <v>163</v>
      </c>
      <c r="G54" s="2">
        <f t="shared" si="0"/>
        <v>1546.16</v>
      </c>
      <c r="H54" s="2">
        <v>176704</v>
      </c>
      <c r="I54" s="2">
        <v>0</v>
      </c>
      <c r="J54" s="2">
        <v>0</v>
      </c>
      <c r="K54" s="2">
        <v>0</v>
      </c>
      <c r="L54" s="2" t="s">
        <v>30</v>
      </c>
      <c r="M54" s="2"/>
      <c r="N54" t="s">
        <v>341</v>
      </c>
    </row>
    <row r="55" spans="1:14" ht="79.2" x14ac:dyDescent="0.3">
      <c r="A55" s="2" t="s">
        <v>164</v>
      </c>
      <c r="B55" s="2" t="str">
        <f>HYPERLINK("https://www.wthr.com/article/sports/nhl/indy-fuel/indy-fuel-fan-appreciation-night-friday-april-11-chance-clinch-playoff-spot-chuck-lofton-13-news-wthr-chuck-a-chuck/531-0db5e4ff-8857-4246-858a-260b2a8e2943")</f>
        <v>https://www.wthr.com/article/sports/nhl/indy-fuel/indy-fuel-fan-appreciation-night-friday-april-11-chance-clinch-playoff-spot-chuck-lofton-13-news-wthr-chuck-a-chuck/531-0db5e4ff-8857-4246-858a-260b2a8e2943</v>
      </c>
      <c r="C55" s="2"/>
      <c r="D55" s="2" t="s">
        <v>165</v>
      </c>
      <c r="E55" s="4">
        <v>45757.843217592592</v>
      </c>
      <c r="F55" s="2" t="s">
        <v>166</v>
      </c>
      <c r="G55" s="2">
        <f t="shared" si="0"/>
        <v>10692.605</v>
      </c>
      <c r="H55" s="2">
        <v>1222012</v>
      </c>
      <c r="I55" s="2">
        <v>1</v>
      </c>
      <c r="J55" s="2">
        <v>28291</v>
      </c>
      <c r="K55" s="2">
        <v>30</v>
      </c>
      <c r="L55" s="2" t="s">
        <v>30</v>
      </c>
      <c r="M55" s="2"/>
      <c r="N55" t="s">
        <v>794</v>
      </c>
    </row>
    <row r="56" spans="1:14" ht="92.4" x14ac:dyDescent="0.3">
      <c r="A56" s="2" t="s">
        <v>162</v>
      </c>
      <c r="B56" s="2" t="str">
        <f>HYPERLINK("https://pantagraph.com/sports/professional/hockey/minor/article_7d30e326-260b-44b1-be35-f07ceb15625d.html")</f>
        <v>https://pantagraph.com/sports/professional/hockey/minor/article_7d30e326-260b-44b1-be35-f07ceb15625d.html</v>
      </c>
      <c r="C56" s="2" t="s">
        <v>72</v>
      </c>
      <c r="D56" s="2" t="s">
        <v>73</v>
      </c>
      <c r="E56" s="4">
        <v>45757.479884259257</v>
      </c>
      <c r="F56" s="2" t="s">
        <v>167</v>
      </c>
      <c r="G56" s="2">
        <f t="shared" si="0"/>
        <v>761.38124999999991</v>
      </c>
      <c r="H56" s="2">
        <v>87015</v>
      </c>
      <c r="I56" s="2">
        <v>0</v>
      </c>
      <c r="J56" s="2">
        <v>0</v>
      </c>
      <c r="K56" s="2">
        <v>20</v>
      </c>
      <c r="L56" s="2" t="s">
        <v>30</v>
      </c>
      <c r="M56" s="2"/>
      <c r="N56" t="s">
        <v>794</v>
      </c>
    </row>
    <row r="57" spans="1:14" ht="92.4" x14ac:dyDescent="0.3">
      <c r="A57" s="2" t="s">
        <v>162</v>
      </c>
      <c r="B57" s="2" t="str">
        <f>HYPERLINK("https://herald-review.com/sports/professional/hockey/minor/article_6f45a6b7-b291-5a0e-bd4f-d713cc2b7409.html")</f>
        <v>https://herald-review.com/sports/professional/hockey/minor/article_6f45a6b7-b291-5a0e-bd4f-d713cc2b7409.html</v>
      </c>
      <c r="C57" s="2" t="s">
        <v>72</v>
      </c>
      <c r="D57" s="2" t="s">
        <v>152</v>
      </c>
      <c r="E57" s="4">
        <v>45757.417326388888</v>
      </c>
      <c r="F57" s="2" t="s">
        <v>167</v>
      </c>
      <c r="G57" s="2">
        <f t="shared" si="0"/>
        <v>308.32375000000002</v>
      </c>
      <c r="H57" s="2">
        <v>35237</v>
      </c>
      <c r="I57" s="2">
        <v>0</v>
      </c>
      <c r="J57" s="2">
        <v>0</v>
      </c>
      <c r="K57" s="2">
        <v>0</v>
      </c>
      <c r="L57" s="2" t="s">
        <v>30</v>
      </c>
      <c r="M57" s="2"/>
      <c r="N57" t="s">
        <v>341</v>
      </c>
    </row>
    <row r="58" spans="1:14" ht="92.4" x14ac:dyDescent="0.3">
      <c r="A58" s="2" t="s">
        <v>162</v>
      </c>
      <c r="B58" s="2" t="str">
        <f>HYPERLINK("https://jg-tc.com/sports/professional/hockey/minor/article_6d168cde-5b49-5032-859a-9b0400cddc9d.html")</f>
        <v>https://jg-tc.com/sports/professional/hockey/minor/article_6d168cde-5b49-5032-859a-9b0400cddc9d.html</v>
      </c>
      <c r="C58" s="2" t="s">
        <v>72</v>
      </c>
      <c r="D58" s="2" t="s">
        <v>139</v>
      </c>
      <c r="E58" s="4">
        <v>45757.412905092591</v>
      </c>
      <c r="F58" s="2" t="s">
        <v>167</v>
      </c>
      <c r="G58" s="2">
        <f t="shared" si="0"/>
        <v>238.14000000000001</v>
      </c>
      <c r="H58" s="2">
        <v>27216</v>
      </c>
      <c r="I58" s="2">
        <v>0</v>
      </c>
      <c r="J58" s="2">
        <v>0</v>
      </c>
      <c r="K58" s="2">
        <v>0</v>
      </c>
      <c r="L58" s="2" t="s">
        <v>30</v>
      </c>
      <c r="M58" s="2"/>
      <c r="N58" t="s">
        <v>794</v>
      </c>
    </row>
    <row r="59" spans="1:14" ht="118.8" x14ac:dyDescent="0.3">
      <c r="A59" s="2" t="s">
        <v>168</v>
      </c>
      <c r="B59" s="2" t="str">
        <f>HYPERLINK("https://wishtv.com/news/indianapolis-events-weekend-4-9-25/")</f>
        <v>https://wishtv.com/news/indianapolis-events-weekend-4-9-25/</v>
      </c>
      <c r="C59" s="2" t="s">
        <v>169</v>
      </c>
      <c r="D59" s="2" t="s">
        <v>87</v>
      </c>
      <c r="E59" s="4">
        <v>45756.227500000001</v>
      </c>
      <c r="F59" s="2" t="s">
        <v>170</v>
      </c>
      <c r="G59" s="2">
        <f t="shared" si="0"/>
        <v>4971.0150000000003</v>
      </c>
      <c r="H59" s="2">
        <v>568116</v>
      </c>
      <c r="I59" s="2">
        <v>0</v>
      </c>
      <c r="J59" s="2">
        <v>0</v>
      </c>
      <c r="K59" s="2">
        <v>17</v>
      </c>
      <c r="L59" s="2" t="s">
        <v>30</v>
      </c>
      <c r="M59" s="2"/>
      <c r="N59" t="s">
        <v>794</v>
      </c>
    </row>
    <row r="60" spans="1:14" ht="92.4" x14ac:dyDescent="0.3">
      <c r="A60" s="2" t="s">
        <v>171</v>
      </c>
      <c r="B60" s="2" t="str">
        <f>HYPERLINK("https://www.flohockey.tv/events/13912271-2025-bloomington-vs-indy-fuel")</f>
        <v>https://www.flohockey.tv/events/13912271-2025-bloomington-vs-indy-fuel</v>
      </c>
      <c r="C60" s="2"/>
      <c r="D60" s="2" t="s">
        <v>24</v>
      </c>
      <c r="E60" s="4">
        <v>45756</v>
      </c>
      <c r="F60" s="2" t="s">
        <v>172</v>
      </c>
      <c r="G60" s="2">
        <f t="shared" si="0"/>
        <v>2807.7787499999999</v>
      </c>
      <c r="H60" s="2">
        <v>320889</v>
      </c>
      <c r="I60" s="2">
        <v>0</v>
      </c>
      <c r="J60" s="2">
        <v>0</v>
      </c>
      <c r="K60" s="2">
        <v>0</v>
      </c>
      <c r="L60" s="2" t="s">
        <v>38</v>
      </c>
      <c r="M60" s="2"/>
      <c r="N60" t="s">
        <v>341</v>
      </c>
    </row>
    <row r="61" spans="1:14" ht="66" x14ac:dyDescent="0.3">
      <c r="A61" s="2" t="s">
        <v>173</v>
      </c>
      <c r="B61" s="2" t="str">
        <f>HYPERLINK("https://www.therinklive.com/sports/pro/indy-fuel-win-against-fort-wayne-komets-in-overtime-20250406024741")</f>
        <v>https://www.therinklive.com/sports/pro/indy-fuel-win-against-fort-wayne-komets-in-overtime-20250406024741</v>
      </c>
      <c r="C61" s="2"/>
      <c r="D61" s="2" t="s">
        <v>131</v>
      </c>
      <c r="E61" s="4">
        <v>45753.301759259259</v>
      </c>
      <c r="F61" s="2" t="s">
        <v>174</v>
      </c>
      <c r="G61" s="2">
        <f t="shared" si="0"/>
        <v>146.47499999999999</v>
      </c>
      <c r="H61" s="2">
        <v>16740</v>
      </c>
      <c r="I61" s="2">
        <v>0</v>
      </c>
      <c r="J61" s="2">
        <v>0</v>
      </c>
      <c r="K61" s="2">
        <v>0</v>
      </c>
      <c r="L61" s="2" t="s">
        <v>30</v>
      </c>
      <c r="M61" s="2"/>
      <c r="N61" t="s">
        <v>341</v>
      </c>
    </row>
    <row r="62" spans="1:14" ht="79.2" x14ac:dyDescent="0.3">
      <c r="A62" s="2" t="s">
        <v>175</v>
      </c>
      <c r="B62" s="2" t="str">
        <f>HYPERLINK("https://www.keepingupincarmel.com/post/the-in-list-2024-4-7-4-13")</f>
        <v>https://www.keepingupincarmel.com/post/the-in-list-2024-4-7-4-13</v>
      </c>
      <c r="C62" s="2" t="s">
        <v>33</v>
      </c>
      <c r="D62" s="2" t="s">
        <v>34</v>
      </c>
      <c r="E62" s="4">
        <v>45753.166851851849</v>
      </c>
      <c r="F62" s="2" t="s">
        <v>176</v>
      </c>
      <c r="G62" s="2">
        <f t="shared" si="0"/>
        <v>6.0025000000000004</v>
      </c>
      <c r="H62" s="2">
        <v>686</v>
      </c>
      <c r="I62" s="2">
        <v>0</v>
      </c>
      <c r="J62" s="2">
        <v>0</v>
      </c>
      <c r="K62" s="2">
        <v>0</v>
      </c>
      <c r="L62" s="2" t="s">
        <v>22</v>
      </c>
      <c r="M62" s="2"/>
      <c r="N62" t="s">
        <v>794</v>
      </c>
    </row>
    <row r="63" spans="1:14" ht="39.6" x14ac:dyDescent="0.3">
      <c r="A63" s="2" t="s">
        <v>177</v>
      </c>
      <c r="B63" s="2" t="str">
        <f>HYPERLINK("https://www.journalgazette.net/komets-at-indy-fuel/image_2306eb0e-6b19-4f43-94c6-d327f221ac19.html")</f>
        <v>https://www.journalgazette.net/komets-at-indy-fuel/image_2306eb0e-6b19-4f43-94c6-d327f221ac19.html</v>
      </c>
      <c r="C63" s="2" t="s">
        <v>178</v>
      </c>
      <c r="D63" s="2" t="s">
        <v>40</v>
      </c>
      <c r="E63" s="4">
        <v>45753</v>
      </c>
      <c r="F63" s="2" t="s">
        <v>179</v>
      </c>
      <c r="G63" s="2">
        <f t="shared" si="0"/>
        <v>426.58</v>
      </c>
      <c r="H63" s="2">
        <v>48752</v>
      </c>
      <c r="I63" s="2">
        <v>0</v>
      </c>
      <c r="J63" s="2">
        <v>0</v>
      </c>
      <c r="K63" s="2">
        <v>0</v>
      </c>
      <c r="L63" s="2" t="s">
        <v>30</v>
      </c>
      <c r="M63" s="2"/>
      <c r="N63" t="s">
        <v>794</v>
      </c>
    </row>
    <row r="64" spans="1:14" ht="66" x14ac:dyDescent="0.3">
      <c r="A64" s="2" t="s">
        <v>180</v>
      </c>
      <c r="B64" s="2" t="str">
        <f>HYPERLINK("https://www.journalgazette.net/sports/professional/komets/komets-let-lead-slip-away-in-overtime-loss-at-indy/article_a86c155b-7210-41ae-bcf7-4b84370535ae.html")</f>
        <v>https://www.journalgazette.net/sports/professional/komets/komets-let-lead-slip-away-in-overtime-loss-at-indy/article_a86c155b-7210-41ae-bcf7-4b84370535ae.html</v>
      </c>
      <c r="C64" s="2" t="s">
        <v>39</v>
      </c>
      <c r="D64" s="2" t="s">
        <v>40</v>
      </c>
      <c r="E64" s="4">
        <v>45752.964479166672</v>
      </c>
      <c r="F64" s="2" t="s">
        <v>181</v>
      </c>
      <c r="G64" s="2">
        <f t="shared" si="0"/>
        <v>426.58</v>
      </c>
      <c r="H64" s="2">
        <v>48752</v>
      </c>
      <c r="I64" s="2">
        <v>0</v>
      </c>
      <c r="J64" s="2">
        <v>0</v>
      </c>
      <c r="K64" s="2">
        <v>0</v>
      </c>
      <c r="L64" s="2" t="s">
        <v>38</v>
      </c>
      <c r="M64" s="2"/>
      <c r="N64" t="s">
        <v>794</v>
      </c>
    </row>
    <row r="65" spans="1:14" ht="52.8" x14ac:dyDescent="0.3">
      <c r="A65" s="2" t="s">
        <v>182</v>
      </c>
      <c r="B65" s="2" t="str">
        <f>HYPERLINK("https://www.larryinfishers.com/2025/04/05/fuel-rally-to-top-komets-4-3-in-overtime-thriller/")</f>
        <v>https://www.larryinfishers.com/2025/04/05/fuel-rally-to-top-komets-4-3-in-overtime-thriller/</v>
      </c>
      <c r="C65" s="2"/>
      <c r="D65" s="2" t="s">
        <v>66</v>
      </c>
      <c r="E65" s="4">
        <v>45752.945752314823</v>
      </c>
      <c r="F65" s="2" t="s">
        <v>183</v>
      </c>
      <c r="G65" s="2">
        <f t="shared" si="0"/>
        <v>30.703749999999999</v>
      </c>
      <c r="H65" s="2">
        <v>3509</v>
      </c>
      <c r="I65" s="2">
        <v>0</v>
      </c>
      <c r="J65" s="2">
        <v>0</v>
      </c>
      <c r="K65" s="2">
        <v>1</v>
      </c>
      <c r="L65" s="2" t="s">
        <v>30</v>
      </c>
      <c r="M65" s="2"/>
      <c r="N65" t="s">
        <v>794</v>
      </c>
    </row>
    <row r="66" spans="1:14" ht="79.2" x14ac:dyDescent="0.3">
      <c r="A66" s="2" t="s">
        <v>184</v>
      </c>
      <c r="B66" s="2" t="str">
        <f>HYPERLINK("https://www.oursportscentral.com/services/releases/fuel-win-big-in-overtime-in-front-of-sellout-crowd/n-6209648")</f>
        <v>https://www.oursportscentral.com/services/releases/fuel-win-big-in-overtime-in-front-of-sellout-crowd/n-6209648</v>
      </c>
      <c r="C66" s="2"/>
      <c r="D66" s="2" t="s">
        <v>31</v>
      </c>
      <c r="E66" s="4">
        <v>45752.817361111112</v>
      </c>
      <c r="F66" s="2" t="s">
        <v>185</v>
      </c>
      <c r="G66" s="2">
        <f t="shared" si="0"/>
        <v>353.51749999999998</v>
      </c>
      <c r="H66" s="2">
        <v>40402</v>
      </c>
      <c r="I66" s="2">
        <v>0</v>
      </c>
      <c r="J66" s="2">
        <v>0</v>
      </c>
      <c r="K66" s="2">
        <v>0</v>
      </c>
      <c r="L66" s="2" t="s">
        <v>30</v>
      </c>
      <c r="M66" s="2"/>
      <c r="N66" t="s">
        <v>341</v>
      </c>
    </row>
    <row r="67" spans="1:14" ht="79.2" x14ac:dyDescent="0.3">
      <c r="A67" s="2" t="s">
        <v>186</v>
      </c>
      <c r="B67" s="2" t="str">
        <f>HYPERLINK("https://www.therinklive.com/sports/pro/penalty-shootout-decides-the-outcome-as-the-indy-fuel-beat-toledo-walleye-20250405180442")</f>
        <v>https://www.therinklive.com/sports/pro/penalty-shootout-decides-the-outcome-as-the-indy-fuel-beat-toledo-walleye-20250405180442</v>
      </c>
      <c r="C67" s="2"/>
      <c r="D67" s="2" t="s">
        <v>131</v>
      </c>
      <c r="E67" s="4">
        <v>45752.772905092592</v>
      </c>
      <c r="F67" s="2" t="s">
        <v>187</v>
      </c>
      <c r="G67" s="2">
        <f t="shared" ref="G67:G85" si="1">H67*0.025*0.35</f>
        <v>146.47499999999999</v>
      </c>
      <c r="H67" s="2">
        <v>16740</v>
      </c>
      <c r="I67" s="2">
        <v>0</v>
      </c>
      <c r="J67" s="2">
        <v>0</v>
      </c>
      <c r="K67" s="2">
        <v>0</v>
      </c>
      <c r="L67" s="2" t="s">
        <v>38</v>
      </c>
      <c r="M67" s="2"/>
      <c r="N67" t="s">
        <v>341</v>
      </c>
    </row>
    <row r="68" spans="1:14" ht="39.6" x14ac:dyDescent="0.3">
      <c r="A68" s="2" t="s">
        <v>188</v>
      </c>
      <c r="B68" s="2" t="str">
        <f>HYPERLINK("https://www.larryinfishers.com/2025/04/05/fuels-special-teams-shine-in-4-2-win-over-komets/")</f>
        <v>https://www.larryinfishers.com/2025/04/05/fuels-special-teams-shine-in-4-2-win-over-komets/</v>
      </c>
      <c r="C68" s="2"/>
      <c r="D68" s="2" t="s">
        <v>66</v>
      </c>
      <c r="E68" s="4">
        <v>45752.374456018522</v>
      </c>
      <c r="F68" s="2" t="s">
        <v>189</v>
      </c>
      <c r="G68" s="2">
        <f t="shared" si="1"/>
        <v>30.703749999999999</v>
      </c>
      <c r="H68" s="2">
        <v>3509</v>
      </c>
      <c r="I68" s="2">
        <v>0</v>
      </c>
      <c r="J68" s="2">
        <v>0</v>
      </c>
      <c r="K68" s="2">
        <v>12</v>
      </c>
      <c r="L68" s="2" t="s">
        <v>30</v>
      </c>
      <c r="M68" s="2"/>
      <c r="N68" t="s">
        <v>794</v>
      </c>
    </row>
    <row r="69" spans="1:14" ht="409.6" x14ac:dyDescent="0.3">
      <c r="A69" s="2" t="s">
        <v>190</v>
      </c>
      <c r="B69" s="2" t="str">
        <f>HYPERLINK("https://www.therinklive.com/sports/pro/indy-fuel-beat-fort-wayne-komets-llewellyn-scores-2-20250405005441")</f>
        <v>https://www.therinklive.com/sports/pro/indy-fuel-beat-fort-wayne-komets-llewellyn-scores-2-20250405005441</v>
      </c>
      <c r="C69" s="2"/>
      <c r="D69" s="2" t="s">
        <v>131</v>
      </c>
      <c r="E69" s="4">
        <v>45752.204652777778</v>
      </c>
      <c r="F69" s="2" t="s">
        <v>191</v>
      </c>
      <c r="G69" s="2">
        <f t="shared" si="1"/>
        <v>146.47499999999999</v>
      </c>
      <c r="H69" s="2">
        <v>16740</v>
      </c>
      <c r="I69" s="2">
        <v>0</v>
      </c>
      <c r="J69" s="2">
        <v>0</v>
      </c>
      <c r="K69" s="2">
        <v>0</v>
      </c>
      <c r="L69" s="2" t="s">
        <v>38</v>
      </c>
      <c r="M69" s="2"/>
      <c r="N69" t="s">
        <v>341</v>
      </c>
    </row>
    <row r="70" spans="1:14" ht="52.8" x14ac:dyDescent="0.3">
      <c r="A70" s="2" t="s">
        <v>193</v>
      </c>
      <c r="B70" s="2" t="str">
        <f>HYPERLINK("https://www.journalgazette.net/sports/professional/komets/indy-fuel-vs-komets/image_614620fa-042c-4e36-9a89-4c78bf6e03ea.html")</f>
        <v>https://www.journalgazette.net/sports/professional/komets/indy-fuel-vs-komets/image_614620fa-042c-4e36-9a89-4c78bf6e03ea.html</v>
      </c>
      <c r="C70" s="2" t="s">
        <v>178</v>
      </c>
      <c r="D70" s="2" t="s">
        <v>40</v>
      </c>
      <c r="E70" s="4">
        <v>45752</v>
      </c>
      <c r="F70" s="2" t="s">
        <v>194</v>
      </c>
      <c r="G70" s="2">
        <f t="shared" si="1"/>
        <v>426.58</v>
      </c>
      <c r="H70" s="2">
        <v>48752</v>
      </c>
      <c r="I70" s="2">
        <v>0</v>
      </c>
      <c r="J70" s="2">
        <v>0</v>
      </c>
      <c r="K70" s="2">
        <v>0</v>
      </c>
      <c r="L70" s="2" t="s">
        <v>22</v>
      </c>
      <c r="M70" s="2"/>
      <c r="N70" t="s">
        <v>794</v>
      </c>
    </row>
    <row r="71" spans="1:14" ht="79.2" x14ac:dyDescent="0.3">
      <c r="A71" s="2" t="s">
        <v>195</v>
      </c>
      <c r="B71" s="2" t="str">
        <f>HYPERLINK("https://www.wane.com/sports/komets/komets-struggles-continue-in-4-2-loss-to-fuel/")</f>
        <v>https://www.wane.com/sports/komets/komets-struggles-continue-in-4-2-loss-to-fuel/</v>
      </c>
      <c r="C71" s="2" t="s">
        <v>196</v>
      </c>
      <c r="D71" s="2" t="s">
        <v>44</v>
      </c>
      <c r="E71" s="4">
        <v>45751.967314814807</v>
      </c>
      <c r="F71" s="2" t="s">
        <v>197</v>
      </c>
      <c r="G71" s="2">
        <f t="shared" si="1"/>
        <v>4658.1062499999998</v>
      </c>
      <c r="H71" s="2">
        <v>532355</v>
      </c>
      <c r="I71" s="2">
        <v>0</v>
      </c>
      <c r="J71" s="2">
        <v>0</v>
      </c>
      <c r="K71" s="2">
        <v>0</v>
      </c>
      <c r="L71" s="2" t="s">
        <v>38</v>
      </c>
      <c r="M71" s="2"/>
      <c r="N71" t="s">
        <v>794</v>
      </c>
    </row>
    <row r="72" spans="1:14" ht="66" x14ac:dyDescent="0.3">
      <c r="A72" s="2" t="s">
        <v>192</v>
      </c>
      <c r="B72" s="2" t="str">
        <f>HYPERLINK("https://www.journalgazette.net/sports/professional/short-handed-goal-gives-indy-a-win-over-struggling-komets/article_88470f28-786c-4b38-ac02-b1f0af8ba384.html")</f>
        <v>https://www.journalgazette.net/sports/professional/short-handed-goal-gives-indy-a-win-over-struggling-komets/article_88470f28-786c-4b38-ac02-b1f0af8ba384.html</v>
      </c>
      <c r="C72" s="2" t="s">
        <v>39</v>
      </c>
      <c r="D72" s="2" t="s">
        <v>40</v>
      </c>
      <c r="E72" s="4">
        <v>45751.961921296293</v>
      </c>
      <c r="F72" s="2" t="s">
        <v>198</v>
      </c>
      <c r="G72" s="2">
        <f t="shared" si="1"/>
        <v>426.58</v>
      </c>
      <c r="H72" s="2">
        <v>48752</v>
      </c>
      <c r="I72" s="2">
        <v>0</v>
      </c>
      <c r="J72" s="2">
        <v>0</v>
      </c>
      <c r="K72" s="2">
        <v>0</v>
      </c>
      <c r="L72" s="2" t="s">
        <v>30</v>
      </c>
      <c r="M72" s="2"/>
      <c r="N72" t="s">
        <v>794</v>
      </c>
    </row>
    <row r="73" spans="1:14" ht="105.6" x14ac:dyDescent="0.3">
      <c r="A73" s="2" t="s">
        <v>199</v>
      </c>
      <c r="B73" s="2" t="str">
        <f>HYPERLINK("https://www.oursportscentral.com/services/releases/fuel-defeat-komets-4-2-on-friday-night/n-6209278")</f>
        <v>https://www.oursportscentral.com/services/releases/fuel-defeat-komets-4-2-on-friday-night/n-6209278</v>
      </c>
      <c r="C73" s="2"/>
      <c r="D73" s="2" t="s">
        <v>31</v>
      </c>
      <c r="E73" s="4">
        <v>45751.95</v>
      </c>
      <c r="F73" s="2" t="s">
        <v>200</v>
      </c>
      <c r="G73" s="2">
        <f t="shared" si="1"/>
        <v>353.51749999999998</v>
      </c>
      <c r="H73" s="2">
        <v>40402</v>
      </c>
      <c r="I73" s="2">
        <v>0</v>
      </c>
      <c r="J73" s="2">
        <v>0</v>
      </c>
      <c r="K73" s="2">
        <v>0</v>
      </c>
      <c r="L73" s="2" t="s">
        <v>38</v>
      </c>
      <c r="M73" s="2"/>
      <c r="N73" t="s">
        <v>341</v>
      </c>
    </row>
    <row r="74" spans="1:14" ht="79.2" x14ac:dyDescent="0.3">
      <c r="A74" s="2" t="s">
        <v>201</v>
      </c>
      <c r="B74" s="2" t="str">
        <f>HYPERLINK("https://www.journalgazette.net/sports/professional/komets/postgame-blog-komets-fall-to-indy-despite-two-goals-by-jordan/article_d35a6082-cf00-4e07-83ed-e4506ddb4ec5.html")</f>
        <v>https://www.journalgazette.net/sports/professional/komets/postgame-blog-komets-fall-to-indy-despite-two-goals-by-jordan/article_d35a6082-cf00-4e07-83ed-e4506ddb4ec5.html</v>
      </c>
      <c r="C74" s="2" t="s">
        <v>39</v>
      </c>
      <c r="D74" s="2" t="s">
        <v>40</v>
      </c>
      <c r="E74" s="4">
        <v>45751.940324074072</v>
      </c>
      <c r="F74" s="2" t="s">
        <v>202</v>
      </c>
      <c r="G74" s="2">
        <f t="shared" si="1"/>
        <v>426.58</v>
      </c>
      <c r="H74" s="2">
        <v>48752</v>
      </c>
      <c r="I74" s="2">
        <v>0</v>
      </c>
      <c r="J74" s="2">
        <v>0</v>
      </c>
      <c r="K74" s="2">
        <v>0</v>
      </c>
      <c r="L74" s="2" t="s">
        <v>38</v>
      </c>
      <c r="M74" s="2"/>
      <c r="N74" t="s">
        <v>794</v>
      </c>
    </row>
    <row r="75" spans="1:14" ht="105.6" x14ac:dyDescent="0.3">
      <c r="A75" s="2" t="s">
        <v>203</v>
      </c>
      <c r="B75" s="2" t="str">
        <f>HYPERLINK("https://komets.com/news/2025/04/komets-dropped-by-indy-4-2")</f>
        <v>https://komets.com/news/2025/04/komets-dropped-by-indy-4-2</v>
      </c>
      <c r="C75" s="2"/>
      <c r="D75" s="2" t="s">
        <v>48</v>
      </c>
      <c r="E75" s="4">
        <v>45751.93472222222</v>
      </c>
      <c r="F75" s="2" t="s">
        <v>204</v>
      </c>
      <c r="G75" s="2">
        <f t="shared" si="1"/>
        <v>0</v>
      </c>
      <c r="H75" s="2"/>
      <c r="I75" s="2">
        <v>0</v>
      </c>
      <c r="J75" s="2">
        <v>0</v>
      </c>
      <c r="K75" s="2">
        <v>0</v>
      </c>
      <c r="L75" s="2" t="s">
        <v>38</v>
      </c>
      <c r="M75" s="2"/>
      <c r="N75" t="s">
        <v>795</v>
      </c>
    </row>
    <row r="76" spans="1:14" ht="158.4" x14ac:dyDescent="0.3">
      <c r="A76" s="2" t="s">
        <v>205</v>
      </c>
      <c r="B76" s="2" t="str">
        <f>HYPERLINK("https://www.oursportscentral.com/services/releases/komets-dropped-by-indy-4-2/n-6209107")</f>
        <v>https://www.oursportscentral.com/services/releases/komets-dropped-by-indy-4-2/n-6209107</v>
      </c>
      <c r="C76" s="2"/>
      <c r="D76" s="2" t="s">
        <v>31</v>
      </c>
      <c r="E76" s="4">
        <v>45751.813194444447</v>
      </c>
      <c r="F76" s="2" t="s">
        <v>206</v>
      </c>
      <c r="G76" s="2">
        <f t="shared" si="1"/>
        <v>353.51749999999998</v>
      </c>
      <c r="H76" s="2">
        <v>40402</v>
      </c>
      <c r="I76" s="2">
        <v>0</v>
      </c>
      <c r="J76" s="2">
        <v>0</v>
      </c>
      <c r="K76" s="2">
        <v>0</v>
      </c>
      <c r="L76" s="2" t="s">
        <v>38</v>
      </c>
      <c r="M76" s="2"/>
      <c r="N76" t="s">
        <v>341</v>
      </c>
    </row>
    <row r="77" spans="1:14" ht="79.2" x14ac:dyDescent="0.3">
      <c r="A77" s="2" t="s">
        <v>207</v>
      </c>
      <c r="B77" s="2" t="str">
        <f>HYPERLINK("https://www.journalgazette.net/sports/professional/komets/ice-chips/pregame-blog-indy-fuel-29-29-8-vs-komets-38-21-7/article_a15fb1e8-2dad-487e-b010-bb617d99f2dd.html")</f>
        <v>https://www.journalgazette.net/sports/professional/komets/ice-chips/pregame-blog-indy-fuel-29-29-8-vs-komets-38-21-7/article_a15fb1e8-2dad-487e-b010-bb617d99f2dd.html</v>
      </c>
      <c r="C77" s="2" t="s">
        <v>39</v>
      </c>
      <c r="D77" s="2" t="s">
        <v>40</v>
      </c>
      <c r="E77" s="4">
        <v>45751.732835648138</v>
      </c>
      <c r="F77" s="2" t="s">
        <v>208</v>
      </c>
      <c r="G77" s="2">
        <f t="shared" si="1"/>
        <v>426.58</v>
      </c>
      <c r="H77" s="2">
        <v>48752</v>
      </c>
      <c r="I77" s="2">
        <v>2</v>
      </c>
      <c r="J77" s="2">
        <v>1471</v>
      </c>
      <c r="K77" s="2">
        <v>2</v>
      </c>
      <c r="L77" s="2" t="s">
        <v>22</v>
      </c>
      <c r="M77" s="2"/>
      <c r="N77" t="s">
        <v>794</v>
      </c>
    </row>
    <row r="78" spans="1:14" ht="92.4" x14ac:dyDescent="0.3">
      <c r="A78" s="2" t="s">
        <v>209</v>
      </c>
      <c r="B78" s="2" t="str">
        <f>HYPERLINK("https://www.axios.com/local/indianapolis/2025/04/04/indianapolis-weekend-events-furniture-sale-mutt-strut-mc-lyte")</f>
        <v>https://www.axios.com/local/indianapolis/2025/04/04/indianapolis-weekend-events-furniture-sale-mutt-strut-mc-lyte</v>
      </c>
      <c r="C78" s="2" t="s">
        <v>210</v>
      </c>
      <c r="D78" s="2" t="s">
        <v>155</v>
      </c>
      <c r="E78" s="4">
        <v>45751.27484953704</v>
      </c>
      <c r="F78" s="2" t="s">
        <v>211</v>
      </c>
      <c r="G78" s="2">
        <f t="shared" si="1"/>
        <v>126441.72624999999</v>
      </c>
      <c r="H78" s="2">
        <v>14450483</v>
      </c>
      <c r="I78" s="2">
        <v>0</v>
      </c>
      <c r="J78" s="2">
        <v>0</v>
      </c>
      <c r="K78" s="2">
        <v>0</v>
      </c>
      <c r="L78" s="2" t="s">
        <v>30</v>
      </c>
      <c r="M78" s="2"/>
      <c r="N78" t="s">
        <v>794</v>
      </c>
    </row>
    <row r="79" spans="1:14" ht="92.4" x14ac:dyDescent="0.3">
      <c r="A79" s="2" t="s">
        <v>212</v>
      </c>
      <c r="B79" s="2" t="str">
        <f>HYPERLINK("https://www.journalgazette.net/sports/professional/komets/komets-look-for-return-to-form-against-hungry-indy-cincinnati-teams/article_fd42206d-8d87-438d-8a1b-17f47ca7f494.html")</f>
        <v>https://www.journalgazette.net/sports/professional/komets/komets-look-for-return-to-form-against-hungry-indy-cincinnati-teams/article_fd42206d-8d87-438d-8a1b-17f47ca7f494.html</v>
      </c>
      <c r="C79" s="2" t="s">
        <v>39</v>
      </c>
      <c r="D79" s="2" t="s">
        <v>40</v>
      </c>
      <c r="E79" s="4">
        <v>45750.791412037041</v>
      </c>
      <c r="F79" s="2" t="s">
        <v>213</v>
      </c>
      <c r="G79" s="2">
        <f t="shared" si="1"/>
        <v>426.58</v>
      </c>
      <c r="H79" s="2">
        <v>48752</v>
      </c>
      <c r="I79" s="2">
        <v>2</v>
      </c>
      <c r="J79" s="2">
        <v>1471</v>
      </c>
      <c r="K79" s="2">
        <v>7</v>
      </c>
      <c r="L79" s="2" t="s">
        <v>22</v>
      </c>
      <c r="M79" s="2"/>
      <c r="N79" t="s">
        <v>794</v>
      </c>
    </row>
    <row r="80" spans="1:14" ht="105.6" x14ac:dyDescent="0.3">
      <c r="A80" s="2" t="s">
        <v>214</v>
      </c>
      <c r="B80" s="2" t="str">
        <f>HYPERLINK("https://www.journalgazette.net/sports/professional/komets/ice-chips/ice-chips-indys-maksimovich-recalled-by-rockford/article_3083713b-0991-4e59-8b52-bdb732482ca8.html")</f>
        <v>https://www.journalgazette.net/sports/professional/komets/ice-chips/ice-chips-indys-maksimovich-recalled-by-rockford/article_3083713b-0991-4e59-8b52-bdb732482ca8.html</v>
      </c>
      <c r="C80" s="2" t="s">
        <v>39</v>
      </c>
      <c r="D80" s="2" t="s">
        <v>40</v>
      </c>
      <c r="E80" s="4">
        <v>45749.920324074083</v>
      </c>
      <c r="F80" s="2" t="s">
        <v>215</v>
      </c>
      <c r="G80" s="2">
        <f t="shared" si="1"/>
        <v>426.58</v>
      </c>
      <c r="H80" s="2">
        <v>48752</v>
      </c>
      <c r="I80" s="2">
        <v>0</v>
      </c>
      <c r="J80" s="2">
        <v>0</v>
      </c>
      <c r="K80" s="2">
        <v>0</v>
      </c>
      <c r="L80" s="2" t="s">
        <v>38</v>
      </c>
      <c r="M80" s="2"/>
      <c r="N80" t="s">
        <v>794</v>
      </c>
    </row>
    <row r="81" spans="1:14" ht="92.4" x14ac:dyDescent="0.3">
      <c r="A81" s="2" t="s">
        <v>216</v>
      </c>
      <c r="B81" s="2" t="str">
        <f>HYPERLINK("https://ca.sports.yahoo.com/news/special-teams-fuel-indy-shootout-144350231.html")</f>
        <v>https://ca.sports.yahoo.com/news/special-teams-fuel-indy-shootout-144350231.html</v>
      </c>
      <c r="C81" s="2" t="s">
        <v>25</v>
      </c>
      <c r="D81" s="2" t="s">
        <v>26</v>
      </c>
      <c r="E81" s="4">
        <v>45749.447106481479</v>
      </c>
      <c r="F81" s="2" t="s">
        <v>217</v>
      </c>
      <c r="G81" s="2">
        <f t="shared" si="1"/>
        <v>5428.6137499999995</v>
      </c>
      <c r="H81" s="2">
        <v>620413</v>
      </c>
      <c r="I81" s="2">
        <v>0</v>
      </c>
      <c r="J81" s="2">
        <v>0</v>
      </c>
      <c r="K81" s="2">
        <v>0</v>
      </c>
      <c r="L81" s="2" t="s">
        <v>30</v>
      </c>
      <c r="M81" s="2"/>
      <c r="N81" t="s">
        <v>795</v>
      </c>
    </row>
    <row r="82" spans="1:14" ht="92.4" x14ac:dyDescent="0.3">
      <c r="A82" s="2" t="s">
        <v>216</v>
      </c>
      <c r="B82" s="2" t="str">
        <f>HYPERLINK("https://sports.yahoo.com/article/special-teams-fuel-indy-shootout-144350231.html")</f>
        <v>https://sports.yahoo.com/article/special-teams-fuel-indy-shootout-144350231.html</v>
      </c>
      <c r="C82" s="2" t="s">
        <v>25</v>
      </c>
      <c r="D82" s="2" t="s">
        <v>27</v>
      </c>
      <c r="E82" s="4">
        <v>45749.447106481479</v>
      </c>
      <c r="F82" s="2" t="s">
        <v>217</v>
      </c>
      <c r="G82" s="2">
        <f t="shared" si="1"/>
        <v>202758.57874999999</v>
      </c>
      <c r="H82" s="2">
        <v>23172409</v>
      </c>
      <c r="I82" s="2">
        <v>0</v>
      </c>
      <c r="J82" s="2">
        <v>0</v>
      </c>
      <c r="K82" s="2">
        <v>0</v>
      </c>
      <c r="L82" s="2" t="s">
        <v>30</v>
      </c>
      <c r="M82" s="2"/>
      <c r="N82" t="s">
        <v>341</v>
      </c>
    </row>
    <row r="83" spans="1:14" ht="92.4" x14ac:dyDescent="0.3">
      <c r="A83" s="2" t="s">
        <v>218</v>
      </c>
      <c r="B83" s="2" t="str">
        <f>HYPERLINK("https://www.oursportscentral.com/services/releases/fuel-win-shootout-thriller-over-toledo/n-6207683")</f>
        <v>https://www.oursportscentral.com/services/releases/fuel-win-shootout-thriller-over-toledo/n-6207683</v>
      </c>
      <c r="C83" s="2"/>
      <c r="D83" s="2" t="s">
        <v>31</v>
      </c>
      <c r="E83" s="4">
        <v>45749.190972222219</v>
      </c>
      <c r="F83" s="2" t="s">
        <v>219</v>
      </c>
      <c r="G83" s="2">
        <f t="shared" si="1"/>
        <v>353.51749999999998</v>
      </c>
      <c r="H83" s="2">
        <v>40402</v>
      </c>
      <c r="I83" s="2">
        <v>0</v>
      </c>
      <c r="J83" s="2">
        <v>0</v>
      </c>
      <c r="K83" s="2">
        <v>0</v>
      </c>
      <c r="L83" s="2" t="s">
        <v>30</v>
      </c>
      <c r="M83" s="2"/>
      <c r="N83" t="s">
        <v>341</v>
      </c>
    </row>
    <row r="84" spans="1:14" ht="92.4" x14ac:dyDescent="0.3">
      <c r="A84" s="2" t="s">
        <v>220</v>
      </c>
      <c r="B84" s="2" t="str">
        <f>HYPERLINK("https://www.larryinfishers.com/2025/04/01/fuel-edge-walleye-in-shootout-thriller/")</f>
        <v>https://www.larryinfishers.com/2025/04/01/fuel-edge-walleye-in-shootout-thriller/</v>
      </c>
      <c r="C84" s="2"/>
      <c r="D84" s="2" t="s">
        <v>66</v>
      </c>
      <c r="E84" s="4">
        <v>45748.950810185182</v>
      </c>
      <c r="F84" s="2" t="s">
        <v>221</v>
      </c>
      <c r="G84" s="2">
        <f t="shared" si="1"/>
        <v>30.703749999999999</v>
      </c>
      <c r="H84" s="2">
        <v>3509</v>
      </c>
      <c r="I84" s="2">
        <v>0</v>
      </c>
      <c r="J84" s="2">
        <v>0</v>
      </c>
      <c r="K84" s="2">
        <v>1</v>
      </c>
      <c r="L84" s="2" t="s">
        <v>30</v>
      </c>
      <c r="M84" s="2"/>
      <c r="N84" t="s">
        <v>794</v>
      </c>
    </row>
    <row r="85" spans="1:14" ht="158.4" x14ac:dyDescent="0.3">
      <c r="A85" s="2" t="s">
        <v>222</v>
      </c>
      <c r="B85" s="2" t="str">
        <f>HYPERLINK("https://www.oursportscentral.com/services/releases/lewandowski-gallant-score-in-loss-to-indy/n-6207601")</f>
        <v>https://www.oursportscentral.com/services/releases/lewandowski-gallant-score-in-loss-to-indy/n-6207601</v>
      </c>
      <c r="C85" s="2"/>
      <c r="D85" s="2" t="s">
        <v>31</v>
      </c>
      <c r="E85" s="4">
        <v>45748.825694444437</v>
      </c>
      <c r="F85" s="2" t="s">
        <v>223</v>
      </c>
      <c r="G85" s="2">
        <f t="shared" si="1"/>
        <v>353.51749999999998</v>
      </c>
      <c r="H85" s="2">
        <v>40402</v>
      </c>
      <c r="I85" s="2">
        <v>0</v>
      </c>
      <c r="J85" s="2">
        <v>0</v>
      </c>
      <c r="K85" s="2">
        <v>0</v>
      </c>
      <c r="L85" s="2" t="s">
        <v>22</v>
      </c>
      <c r="M85" s="2"/>
      <c r="N85" t="s">
        <v>341</v>
      </c>
    </row>
    <row r="1756" spans="1:13" x14ac:dyDescent="0.3">
      <c r="A1756" s="2"/>
      <c r="B1756" s="2"/>
      <c r="C1756" s="2"/>
      <c r="D1756" s="2"/>
      <c r="E1756" s="4"/>
      <c r="F1756" s="2"/>
      <c r="G1756" s="2"/>
      <c r="H1756" s="2"/>
      <c r="I1756" s="2"/>
      <c r="J1756" s="2"/>
      <c r="K1756" s="2"/>
      <c r="L1756" s="2"/>
      <c r="M1756" s="2"/>
    </row>
    <row r="1757" spans="1:13" x14ac:dyDescent="0.3">
      <c r="A1757" s="2"/>
      <c r="B1757" s="2"/>
      <c r="C1757" s="2"/>
      <c r="D1757" s="2"/>
      <c r="E1757" s="4"/>
      <c r="F1757" s="2"/>
      <c r="G1757" s="2"/>
      <c r="H1757" s="2"/>
      <c r="I1757" s="2"/>
      <c r="J1757" s="2"/>
      <c r="K1757" s="2"/>
      <c r="L1757" s="2"/>
      <c r="M1757" s="2"/>
    </row>
    <row r="1758" spans="1:13" x14ac:dyDescent="0.3">
      <c r="A1758" s="2"/>
      <c r="B1758" s="2"/>
      <c r="C1758" s="2"/>
      <c r="D1758" s="2"/>
      <c r="E1758" s="4"/>
      <c r="F1758" s="2"/>
      <c r="G1758" s="2"/>
      <c r="H1758" s="2"/>
      <c r="I1758" s="2"/>
      <c r="J1758" s="2"/>
      <c r="K1758" s="2"/>
      <c r="L1758" s="2"/>
      <c r="M1758" s="2"/>
    </row>
    <row r="1759" spans="1:13" x14ac:dyDescent="0.3">
      <c r="A1759" s="2"/>
      <c r="B1759" s="2"/>
      <c r="C1759" s="2"/>
      <c r="D1759" s="2"/>
      <c r="E1759" s="4"/>
      <c r="F1759" s="2"/>
      <c r="G1759" s="2"/>
      <c r="H1759" s="2"/>
      <c r="I1759" s="2"/>
      <c r="J1759" s="2"/>
      <c r="K1759" s="2"/>
      <c r="L1759" s="2"/>
      <c r="M1759" s="2"/>
    </row>
    <row r="1760" spans="1:13" x14ac:dyDescent="0.3">
      <c r="A1760" s="2"/>
      <c r="B1760" s="2"/>
      <c r="C1760" s="2"/>
      <c r="D1760" s="2"/>
      <c r="E1760" s="4"/>
      <c r="F1760" s="2"/>
      <c r="G1760" s="2"/>
      <c r="H1760" s="2"/>
      <c r="I1760" s="2"/>
      <c r="J1760" s="2"/>
      <c r="K1760" s="2"/>
      <c r="L1760" s="2"/>
      <c r="M1760" s="2"/>
    </row>
    <row r="1761" spans="1:13" x14ac:dyDescent="0.3">
      <c r="A1761" s="2"/>
      <c r="B1761" s="2"/>
      <c r="C1761" s="2"/>
      <c r="D1761" s="2"/>
      <c r="E1761" s="4"/>
      <c r="F1761" s="2"/>
      <c r="G1761" s="2"/>
      <c r="H1761" s="2"/>
      <c r="I1761" s="2"/>
      <c r="J1761" s="2"/>
      <c r="K1761" s="2"/>
      <c r="L1761" s="2"/>
      <c r="M1761" s="2"/>
    </row>
    <row r="1762" spans="1:13" x14ac:dyDescent="0.3">
      <c r="A1762" s="2"/>
      <c r="B1762" s="2"/>
      <c r="C1762" s="2"/>
      <c r="D1762" s="2"/>
      <c r="E1762" s="4"/>
      <c r="F1762" s="2"/>
      <c r="G1762" s="2"/>
      <c r="H1762" s="2"/>
      <c r="I1762" s="2"/>
      <c r="J1762" s="2"/>
      <c r="K1762" s="2"/>
      <c r="L1762" s="2"/>
      <c r="M1762" s="2"/>
    </row>
    <row r="1763" spans="1:13" x14ac:dyDescent="0.3">
      <c r="A1763" s="2"/>
      <c r="B1763" s="2"/>
      <c r="C1763" s="2"/>
      <c r="D1763" s="2"/>
      <c r="E1763" s="4"/>
      <c r="F1763" s="2"/>
      <c r="G1763" s="2"/>
      <c r="H1763" s="2"/>
      <c r="I1763" s="2"/>
      <c r="J1763" s="2"/>
      <c r="K1763" s="2"/>
      <c r="L1763" s="2"/>
      <c r="M1763" s="2"/>
    </row>
    <row r="1764" spans="1:13" x14ac:dyDescent="0.3">
      <c r="A1764" s="2"/>
      <c r="B1764" s="2"/>
      <c r="C1764" s="2"/>
      <c r="D1764" s="2"/>
      <c r="E1764" s="4"/>
      <c r="F1764" s="2"/>
      <c r="G1764" s="2"/>
      <c r="H1764" s="2"/>
      <c r="I1764" s="2"/>
      <c r="J1764" s="2"/>
      <c r="K1764" s="2"/>
      <c r="L1764" s="2"/>
      <c r="M1764" s="2"/>
    </row>
    <row r="1765" spans="1:13" x14ac:dyDescent="0.3">
      <c r="A1765" s="2"/>
      <c r="B1765" s="2"/>
      <c r="C1765" s="2"/>
      <c r="D1765" s="2"/>
      <c r="E1765" s="4"/>
      <c r="F1765" s="2"/>
      <c r="G1765" s="2"/>
      <c r="H1765" s="2"/>
      <c r="I1765" s="2"/>
      <c r="J1765" s="2"/>
      <c r="K1765" s="2"/>
      <c r="L1765" s="2"/>
      <c r="M1765" s="2"/>
    </row>
    <row r="1766" spans="1:13" x14ac:dyDescent="0.3">
      <c r="A1766" s="2"/>
      <c r="B1766" s="2"/>
      <c r="C1766" s="2"/>
      <c r="D1766" s="2"/>
      <c r="E1766" s="4"/>
      <c r="F1766" s="2"/>
      <c r="G1766" s="2"/>
      <c r="H1766" s="2"/>
      <c r="I1766" s="2"/>
      <c r="J1766" s="2"/>
      <c r="K1766" s="2"/>
      <c r="L1766" s="2"/>
      <c r="M1766" s="2"/>
    </row>
    <row r="1767" spans="1:13" x14ac:dyDescent="0.3">
      <c r="A1767" s="2"/>
      <c r="B1767" s="2"/>
      <c r="C1767" s="2"/>
      <c r="D1767" s="2"/>
      <c r="E1767" s="4"/>
      <c r="F1767" s="2"/>
      <c r="G1767" s="2"/>
      <c r="H1767" s="2"/>
      <c r="I1767" s="2"/>
      <c r="J1767" s="2"/>
      <c r="K1767" s="2"/>
      <c r="L1767" s="2"/>
      <c r="M1767" s="2"/>
    </row>
    <row r="1768" spans="1:13" x14ac:dyDescent="0.3">
      <c r="A1768" s="2"/>
      <c r="B1768" s="2"/>
      <c r="C1768" s="2"/>
      <c r="D1768" s="2"/>
      <c r="E1768" s="4"/>
      <c r="F1768" s="2"/>
      <c r="G1768" s="2"/>
      <c r="H1768" s="2"/>
      <c r="I1768" s="2"/>
      <c r="J1768" s="2"/>
      <c r="K1768" s="2"/>
      <c r="L1768" s="2"/>
      <c r="M1768" s="2"/>
    </row>
    <row r="1769" spans="1:13" x14ac:dyDescent="0.3">
      <c r="A1769" s="2"/>
      <c r="B1769" s="2"/>
      <c r="C1769" s="2"/>
      <c r="D1769" s="2"/>
      <c r="E1769" s="4"/>
      <c r="F1769" s="2"/>
      <c r="G1769" s="2"/>
      <c r="H1769" s="2"/>
      <c r="I1769" s="2"/>
      <c r="J1769" s="2"/>
      <c r="K1769" s="2"/>
      <c r="L1769" s="2"/>
      <c r="M1769" s="2"/>
    </row>
    <row r="1770" spans="1:13" x14ac:dyDescent="0.3">
      <c r="A1770" s="2"/>
      <c r="B1770" s="2"/>
      <c r="C1770" s="2"/>
      <c r="D1770" s="2"/>
      <c r="E1770" s="4"/>
      <c r="F1770" s="2"/>
      <c r="G1770" s="2"/>
      <c r="H1770" s="2"/>
      <c r="I1770" s="2"/>
      <c r="J1770" s="2"/>
      <c r="K1770" s="2"/>
      <c r="L1770" s="2"/>
      <c r="M1770" s="2"/>
    </row>
    <row r="1771" spans="1:13" x14ac:dyDescent="0.3">
      <c r="A1771" s="2"/>
      <c r="B1771" s="2"/>
      <c r="C1771" s="2"/>
      <c r="D1771" s="2"/>
      <c r="E1771" s="4"/>
      <c r="F1771" s="2"/>
      <c r="G1771" s="2"/>
      <c r="H1771" s="2"/>
      <c r="I1771" s="2"/>
      <c r="J1771" s="2"/>
      <c r="K1771" s="2"/>
      <c r="L1771" s="2"/>
      <c r="M1771" s="2"/>
    </row>
    <row r="1772" spans="1:13" x14ac:dyDescent="0.3">
      <c r="A1772" s="2"/>
      <c r="B1772" s="2"/>
      <c r="C1772" s="2"/>
      <c r="D1772" s="2"/>
      <c r="E1772" s="4"/>
      <c r="F1772" s="2"/>
      <c r="G1772" s="2"/>
      <c r="H1772" s="2"/>
      <c r="I1772" s="2"/>
      <c r="J1772" s="2"/>
      <c r="K1772" s="2"/>
      <c r="L1772" s="2"/>
      <c r="M1772" s="2"/>
    </row>
    <row r="1773" spans="1:13" x14ac:dyDescent="0.3">
      <c r="A1773" s="2"/>
      <c r="B1773" s="2"/>
      <c r="C1773" s="2"/>
      <c r="D1773" s="2"/>
      <c r="E1773" s="4"/>
      <c r="F1773" s="2"/>
      <c r="G1773" s="2"/>
      <c r="H1773" s="2"/>
      <c r="I1773" s="2"/>
      <c r="J1773" s="2"/>
      <c r="K1773" s="2"/>
      <c r="L1773" s="2"/>
      <c r="M1773" s="2"/>
    </row>
    <row r="1774" spans="1:13" x14ac:dyDescent="0.3">
      <c r="A1774" s="2"/>
      <c r="B1774" s="2"/>
      <c r="C1774" s="2"/>
      <c r="D1774" s="2"/>
      <c r="E1774" s="4"/>
      <c r="F1774" s="2"/>
      <c r="G1774" s="2"/>
      <c r="H1774" s="2"/>
      <c r="I1774" s="2"/>
      <c r="J1774" s="2"/>
      <c r="K1774" s="2"/>
      <c r="L1774" s="2"/>
      <c r="M1774" s="2"/>
    </row>
    <row r="1775" spans="1:13" x14ac:dyDescent="0.3">
      <c r="A1775" s="2"/>
      <c r="B1775" s="2"/>
      <c r="C1775" s="2"/>
      <c r="D1775" s="2"/>
      <c r="E1775" s="4"/>
      <c r="F1775" s="2"/>
      <c r="G1775" s="2"/>
      <c r="H1775" s="2"/>
      <c r="I1775" s="2"/>
      <c r="J1775" s="2"/>
      <c r="K1775" s="2"/>
      <c r="L1775" s="2"/>
      <c r="M1775" s="2"/>
    </row>
    <row r="1776" spans="1:13" x14ac:dyDescent="0.3">
      <c r="A1776" s="2"/>
      <c r="B1776" s="2"/>
      <c r="C1776" s="2"/>
      <c r="D1776" s="2"/>
      <c r="E1776" s="4"/>
      <c r="F1776" s="2"/>
      <c r="G1776" s="2"/>
      <c r="H1776" s="2"/>
      <c r="I1776" s="2"/>
      <c r="J1776" s="2"/>
      <c r="K1776" s="2"/>
      <c r="L1776" s="2"/>
      <c r="M1776" s="2"/>
    </row>
    <row r="1777" spans="1:13" x14ac:dyDescent="0.3">
      <c r="A1777" s="2"/>
      <c r="B1777" s="2"/>
      <c r="C1777" s="2"/>
      <c r="D1777" s="2"/>
      <c r="E1777" s="4"/>
      <c r="F1777" s="2"/>
      <c r="G1777" s="2"/>
      <c r="H1777" s="2"/>
      <c r="I1777" s="2"/>
      <c r="J1777" s="2"/>
      <c r="K1777" s="2"/>
      <c r="L1777" s="2"/>
      <c r="M1777" s="2"/>
    </row>
    <row r="1778" spans="1:13" x14ac:dyDescent="0.3">
      <c r="A1778" s="2"/>
      <c r="B1778" s="2"/>
      <c r="C1778" s="2"/>
      <c r="D1778" s="2"/>
      <c r="E1778" s="4"/>
      <c r="F1778" s="2"/>
      <c r="G1778" s="2"/>
      <c r="H1778" s="2"/>
      <c r="I1778" s="2"/>
      <c r="J1778" s="2"/>
      <c r="K1778" s="2"/>
      <c r="L1778" s="2"/>
      <c r="M1778" s="2"/>
    </row>
    <row r="1779" spans="1:13" x14ac:dyDescent="0.3">
      <c r="A1779" s="2"/>
      <c r="B1779" s="2"/>
      <c r="C1779" s="2"/>
      <c r="D1779" s="2"/>
      <c r="E1779" s="4"/>
      <c r="F1779" s="2"/>
      <c r="G1779" s="2"/>
      <c r="H1779" s="2"/>
      <c r="I1779" s="2"/>
      <c r="J1779" s="2"/>
      <c r="K1779" s="2"/>
      <c r="L1779" s="2"/>
      <c r="M1779" s="2"/>
    </row>
    <row r="1780" spans="1:13" x14ac:dyDescent="0.3">
      <c r="A1780" s="2"/>
      <c r="B1780" s="2"/>
      <c r="C1780" s="2"/>
      <c r="D1780" s="2"/>
      <c r="E1780" s="4"/>
      <c r="F1780" s="2"/>
      <c r="G1780" s="2"/>
      <c r="H1780" s="2"/>
      <c r="I1780" s="2"/>
      <c r="J1780" s="2"/>
      <c r="K1780" s="2"/>
      <c r="L1780" s="2"/>
      <c r="M1780" s="2"/>
    </row>
    <row r="1781" spans="1:13" x14ac:dyDescent="0.3">
      <c r="A1781" s="2"/>
      <c r="B1781" s="2"/>
      <c r="C1781" s="2"/>
      <c r="D1781" s="2"/>
      <c r="E1781" s="4"/>
      <c r="F1781" s="2"/>
      <c r="G1781" s="2"/>
      <c r="H1781" s="2"/>
      <c r="I1781" s="2"/>
      <c r="J1781" s="2"/>
      <c r="K1781" s="2"/>
      <c r="L1781" s="2"/>
      <c r="M1781" s="2"/>
    </row>
    <row r="1782" spans="1:13" x14ac:dyDescent="0.3">
      <c r="A1782" s="2"/>
      <c r="B1782" s="2"/>
      <c r="C1782" s="2"/>
      <c r="D1782" s="2"/>
      <c r="E1782" s="4"/>
      <c r="F1782" s="2"/>
      <c r="G1782" s="2"/>
      <c r="H1782" s="2"/>
      <c r="I1782" s="2"/>
      <c r="J1782" s="2"/>
      <c r="K1782" s="2"/>
      <c r="L1782" s="2"/>
      <c r="M1782" s="2"/>
    </row>
    <row r="1783" spans="1:13" x14ac:dyDescent="0.3">
      <c r="A1783" s="2"/>
      <c r="B1783" s="2"/>
      <c r="C1783" s="2"/>
      <c r="D1783" s="2"/>
      <c r="E1783" s="4"/>
      <c r="F1783" s="2"/>
      <c r="G1783" s="2"/>
      <c r="H1783" s="2"/>
      <c r="I1783" s="2"/>
      <c r="J1783" s="2"/>
      <c r="K1783" s="2"/>
      <c r="L1783" s="2"/>
      <c r="M1783" s="2"/>
    </row>
    <row r="1784" spans="1:13" x14ac:dyDescent="0.3">
      <c r="A1784" s="2"/>
      <c r="B1784" s="2"/>
      <c r="C1784" s="2"/>
      <c r="D1784" s="2"/>
      <c r="E1784" s="4"/>
      <c r="F1784" s="2"/>
      <c r="G1784" s="2"/>
      <c r="H1784" s="2"/>
      <c r="I1784" s="2"/>
      <c r="J1784" s="2"/>
      <c r="K1784" s="2"/>
      <c r="L1784" s="2"/>
      <c r="M1784" s="2"/>
    </row>
    <row r="1785" spans="1:13" x14ac:dyDescent="0.3">
      <c r="A1785" s="2"/>
      <c r="B1785" s="2"/>
      <c r="C1785" s="2"/>
      <c r="D1785" s="2"/>
      <c r="E1785" s="4"/>
      <c r="F1785" s="2"/>
      <c r="G1785" s="2"/>
      <c r="H1785" s="2"/>
      <c r="I1785" s="2"/>
      <c r="J1785" s="2"/>
      <c r="K1785" s="2"/>
      <c r="L1785" s="2"/>
      <c r="M1785" s="2"/>
    </row>
    <row r="1786" spans="1:13" x14ac:dyDescent="0.3">
      <c r="A1786" s="2"/>
      <c r="B1786" s="2"/>
      <c r="C1786" s="2"/>
      <c r="D1786" s="2"/>
      <c r="E1786" s="4"/>
      <c r="F1786" s="2"/>
      <c r="G1786" s="2"/>
      <c r="H1786" s="2"/>
      <c r="I1786" s="2"/>
      <c r="J1786" s="2"/>
      <c r="K1786" s="2"/>
      <c r="L1786" s="2"/>
      <c r="M1786" s="2"/>
    </row>
    <row r="1787" spans="1:13" x14ac:dyDescent="0.3">
      <c r="A1787" s="2"/>
      <c r="B1787" s="2"/>
      <c r="C1787" s="2"/>
      <c r="D1787" s="2"/>
      <c r="E1787" s="4"/>
      <c r="F1787" s="2"/>
      <c r="G1787" s="2"/>
      <c r="H1787" s="2"/>
      <c r="I1787" s="2"/>
      <c r="J1787" s="2"/>
      <c r="K1787" s="2"/>
      <c r="L1787" s="2"/>
      <c r="M1787" s="2"/>
    </row>
    <row r="1788" spans="1:13" x14ac:dyDescent="0.3">
      <c r="A1788" s="2"/>
      <c r="B1788" s="2"/>
      <c r="C1788" s="2"/>
      <c r="D1788" s="2"/>
      <c r="E1788" s="4"/>
      <c r="F1788" s="2"/>
      <c r="G1788" s="2"/>
      <c r="H1788" s="2"/>
      <c r="I1788" s="2"/>
      <c r="J1788" s="2"/>
      <c r="K1788" s="2"/>
      <c r="L1788" s="2"/>
      <c r="M1788" s="2"/>
    </row>
    <row r="1789" spans="1:13" x14ac:dyDescent="0.3">
      <c r="A1789" s="2"/>
      <c r="B1789" s="2"/>
      <c r="C1789" s="2"/>
      <c r="D1789" s="2"/>
      <c r="E1789" s="4"/>
      <c r="F1789" s="2"/>
      <c r="G1789" s="2"/>
      <c r="H1789" s="2"/>
      <c r="I1789" s="2"/>
      <c r="J1789" s="2"/>
      <c r="K1789" s="2"/>
      <c r="L1789" s="2"/>
      <c r="M1789" s="2"/>
    </row>
    <row r="1790" spans="1:13" x14ac:dyDescent="0.3">
      <c r="A1790" s="2"/>
      <c r="B1790" s="2"/>
      <c r="C1790" s="2"/>
      <c r="D1790" s="2"/>
      <c r="E1790" s="4"/>
      <c r="F1790" s="2"/>
      <c r="G1790" s="2"/>
      <c r="H1790" s="2"/>
      <c r="I1790" s="2"/>
      <c r="J1790" s="2"/>
      <c r="K1790" s="2"/>
      <c r="L1790" s="2"/>
      <c r="M1790" s="2"/>
    </row>
    <row r="1791" spans="1:13" x14ac:dyDescent="0.3">
      <c r="A1791" s="2"/>
      <c r="B1791" s="2"/>
      <c r="C1791" s="2"/>
      <c r="D1791" s="2"/>
      <c r="E1791" s="4"/>
      <c r="F1791" s="2"/>
      <c r="G1791" s="2"/>
      <c r="H1791" s="2"/>
      <c r="I1791" s="2"/>
      <c r="J1791" s="2"/>
      <c r="K1791" s="2"/>
      <c r="L1791" s="2"/>
      <c r="M1791" s="2"/>
    </row>
    <row r="1792" spans="1:13" x14ac:dyDescent="0.3">
      <c r="A1792" s="2"/>
      <c r="B1792" s="2"/>
      <c r="C1792" s="2"/>
      <c r="D1792" s="2"/>
      <c r="E1792" s="4"/>
      <c r="F1792" s="2"/>
      <c r="G1792" s="2"/>
      <c r="H1792" s="2"/>
      <c r="I1792" s="2"/>
      <c r="J1792" s="2"/>
      <c r="K1792" s="2"/>
      <c r="L1792" s="2"/>
      <c r="M1792" s="2"/>
    </row>
    <row r="1793" spans="1:13" x14ac:dyDescent="0.3">
      <c r="A1793" s="2"/>
      <c r="B1793" s="2"/>
      <c r="C1793" s="2"/>
      <c r="D1793" s="2"/>
      <c r="E1793" s="4"/>
      <c r="F1793" s="2"/>
      <c r="G1793" s="2"/>
      <c r="H1793" s="2"/>
      <c r="I1793" s="2"/>
      <c r="J1793" s="2"/>
      <c r="K1793" s="2"/>
      <c r="L1793" s="2"/>
      <c r="M1793" s="2"/>
    </row>
    <row r="1794" spans="1:13" x14ac:dyDescent="0.3">
      <c r="A1794" s="2"/>
      <c r="B1794" s="2"/>
      <c r="C1794" s="2"/>
      <c r="D1794" s="2"/>
      <c r="E1794" s="4"/>
      <c r="F1794" s="2"/>
      <c r="G1794" s="2"/>
      <c r="H1794" s="2"/>
      <c r="I1794" s="2"/>
      <c r="J1794" s="2"/>
      <c r="K1794" s="2"/>
      <c r="L1794" s="2"/>
      <c r="M1794" s="2"/>
    </row>
    <row r="1795" spans="1:13" x14ac:dyDescent="0.3">
      <c r="A1795" s="2"/>
      <c r="B1795" s="2"/>
      <c r="C1795" s="2"/>
      <c r="D1795" s="2"/>
      <c r="E1795" s="4"/>
      <c r="F1795" s="2"/>
      <c r="G1795" s="2"/>
      <c r="H1795" s="2"/>
      <c r="I1795" s="2"/>
      <c r="J1795" s="2"/>
      <c r="K1795" s="2"/>
      <c r="L1795" s="2"/>
      <c r="M1795" s="2"/>
    </row>
    <row r="1796" spans="1:13" x14ac:dyDescent="0.3">
      <c r="A1796" s="2"/>
      <c r="B1796" s="2"/>
      <c r="C1796" s="2"/>
      <c r="D1796" s="2"/>
      <c r="E1796" s="4"/>
      <c r="F1796" s="2"/>
      <c r="G1796" s="2"/>
      <c r="H1796" s="2"/>
      <c r="I1796" s="2"/>
      <c r="J1796" s="2"/>
      <c r="K1796" s="2"/>
      <c r="L1796" s="2"/>
      <c r="M1796" s="2"/>
    </row>
    <row r="1797" spans="1:13" x14ac:dyDescent="0.3">
      <c r="A1797" s="2"/>
      <c r="B1797" s="2"/>
      <c r="C1797" s="2"/>
      <c r="D1797" s="2"/>
      <c r="E1797" s="4"/>
      <c r="F1797" s="2"/>
      <c r="G1797" s="2"/>
      <c r="H1797" s="2"/>
      <c r="I1797" s="2"/>
      <c r="J1797" s="2"/>
      <c r="K1797" s="2"/>
      <c r="L1797" s="2"/>
      <c r="M1797" s="2"/>
    </row>
    <row r="1798" spans="1:13" x14ac:dyDescent="0.3">
      <c r="A1798" s="2"/>
      <c r="B1798" s="2"/>
      <c r="C1798" s="2"/>
      <c r="D1798" s="2"/>
      <c r="E1798" s="4"/>
      <c r="F1798" s="2"/>
      <c r="G1798" s="2"/>
      <c r="H1798" s="2"/>
      <c r="I1798" s="2"/>
      <c r="J1798" s="2"/>
      <c r="K1798" s="2"/>
      <c r="L1798" s="2"/>
      <c r="M1798" s="2"/>
    </row>
    <row r="1799" spans="1:13" x14ac:dyDescent="0.3">
      <c r="A1799" s="2"/>
      <c r="B1799" s="2"/>
      <c r="C1799" s="2"/>
      <c r="D1799" s="2"/>
      <c r="E1799" s="4"/>
      <c r="F1799" s="2"/>
      <c r="G1799" s="2"/>
      <c r="H1799" s="2"/>
      <c r="I1799" s="2"/>
      <c r="J1799" s="2"/>
      <c r="K1799" s="2"/>
      <c r="L1799" s="2"/>
      <c r="M1799" s="2"/>
    </row>
    <row r="1800" spans="1:13" x14ac:dyDescent="0.3">
      <c r="A1800" s="2"/>
      <c r="B1800" s="2"/>
      <c r="C1800" s="2"/>
      <c r="D1800" s="2"/>
      <c r="E1800" s="4"/>
      <c r="F1800" s="2"/>
      <c r="G1800" s="2"/>
      <c r="H1800" s="2"/>
      <c r="I1800" s="2"/>
      <c r="J1800" s="2"/>
      <c r="K1800" s="2"/>
      <c r="L1800" s="2"/>
      <c r="M1800" s="2"/>
    </row>
    <row r="1801" spans="1:13" x14ac:dyDescent="0.3">
      <c r="A1801" s="2"/>
      <c r="B1801" s="2"/>
      <c r="C1801" s="2"/>
      <c r="D1801" s="2"/>
      <c r="E1801" s="4"/>
      <c r="F1801" s="2"/>
      <c r="G1801" s="2"/>
      <c r="H1801" s="2"/>
      <c r="I1801" s="2"/>
      <c r="J1801" s="2"/>
      <c r="K1801" s="2"/>
      <c r="L1801" s="2"/>
      <c r="M1801" s="2"/>
    </row>
    <row r="1802" spans="1:13" x14ac:dyDescent="0.3">
      <c r="A1802" s="2"/>
      <c r="B1802" s="2"/>
      <c r="C1802" s="2"/>
      <c r="D1802" s="2"/>
      <c r="E1802" s="4"/>
      <c r="F1802" s="2"/>
      <c r="G1802" s="2"/>
      <c r="H1802" s="2"/>
      <c r="I1802" s="2"/>
      <c r="J1802" s="2"/>
      <c r="K1802" s="2"/>
      <c r="L1802" s="2"/>
      <c r="M1802" s="2"/>
    </row>
    <row r="1803" spans="1:13" x14ac:dyDescent="0.3">
      <c r="A1803" s="2"/>
      <c r="B1803" s="2"/>
      <c r="C1803" s="2"/>
      <c r="D1803" s="2"/>
      <c r="E1803" s="4"/>
      <c r="F1803" s="2"/>
      <c r="G1803" s="2"/>
      <c r="H1803" s="2"/>
      <c r="I1803" s="2"/>
      <c r="J1803" s="2"/>
      <c r="K1803" s="2"/>
      <c r="L1803" s="2"/>
      <c r="M1803" s="2"/>
    </row>
    <row r="1804" spans="1:13" x14ac:dyDescent="0.3">
      <c r="A1804" s="2"/>
      <c r="B1804" s="2"/>
      <c r="C1804" s="2"/>
      <c r="D1804" s="2"/>
      <c r="E1804" s="4"/>
      <c r="F1804" s="2"/>
      <c r="G1804" s="2"/>
      <c r="H1804" s="2"/>
      <c r="I1804" s="2"/>
      <c r="J1804" s="2"/>
      <c r="K1804" s="2"/>
      <c r="L1804" s="2"/>
      <c r="M1804" s="2"/>
    </row>
    <row r="1805" spans="1:13" x14ac:dyDescent="0.3">
      <c r="A1805" s="2"/>
      <c r="B1805" s="2"/>
      <c r="C1805" s="2"/>
      <c r="D1805" s="2"/>
      <c r="E1805" s="4"/>
      <c r="F1805" s="2"/>
      <c r="G1805" s="2"/>
      <c r="H1805" s="2"/>
      <c r="I1805" s="2"/>
      <c r="J1805" s="2"/>
      <c r="K1805" s="2"/>
      <c r="L1805" s="2"/>
      <c r="M1805" s="2"/>
    </row>
    <row r="1806" spans="1:13" x14ac:dyDescent="0.3">
      <c r="A1806" s="2"/>
      <c r="B1806" s="2"/>
      <c r="C1806" s="2"/>
      <c r="D1806" s="2"/>
      <c r="E1806" s="4"/>
      <c r="F1806" s="2"/>
      <c r="G1806" s="2"/>
      <c r="H1806" s="2"/>
      <c r="I1806" s="2"/>
      <c r="J1806" s="2"/>
      <c r="K1806" s="2"/>
      <c r="L1806" s="2"/>
      <c r="M1806" s="2"/>
    </row>
    <row r="1807" spans="1:13" x14ac:dyDescent="0.3">
      <c r="A1807" s="2"/>
      <c r="B1807" s="2"/>
      <c r="C1807" s="2"/>
      <c r="D1807" s="2"/>
      <c r="E1807" s="4"/>
      <c r="F1807" s="2"/>
      <c r="G1807" s="2"/>
      <c r="H1807" s="2"/>
      <c r="I1807" s="2"/>
      <c r="J1807" s="2"/>
      <c r="K1807" s="2"/>
      <c r="L1807" s="2"/>
      <c r="M1807" s="2"/>
    </row>
    <row r="1808" spans="1:13" x14ac:dyDescent="0.3">
      <c r="A1808" s="2"/>
      <c r="B1808" s="2"/>
      <c r="C1808" s="2"/>
      <c r="D1808" s="2"/>
      <c r="E1808" s="4"/>
      <c r="F1808" s="2"/>
      <c r="G1808" s="2"/>
      <c r="H1808" s="2"/>
      <c r="I1808" s="2"/>
      <c r="J1808" s="2"/>
      <c r="K1808" s="2"/>
      <c r="L1808" s="2"/>
      <c r="M1808" s="2"/>
    </row>
    <row r="1809" spans="1:13" x14ac:dyDescent="0.3">
      <c r="A1809" s="2"/>
      <c r="B1809" s="2"/>
      <c r="C1809" s="2"/>
      <c r="D1809" s="2"/>
      <c r="E1809" s="4"/>
      <c r="F1809" s="2"/>
      <c r="G1809" s="2"/>
      <c r="H1809" s="2"/>
      <c r="I1809" s="2"/>
      <c r="J1809" s="2"/>
      <c r="K1809" s="2"/>
      <c r="L1809" s="2"/>
      <c r="M1809" s="2"/>
    </row>
    <row r="1810" spans="1:13" x14ac:dyDescent="0.3">
      <c r="A1810" s="2"/>
      <c r="B1810" s="2"/>
      <c r="C1810" s="2"/>
      <c r="D1810" s="2"/>
      <c r="E1810" s="4"/>
      <c r="F1810" s="2"/>
      <c r="G1810" s="2"/>
      <c r="H1810" s="2"/>
      <c r="I1810" s="2"/>
      <c r="J1810" s="2"/>
      <c r="K1810" s="2"/>
      <c r="L1810" s="2"/>
      <c r="M1810" s="2"/>
    </row>
    <row r="1811" spans="1:13" x14ac:dyDescent="0.3">
      <c r="A1811" s="2"/>
      <c r="B1811" s="2"/>
      <c r="C1811" s="2"/>
      <c r="D1811" s="2"/>
      <c r="E1811" s="4"/>
      <c r="F1811" s="2"/>
      <c r="G1811" s="2"/>
      <c r="H1811" s="2"/>
      <c r="I1811" s="2"/>
      <c r="J1811" s="2"/>
      <c r="K1811" s="2"/>
      <c r="L1811" s="2"/>
      <c r="M1811" s="2"/>
    </row>
    <row r="1812" spans="1:13" x14ac:dyDescent="0.3">
      <c r="A1812" s="2"/>
      <c r="B1812" s="2"/>
      <c r="C1812" s="2"/>
      <c r="D1812" s="2"/>
      <c r="E1812" s="4"/>
      <c r="F1812" s="2"/>
      <c r="G1812" s="2"/>
      <c r="H1812" s="2"/>
      <c r="I1812" s="2"/>
      <c r="J1812" s="2"/>
      <c r="K1812" s="2"/>
      <c r="L1812" s="2"/>
      <c r="M1812" s="2"/>
    </row>
    <row r="1813" spans="1:13" x14ac:dyDescent="0.3">
      <c r="A1813" s="2"/>
      <c r="B1813" s="2"/>
      <c r="C1813" s="2"/>
      <c r="D1813" s="2"/>
      <c r="E1813" s="4"/>
      <c r="F1813" s="2"/>
      <c r="G1813" s="2"/>
      <c r="H1813" s="2"/>
      <c r="I1813" s="2"/>
      <c r="J1813" s="2"/>
      <c r="K1813" s="2"/>
      <c r="L1813" s="2"/>
      <c r="M1813" s="2"/>
    </row>
    <row r="1814" spans="1:13" x14ac:dyDescent="0.3">
      <c r="A1814" s="2"/>
      <c r="B1814" s="2"/>
      <c r="C1814" s="2"/>
      <c r="D1814" s="2"/>
      <c r="E1814" s="4"/>
      <c r="F1814" s="2"/>
      <c r="G1814" s="2"/>
      <c r="H1814" s="2"/>
      <c r="I1814" s="2"/>
      <c r="J1814" s="2"/>
      <c r="K1814" s="2"/>
      <c r="L1814" s="2"/>
      <c r="M1814" s="2"/>
    </row>
    <row r="1815" spans="1:13" x14ac:dyDescent="0.3">
      <c r="A1815" s="2"/>
      <c r="B1815" s="2"/>
      <c r="C1815" s="2"/>
      <c r="D1815" s="2"/>
      <c r="E1815" s="4"/>
      <c r="F1815" s="2"/>
      <c r="G1815" s="2"/>
      <c r="H1815" s="2"/>
      <c r="I1815" s="2"/>
      <c r="J1815" s="2"/>
      <c r="K1815" s="2"/>
      <c r="L1815" s="2"/>
      <c r="M1815" s="2"/>
    </row>
    <row r="1816" spans="1:13" x14ac:dyDescent="0.3">
      <c r="A1816" s="2"/>
      <c r="B1816" s="2"/>
      <c r="C1816" s="2"/>
      <c r="D1816" s="2"/>
      <c r="E1816" s="4"/>
      <c r="F1816" s="2"/>
      <c r="G1816" s="2"/>
      <c r="H1816" s="2"/>
      <c r="I1816" s="2"/>
      <c r="J1816" s="2"/>
      <c r="K1816" s="2"/>
      <c r="L1816" s="2"/>
      <c r="M1816" s="2"/>
    </row>
    <row r="1817" spans="1:13" x14ac:dyDescent="0.3">
      <c r="A1817" s="2"/>
      <c r="B1817" s="2"/>
      <c r="C1817" s="2"/>
      <c r="D1817" s="2"/>
      <c r="E1817" s="4"/>
      <c r="F1817" s="2"/>
      <c r="G1817" s="2"/>
      <c r="H1817" s="2"/>
      <c r="I1817" s="2"/>
      <c r="J1817" s="2"/>
      <c r="K1817" s="2"/>
      <c r="L1817" s="2"/>
      <c r="M1817" s="2"/>
    </row>
    <row r="1818" spans="1:13" x14ac:dyDescent="0.3">
      <c r="A1818" s="2"/>
      <c r="B1818" s="2"/>
      <c r="C1818" s="2"/>
      <c r="D1818" s="2"/>
      <c r="E1818" s="4"/>
      <c r="F1818" s="2"/>
      <c r="G1818" s="2"/>
      <c r="H1818" s="2"/>
      <c r="I1818" s="2"/>
      <c r="J1818" s="2"/>
      <c r="K1818" s="2"/>
      <c r="L1818" s="2"/>
      <c r="M1818" s="2"/>
    </row>
    <row r="1819" spans="1:13" x14ac:dyDescent="0.3">
      <c r="A1819" s="2"/>
      <c r="B1819" s="2"/>
      <c r="C1819" s="2"/>
      <c r="D1819" s="2"/>
      <c r="E1819" s="4"/>
      <c r="F1819" s="2"/>
      <c r="G1819" s="2"/>
      <c r="H1819" s="2"/>
      <c r="I1819" s="2"/>
      <c r="J1819" s="2"/>
      <c r="K1819" s="2"/>
      <c r="L1819" s="2"/>
      <c r="M1819" s="2"/>
    </row>
    <row r="1820" spans="1:13" x14ac:dyDescent="0.3">
      <c r="A1820" s="2"/>
      <c r="B1820" s="2"/>
      <c r="C1820" s="2"/>
      <c r="D1820" s="2"/>
      <c r="E1820" s="4"/>
      <c r="F1820" s="2"/>
      <c r="G1820" s="2"/>
      <c r="H1820" s="2"/>
      <c r="I1820" s="2"/>
      <c r="J1820" s="2"/>
      <c r="K1820" s="2"/>
      <c r="L1820" s="2"/>
      <c r="M1820" s="2"/>
    </row>
    <row r="1821" spans="1:13" x14ac:dyDescent="0.3">
      <c r="A1821" s="2"/>
      <c r="B1821" s="2"/>
      <c r="C1821" s="2"/>
      <c r="D1821" s="2"/>
      <c r="E1821" s="4"/>
      <c r="F1821" s="2"/>
      <c r="G1821" s="2"/>
      <c r="H1821" s="2"/>
      <c r="I1821" s="2"/>
      <c r="J1821" s="2"/>
      <c r="K1821" s="2"/>
      <c r="L1821" s="2"/>
      <c r="M1821" s="2"/>
    </row>
    <row r="1822" spans="1:13" x14ac:dyDescent="0.3">
      <c r="A1822" s="2"/>
      <c r="B1822" s="2"/>
      <c r="C1822" s="2"/>
      <c r="D1822" s="2"/>
      <c r="E1822" s="4"/>
      <c r="F1822" s="2"/>
      <c r="G1822" s="2"/>
      <c r="H1822" s="2"/>
      <c r="I1822" s="2"/>
      <c r="J1822" s="2"/>
      <c r="K1822" s="2"/>
      <c r="L1822" s="2"/>
      <c r="M1822" s="2"/>
    </row>
    <row r="1823" spans="1:13" x14ac:dyDescent="0.3">
      <c r="A1823" s="2"/>
      <c r="B1823" s="2"/>
      <c r="C1823" s="2"/>
      <c r="D1823" s="2"/>
      <c r="E1823" s="4"/>
      <c r="F1823" s="2"/>
      <c r="G1823" s="2"/>
      <c r="H1823" s="2"/>
      <c r="I1823" s="2"/>
      <c r="J1823" s="2"/>
      <c r="K1823" s="2"/>
      <c r="L1823" s="2"/>
      <c r="M1823" s="2"/>
    </row>
    <row r="1824" spans="1:13" x14ac:dyDescent="0.3">
      <c r="A1824" s="2"/>
      <c r="B1824" s="2"/>
      <c r="C1824" s="2"/>
      <c r="D1824" s="2"/>
      <c r="E1824" s="4"/>
      <c r="F1824" s="2"/>
      <c r="G1824" s="2"/>
      <c r="H1824" s="2"/>
      <c r="I1824" s="2"/>
      <c r="J1824" s="2"/>
      <c r="K1824" s="2"/>
      <c r="L1824" s="2"/>
      <c r="M1824" s="2"/>
    </row>
    <row r="1825" spans="1:13" x14ac:dyDescent="0.3">
      <c r="A1825" s="2"/>
      <c r="B1825" s="2"/>
      <c r="C1825" s="2"/>
      <c r="D1825" s="2"/>
      <c r="E1825" s="4"/>
      <c r="F1825" s="2"/>
      <c r="G1825" s="2"/>
      <c r="H1825" s="2"/>
      <c r="I1825" s="2"/>
      <c r="J1825" s="2"/>
      <c r="K1825" s="2"/>
      <c r="L1825" s="2"/>
      <c r="M1825" s="2"/>
    </row>
    <row r="1826" spans="1:13" x14ac:dyDescent="0.3">
      <c r="A1826" s="2"/>
      <c r="B1826" s="2"/>
      <c r="C1826" s="2"/>
      <c r="D1826" s="2"/>
      <c r="E1826" s="4"/>
      <c r="F1826" s="2"/>
      <c r="G1826" s="2"/>
      <c r="H1826" s="2"/>
      <c r="I1826" s="2"/>
      <c r="J1826" s="2"/>
      <c r="K1826" s="2"/>
      <c r="L1826" s="2"/>
      <c r="M1826" s="2"/>
    </row>
    <row r="1827" spans="1:13" x14ac:dyDescent="0.3">
      <c r="A1827" s="2"/>
      <c r="B1827" s="2"/>
      <c r="C1827" s="2"/>
      <c r="D1827" s="2"/>
      <c r="E1827" s="4"/>
      <c r="F1827" s="2"/>
      <c r="G1827" s="2"/>
      <c r="H1827" s="2"/>
      <c r="I1827" s="2"/>
      <c r="J1827" s="2"/>
      <c r="K1827" s="2"/>
      <c r="L1827" s="2"/>
      <c r="M1827" s="2"/>
    </row>
    <row r="1828" spans="1:13" x14ac:dyDescent="0.3">
      <c r="A1828" s="2"/>
      <c r="B1828" s="2"/>
      <c r="C1828" s="2"/>
      <c r="D1828" s="2"/>
      <c r="E1828" s="4"/>
      <c r="F1828" s="2"/>
      <c r="G1828" s="2"/>
      <c r="H1828" s="2"/>
      <c r="I1828" s="2"/>
      <c r="J1828" s="2"/>
      <c r="K1828" s="2"/>
      <c r="L1828" s="2"/>
      <c r="M1828" s="2"/>
    </row>
    <row r="1829" spans="1:13" x14ac:dyDescent="0.3">
      <c r="A1829" s="2"/>
      <c r="B1829" s="2"/>
      <c r="C1829" s="2"/>
      <c r="D1829" s="2"/>
      <c r="E1829" s="4"/>
      <c r="F1829" s="2"/>
      <c r="G1829" s="2"/>
      <c r="H1829" s="2"/>
      <c r="I1829" s="2"/>
      <c r="J1829" s="2"/>
      <c r="K1829" s="2"/>
      <c r="L1829" s="2"/>
      <c r="M1829" s="2"/>
    </row>
    <row r="1830" spans="1:13" x14ac:dyDescent="0.3">
      <c r="A1830" s="2"/>
      <c r="B1830" s="2"/>
      <c r="C1830" s="2"/>
      <c r="D1830" s="2"/>
      <c r="E1830" s="4"/>
      <c r="F1830" s="2"/>
      <c r="G1830" s="2"/>
      <c r="H1830" s="2"/>
      <c r="I1830" s="2"/>
      <c r="J1830" s="2"/>
      <c r="K1830" s="2"/>
      <c r="L1830" s="2"/>
      <c r="M1830" s="2"/>
    </row>
    <row r="1831" spans="1:13" x14ac:dyDescent="0.3">
      <c r="A1831" s="2"/>
      <c r="B1831" s="2"/>
      <c r="C1831" s="2"/>
      <c r="D1831" s="2"/>
      <c r="E1831" s="4"/>
      <c r="F1831" s="2"/>
      <c r="G1831" s="2"/>
      <c r="H1831" s="2"/>
      <c r="I1831" s="2"/>
      <c r="J1831" s="2"/>
      <c r="K1831" s="2"/>
      <c r="L1831" s="2"/>
      <c r="M1831" s="2"/>
    </row>
    <row r="1832" spans="1:13" x14ac:dyDescent="0.3">
      <c r="A1832" s="2"/>
      <c r="B1832" s="2"/>
      <c r="C1832" s="2"/>
      <c r="D1832" s="2"/>
      <c r="E1832" s="4"/>
      <c r="F1832" s="2"/>
      <c r="G1832" s="2"/>
      <c r="H1832" s="2"/>
      <c r="I1832" s="2"/>
      <c r="J1832" s="2"/>
      <c r="K1832" s="2"/>
      <c r="L1832" s="2"/>
      <c r="M1832" s="2"/>
    </row>
    <row r="1833" spans="1:13" x14ac:dyDescent="0.3">
      <c r="A1833" s="2"/>
      <c r="B1833" s="2"/>
      <c r="C1833" s="2"/>
      <c r="D1833" s="2"/>
      <c r="E1833" s="4"/>
      <c r="F1833" s="2"/>
      <c r="G1833" s="2"/>
      <c r="H1833" s="2"/>
      <c r="I1833" s="2"/>
      <c r="J1833" s="2"/>
      <c r="K1833" s="2"/>
      <c r="L1833" s="2"/>
      <c r="M1833" s="2"/>
    </row>
    <row r="1834" spans="1:13" x14ac:dyDescent="0.3">
      <c r="A1834" s="2"/>
      <c r="B1834" s="2"/>
      <c r="C1834" s="2"/>
      <c r="D1834" s="2"/>
      <c r="E1834" s="4"/>
      <c r="F1834" s="2"/>
      <c r="G1834" s="2"/>
      <c r="H1834" s="2"/>
      <c r="I1834" s="2"/>
      <c r="J1834" s="2"/>
      <c r="K1834" s="2"/>
      <c r="L1834" s="2"/>
      <c r="M1834" s="2"/>
    </row>
    <row r="1835" spans="1:13" x14ac:dyDescent="0.3">
      <c r="A1835" s="2"/>
      <c r="B1835" s="2"/>
      <c r="C1835" s="2"/>
      <c r="D1835" s="2"/>
      <c r="E1835" s="4"/>
      <c r="F1835" s="2"/>
      <c r="G1835" s="2"/>
      <c r="H1835" s="2"/>
      <c r="I1835" s="2"/>
      <c r="J1835" s="2"/>
      <c r="K1835" s="2"/>
      <c r="L1835" s="2"/>
      <c r="M1835" s="2"/>
    </row>
    <row r="1836" spans="1:13" x14ac:dyDescent="0.3">
      <c r="A1836" s="2"/>
      <c r="B1836" s="2"/>
      <c r="C1836" s="2"/>
      <c r="D1836" s="2"/>
      <c r="E1836" s="4"/>
      <c r="F1836" s="2"/>
      <c r="G1836" s="2"/>
      <c r="H1836" s="2"/>
      <c r="I1836" s="2"/>
      <c r="J1836" s="2"/>
      <c r="K1836" s="2"/>
      <c r="L1836" s="2"/>
      <c r="M1836" s="2"/>
    </row>
    <row r="1837" spans="1:13" x14ac:dyDescent="0.3">
      <c r="A1837" s="2"/>
      <c r="B1837" s="2"/>
      <c r="C1837" s="2"/>
      <c r="D1837" s="2"/>
      <c r="E1837" s="4"/>
      <c r="F1837" s="2"/>
      <c r="G1837" s="2"/>
      <c r="H1837" s="2"/>
      <c r="I1837" s="2"/>
      <c r="J1837" s="2"/>
      <c r="K1837" s="2"/>
      <c r="L1837" s="2"/>
      <c r="M1837" s="2"/>
    </row>
    <row r="1838" spans="1:13" x14ac:dyDescent="0.3">
      <c r="A1838" s="2"/>
      <c r="B1838" s="2"/>
      <c r="C1838" s="2"/>
      <c r="D1838" s="2"/>
      <c r="E1838" s="4"/>
      <c r="F1838" s="2"/>
      <c r="G1838" s="2"/>
      <c r="H1838" s="2"/>
      <c r="I1838" s="2"/>
      <c r="J1838" s="2"/>
      <c r="K1838" s="2"/>
      <c r="L1838" s="2"/>
      <c r="M1838" s="2"/>
    </row>
    <row r="1839" spans="1:13" x14ac:dyDescent="0.3">
      <c r="A1839" s="2"/>
      <c r="B1839" s="2"/>
      <c r="C1839" s="2"/>
      <c r="D1839" s="2"/>
      <c r="E1839" s="4"/>
      <c r="F1839" s="2"/>
      <c r="G1839" s="2"/>
      <c r="H1839" s="2"/>
      <c r="I1839" s="2"/>
      <c r="J1839" s="2"/>
      <c r="K1839" s="2"/>
      <c r="L1839" s="2"/>
      <c r="M1839" s="2"/>
    </row>
    <row r="1840" spans="1:13" x14ac:dyDescent="0.3">
      <c r="A1840" s="2"/>
      <c r="B1840" s="2"/>
      <c r="C1840" s="2"/>
      <c r="D1840" s="2"/>
      <c r="E1840" s="4"/>
      <c r="F1840" s="2"/>
      <c r="G1840" s="2"/>
      <c r="H1840" s="2"/>
      <c r="I1840" s="2"/>
      <c r="J1840" s="2"/>
      <c r="K1840" s="2"/>
      <c r="L1840" s="2"/>
      <c r="M1840" s="2"/>
    </row>
    <row r="1841" spans="1:13" x14ac:dyDescent="0.3">
      <c r="A1841" s="2"/>
      <c r="B1841" s="2"/>
      <c r="C1841" s="2"/>
      <c r="D1841" s="2"/>
      <c r="E1841" s="4"/>
      <c r="F1841" s="2"/>
      <c r="G1841" s="2"/>
      <c r="H1841" s="2"/>
      <c r="I1841" s="2"/>
      <c r="J1841" s="2"/>
      <c r="K1841" s="2"/>
      <c r="L1841" s="2"/>
      <c r="M1841" s="2"/>
    </row>
    <row r="1842" spans="1:13" x14ac:dyDescent="0.3">
      <c r="A1842" s="2"/>
      <c r="B1842" s="2"/>
      <c r="C1842" s="2"/>
      <c r="D1842" s="2"/>
      <c r="E1842" s="4"/>
      <c r="F1842" s="2"/>
      <c r="G1842" s="2"/>
      <c r="H1842" s="2"/>
      <c r="I1842" s="2"/>
      <c r="J1842" s="2"/>
      <c r="K1842" s="2"/>
      <c r="L1842" s="2"/>
      <c r="M1842" s="2"/>
    </row>
    <row r="1843" spans="1:13" x14ac:dyDescent="0.3">
      <c r="A1843" s="2"/>
      <c r="B1843" s="2"/>
      <c r="C1843" s="2"/>
      <c r="D1843" s="2"/>
      <c r="E1843" s="4"/>
      <c r="F1843" s="2"/>
      <c r="G1843" s="2"/>
      <c r="H1843" s="2"/>
      <c r="I1843" s="2"/>
      <c r="J1843" s="2"/>
      <c r="K1843" s="2"/>
      <c r="L1843" s="2"/>
      <c r="M1843" s="2"/>
    </row>
    <row r="1844" spans="1:13" x14ac:dyDescent="0.3">
      <c r="A1844" s="2"/>
      <c r="B1844" s="2"/>
      <c r="C1844" s="2"/>
      <c r="D1844" s="2"/>
      <c r="E1844" s="4"/>
      <c r="F1844" s="2"/>
      <c r="G1844" s="2"/>
      <c r="H1844" s="2"/>
      <c r="I1844" s="2"/>
      <c r="J1844" s="2"/>
      <c r="K1844" s="2"/>
      <c r="L1844" s="2"/>
      <c r="M1844" s="2"/>
    </row>
    <row r="1845" spans="1:13" x14ac:dyDescent="0.3">
      <c r="A1845" s="2"/>
      <c r="B1845" s="2"/>
      <c r="C1845" s="2"/>
      <c r="D1845" s="2"/>
      <c r="E1845" s="4"/>
      <c r="F1845" s="2"/>
      <c r="G1845" s="2"/>
      <c r="H1845" s="2"/>
      <c r="I1845" s="2"/>
      <c r="J1845" s="2"/>
      <c r="K1845" s="2"/>
      <c r="L1845" s="2"/>
      <c r="M1845" s="2"/>
    </row>
    <row r="1846" spans="1:13" x14ac:dyDescent="0.3">
      <c r="A1846" s="2"/>
      <c r="B1846" s="2"/>
      <c r="C1846" s="2"/>
      <c r="D1846" s="2"/>
      <c r="E1846" s="4"/>
      <c r="F1846" s="2"/>
      <c r="G1846" s="2"/>
      <c r="H1846" s="2"/>
      <c r="I1846" s="2"/>
      <c r="J1846" s="2"/>
      <c r="K1846" s="2"/>
      <c r="L1846" s="2"/>
      <c r="M1846" s="2"/>
    </row>
    <row r="1847" spans="1:13" x14ac:dyDescent="0.3">
      <c r="A1847" s="2"/>
      <c r="B1847" s="2"/>
      <c r="C1847" s="2"/>
      <c r="D1847" s="2"/>
      <c r="E1847" s="4"/>
      <c r="F1847" s="2"/>
      <c r="G1847" s="2"/>
      <c r="H1847" s="2"/>
      <c r="I1847" s="2"/>
      <c r="J1847" s="2"/>
      <c r="K1847" s="2"/>
      <c r="L1847" s="2"/>
      <c r="M1847" s="2"/>
    </row>
    <row r="1848" spans="1:13" x14ac:dyDescent="0.3">
      <c r="A1848" s="2"/>
      <c r="B1848" s="2"/>
      <c r="C1848" s="2"/>
      <c r="D1848" s="2"/>
      <c r="E1848" s="4"/>
      <c r="F1848" s="2"/>
      <c r="G1848" s="2"/>
      <c r="H1848" s="2"/>
      <c r="I1848" s="2"/>
      <c r="J1848" s="2"/>
      <c r="K1848" s="2"/>
      <c r="L1848" s="2"/>
      <c r="M1848" s="2"/>
    </row>
    <row r="1849" spans="1:13" x14ac:dyDescent="0.3">
      <c r="A1849" s="2"/>
      <c r="B1849" s="2"/>
      <c r="C1849" s="2"/>
      <c r="D1849" s="2"/>
      <c r="E1849" s="4"/>
      <c r="F1849" s="2"/>
      <c r="G1849" s="2"/>
      <c r="H1849" s="2"/>
      <c r="I1849" s="2"/>
      <c r="J1849" s="2"/>
      <c r="K1849" s="2"/>
      <c r="L1849" s="2"/>
      <c r="M1849" s="2"/>
    </row>
    <row r="1850" spans="1:13" x14ac:dyDescent="0.3">
      <c r="A1850" s="2"/>
      <c r="B1850" s="2"/>
      <c r="C1850" s="2"/>
      <c r="D1850" s="2"/>
      <c r="E1850" s="4"/>
      <c r="F1850" s="2"/>
      <c r="G1850" s="2"/>
      <c r="H1850" s="2"/>
      <c r="I1850" s="2"/>
      <c r="J1850" s="2"/>
      <c r="K1850" s="2"/>
      <c r="L1850" s="2"/>
      <c r="M1850" s="2"/>
    </row>
    <row r="1851" spans="1:13" x14ac:dyDescent="0.3">
      <c r="A1851" s="2"/>
      <c r="B1851" s="2"/>
      <c r="C1851" s="2"/>
      <c r="D1851" s="2"/>
      <c r="E1851" s="4"/>
      <c r="F1851" s="2"/>
      <c r="G1851" s="2"/>
      <c r="H1851" s="2"/>
      <c r="I1851" s="2"/>
      <c r="J1851" s="2"/>
      <c r="K1851" s="2"/>
      <c r="L1851" s="2"/>
      <c r="M1851" s="2"/>
    </row>
    <row r="1852" spans="1:13" x14ac:dyDescent="0.3">
      <c r="A1852" s="2"/>
      <c r="B1852" s="2"/>
      <c r="C1852" s="2"/>
      <c r="D1852" s="2"/>
      <c r="E1852" s="4"/>
      <c r="F1852" s="2"/>
      <c r="G1852" s="2"/>
      <c r="H1852" s="2"/>
      <c r="I1852" s="2"/>
      <c r="J1852" s="2"/>
      <c r="K1852" s="2"/>
      <c r="L1852" s="2"/>
      <c r="M1852" s="2"/>
    </row>
    <row r="1853" spans="1:13" x14ac:dyDescent="0.3">
      <c r="A1853" s="2"/>
      <c r="B1853" s="2"/>
      <c r="C1853" s="2"/>
      <c r="D1853" s="2"/>
      <c r="E1853" s="4"/>
      <c r="F1853" s="2"/>
      <c r="G1853" s="2"/>
      <c r="H1853" s="2"/>
      <c r="I1853" s="2"/>
      <c r="J1853" s="2"/>
      <c r="K1853" s="2"/>
      <c r="L1853" s="2"/>
      <c r="M1853" s="2"/>
    </row>
    <row r="1854" spans="1:13" x14ac:dyDescent="0.3">
      <c r="A1854" s="2"/>
      <c r="B1854" s="2"/>
      <c r="C1854" s="2"/>
      <c r="D1854" s="2"/>
      <c r="E1854" s="4"/>
      <c r="F1854" s="2"/>
      <c r="G1854" s="2"/>
      <c r="H1854" s="2"/>
      <c r="I1854" s="2"/>
      <c r="J1854" s="2"/>
      <c r="K1854" s="2"/>
      <c r="L1854" s="2"/>
      <c r="M1854" s="2"/>
    </row>
    <row r="1855" spans="1:13" x14ac:dyDescent="0.3">
      <c r="A1855" s="2"/>
      <c r="B1855" s="2"/>
      <c r="C1855" s="2"/>
      <c r="D1855" s="2"/>
      <c r="E1855" s="4"/>
      <c r="F1855" s="2"/>
      <c r="G1855" s="2"/>
      <c r="H1855" s="2"/>
      <c r="I1855" s="2"/>
      <c r="J1855" s="2"/>
      <c r="K1855" s="2"/>
      <c r="L1855" s="2"/>
      <c r="M1855" s="2"/>
    </row>
    <row r="1856" spans="1:13" x14ac:dyDescent="0.3">
      <c r="A1856" s="2"/>
      <c r="B1856" s="2"/>
      <c r="C1856" s="2"/>
      <c r="D1856" s="2"/>
      <c r="E1856" s="4"/>
      <c r="F1856" s="2"/>
      <c r="G1856" s="2"/>
      <c r="H1856" s="2"/>
      <c r="I1856" s="2"/>
      <c r="J1856" s="2"/>
      <c r="K1856" s="2"/>
      <c r="L1856" s="2"/>
      <c r="M1856" s="2"/>
    </row>
    <row r="1857" spans="1:13" x14ac:dyDescent="0.3">
      <c r="A1857" s="2"/>
      <c r="B1857" s="2"/>
      <c r="C1857" s="2"/>
      <c r="D1857" s="2"/>
      <c r="E1857" s="4"/>
      <c r="F1857" s="2"/>
      <c r="G1857" s="2"/>
      <c r="H1857" s="2"/>
      <c r="I1857" s="2"/>
      <c r="J1857" s="2"/>
      <c r="K1857" s="2"/>
      <c r="L1857" s="2"/>
      <c r="M1857" s="2"/>
    </row>
    <row r="1858" spans="1:13" x14ac:dyDescent="0.3">
      <c r="A1858" s="2"/>
      <c r="B1858" s="2"/>
      <c r="C1858" s="2"/>
      <c r="D1858" s="2"/>
      <c r="E1858" s="4"/>
      <c r="F1858" s="2"/>
      <c r="G1858" s="2"/>
      <c r="H1858" s="2"/>
      <c r="I1858" s="2"/>
      <c r="J1858" s="2"/>
      <c r="K1858" s="2"/>
      <c r="L1858" s="2"/>
      <c r="M1858" s="2"/>
    </row>
    <row r="1859" spans="1:13" x14ac:dyDescent="0.3">
      <c r="A1859" s="2"/>
      <c r="B1859" s="2"/>
      <c r="C1859" s="2"/>
      <c r="D1859" s="2"/>
      <c r="E1859" s="4"/>
      <c r="F1859" s="2"/>
      <c r="G1859" s="2"/>
      <c r="H1859" s="2"/>
      <c r="I1859" s="2"/>
      <c r="J1859" s="2"/>
      <c r="K1859" s="2"/>
      <c r="L1859" s="2"/>
      <c r="M1859" s="2"/>
    </row>
    <row r="1860" spans="1:13" x14ac:dyDescent="0.3">
      <c r="A1860" s="2"/>
      <c r="B1860" s="2"/>
      <c r="C1860" s="2"/>
      <c r="D1860" s="2"/>
      <c r="E1860" s="4"/>
      <c r="F1860" s="2"/>
      <c r="G1860" s="2"/>
      <c r="H1860" s="2"/>
      <c r="I1860" s="2"/>
      <c r="J1860" s="2"/>
      <c r="K1860" s="2"/>
      <c r="L1860" s="2"/>
      <c r="M1860" s="2"/>
    </row>
    <row r="1861" spans="1:13" x14ac:dyDescent="0.3">
      <c r="A1861" s="2"/>
      <c r="B1861" s="2"/>
      <c r="C1861" s="2"/>
      <c r="D1861" s="2"/>
      <c r="E1861" s="4"/>
      <c r="F1861" s="2"/>
      <c r="G1861" s="2"/>
      <c r="H1861" s="2"/>
      <c r="I1861" s="2"/>
      <c r="J1861" s="2"/>
      <c r="K1861" s="2"/>
      <c r="L1861" s="2"/>
      <c r="M1861" s="2"/>
    </row>
    <row r="1862" spans="1:13" x14ac:dyDescent="0.3">
      <c r="A1862" s="2"/>
      <c r="B1862" s="2"/>
      <c r="C1862" s="2"/>
      <c r="D1862" s="2"/>
      <c r="E1862" s="4"/>
      <c r="F1862" s="2"/>
      <c r="G1862" s="2"/>
      <c r="H1862" s="2"/>
      <c r="I1862" s="2"/>
      <c r="J1862" s="2"/>
      <c r="K1862" s="2"/>
      <c r="L1862" s="2"/>
      <c r="M1862" s="2"/>
    </row>
    <row r="1863" spans="1:13" x14ac:dyDescent="0.3">
      <c r="A1863" s="2"/>
      <c r="B1863" s="2"/>
      <c r="C1863" s="2"/>
      <c r="D1863" s="2"/>
      <c r="E1863" s="4"/>
      <c r="F1863" s="2"/>
      <c r="G1863" s="2"/>
      <c r="H1863" s="2"/>
      <c r="I1863" s="2"/>
      <c r="J1863" s="2"/>
      <c r="K1863" s="2"/>
      <c r="L1863" s="2"/>
      <c r="M1863" s="2"/>
    </row>
    <row r="1864" spans="1:13" x14ac:dyDescent="0.3">
      <c r="A1864" s="2"/>
      <c r="B1864" s="2"/>
      <c r="C1864" s="2"/>
      <c r="D1864" s="2"/>
      <c r="E1864" s="4"/>
      <c r="F1864" s="2"/>
      <c r="G1864" s="2"/>
      <c r="H1864" s="2"/>
      <c r="I1864" s="2"/>
      <c r="J1864" s="2"/>
      <c r="K1864" s="2"/>
      <c r="L1864" s="2"/>
      <c r="M1864" s="2"/>
    </row>
    <row r="1865" spans="1:13" x14ac:dyDescent="0.3">
      <c r="A1865" s="2"/>
      <c r="B1865" s="2"/>
      <c r="C1865" s="2"/>
      <c r="D1865" s="2"/>
      <c r="E1865" s="4"/>
      <c r="F1865" s="2"/>
      <c r="G1865" s="2"/>
      <c r="H1865" s="2"/>
      <c r="I1865" s="2"/>
      <c r="J1865" s="2"/>
      <c r="K1865" s="2"/>
      <c r="L1865" s="2"/>
      <c r="M1865" s="2"/>
    </row>
    <row r="1866" spans="1:13" x14ac:dyDescent="0.3">
      <c r="A1866" s="2"/>
      <c r="B1866" s="2"/>
      <c r="C1866" s="2"/>
      <c r="D1866" s="2"/>
      <c r="E1866" s="4"/>
      <c r="F1866" s="2"/>
      <c r="G1866" s="2"/>
      <c r="H1866" s="2"/>
      <c r="I1866" s="2"/>
      <c r="J1866" s="2"/>
      <c r="K1866" s="2"/>
      <c r="L1866" s="2"/>
      <c r="M1866" s="2"/>
    </row>
    <row r="1867" spans="1:13" x14ac:dyDescent="0.3">
      <c r="A1867" s="2"/>
      <c r="B1867" s="2"/>
      <c r="C1867" s="2"/>
      <c r="D1867" s="2"/>
      <c r="E1867" s="4"/>
      <c r="F1867" s="2"/>
      <c r="G1867" s="2"/>
      <c r="H1867" s="2"/>
      <c r="I1867" s="2"/>
      <c r="J1867" s="2"/>
      <c r="K1867" s="2"/>
      <c r="L1867" s="2"/>
      <c r="M1867" s="2"/>
    </row>
    <row r="1868" spans="1:13" x14ac:dyDescent="0.3">
      <c r="A1868" s="2"/>
      <c r="B1868" s="2"/>
      <c r="C1868" s="2"/>
      <c r="D1868" s="2"/>
      <c r="E1868" s="4"/>
      <c r="F1868" s="2"/>
      <c r="G1868" s="2"/>
      <c r="H1868" s="2"/>
      <c r="I1868" s="2"/>
      <c r="J1868" s="2"/>
      <c r="K1868" s="2"/>
      <c r="L1868" s="2"/>
      <c r="M1868" s="2"/>
    </row>
    <row r="1869" spans="1:13" x14ac:dyDescent="0.3">
      <c r="A1869" s="2"/>
      <c r="B1869" s="2"/>
      <c r="C1869" s="2"/>
      <c r="D1869" s="2"/>
      <c r="E1869" s="4"/>
      <c r="F1869" s="2"/>
      <c r="G1869" s="2"/>
      <c r="H1869" s="2"/>
      <c r="I1869" s="2"/>
      <c r="J1869" s="2"/>
      <c r="K1869" s="2"/>
      <c r="L1869" s="2"/>
      <c r="M1869" s="2"/>
    </row>
    <row r="1870" spans="1:13" x14ac:dyDescent="0.3">
      <c r="A1870" s="2"/>
      <c r="B1870" s="2"/>
      <c r="C1870" s="2"/>
      <c r="D1870" s="2"/>
      <c r="E1870" s="4"/>
      <c r="F1870" s="2"/>
      <c r="G1870" s="2"/>
      <c r="H1870" s="2"/>
      <c r="I1870" s="2"/>
      <c r="J1870" s="2"/>
      <c r="K1870" s="2"/>
      <c r="L1870" s="2"/>
      <c r="M1870" s="2"/>
    </row>
    <row r="1871" spans="1:13" x14ac:dyDescent="0.3">
      <c r="A1871" s="2"/>
      <c r="B1871" s="2"/>
      <c r="C1871" s="2"/>
      <c r="D1871" s="2"/>
      <c r="E1871" s="4"/>
      <c r="F1871" s="2"/>
      <c r="G1871" s="2"/>
      <c r="H1871" s="2"/>
      <c r="I1871" s="2"/>
      <c r="J1871" s="2"/>
      <c r="K1871" s="2"/>
      <c r="L1871" s="2"/>
      <c r="M1871" s="2"/>
    </row>
    <row r="1872" spans="1:13" x14ac:dyDescent="0.3">
      <c r="A1872" s="2"/>
      <c r="B1872" s="2"/>
      <c r="C1872" s="2"/>
      <c r="D1872" s="2"/>
      <c r="E1872" s="4"/>
      <c r="F1872" s="2"/>
      <c r="G1872" s="2"/>
      <c r="H1872" s="2"/>
      <c r="I1872" s="2"/>
      <c r="J1872" s="2"/>
      <c r="K1872" s="2"/>
      <c r="L1872" s="2"/>
      <c r="M1872" s="2"/>
    </row>
    <row r="1873" spans="1:13" x14ac:dyDescent="0.3">
      <c r="A1873" s="2"/>
      <c r="B1873" s="2"/>
      <c r="C1873" s="2"/>
      <c r="D1873" s="2"/>
      <c r="E1873" s="4"/>
      <c r="F1873" s="2"/>
      <c r="G1873" s="2"/>
      <c r="H1873" s="2"/>
      <c r="I1873" s="2"/>
      <c r="J1873" s="2"/>
      <c r="K1873" s="2"/>
      <c r="L1873" s="2"/>
      <c r="M1873" s="2"/>
    </row>
    <row r="1874" spans="1:13" x14ac:dyDescent="0.3">
      <c r="A1874" s="2"/>
      <c r="B1874" s="2"/>
      <c r="C1874" s="2"/>
      <c r="D1874" s="2"/>
      <c r="E1874" s="4"/>
      <c r="F1874" s="2"/>
      <c r="G1874" s="2"/>
      <c r="H1874" s="2"/>
      <c r="I1874" s="2"/>
      <c r="J1874" s="2"/>
      <c r="K1874" s="2"/>
      <c r="L1874" s="2"/>
      <c r="M1874" s="2"/>
    </row>
    <row r="1875" spans="1:13" x14ac:dyDescent="0.3">
      <c r="A1875" s="2"/>
      <c r="B1875" s="2"/>
      <c r="C1875" s="2"/>
      <c r="D1875" s="2"/>
      <c r="E1875" s="4"/>
      <c r="F1875" s="2"/>
      <c r="G1875" s="2"/>
      <c r="H1875" s="2"/>
      <c r="I1875" s="2"/>
      <c r="J1875" s="2"/>
      <c r="K1875" s="2"/>
      <c r="L1875" s="2"/>
      <c r="M1875" s="2"/>
    </row>
    <row r="1876" spans="1:13" x14ac:dyDescent="0.3">
      <c r="A1876" s="2"/>
      <c r="B1876" s="2"/>
      <c r="C1876" s="2"/>
      <c r="D1876" s="2"/>
      <c r="E1876" s="4"/>
      <c r="F1876" s="2"/>
      <c r="G1876" s="2"/>
      <c r="H1876" s="2"/>
      <c r="I1876" s="2"/>
      <c r="J1876" s="2"/>
      <c r="K1876" s="2"/>
      <c r="L1876" s="2"/>
      <c r="M1876" s="2"/>
    </row>
    <row r="1877" spans="1:13" x14ac:dyDescent="0.3">
      <c r="A1877" s="2"/>
      <c r="B1877" s="2"/>
      <c r="C1877" s="2"/>
      <c r="D1877" s="2"/>
      <c r="E1877" s="4"/>
      <c r="F1877" s="2"/>
      <c r="G1877" s="2"/>
      <c r="H1877" s="2"/>
      <c r="I1877" s="2"/>
      <c r="J1877" s="2"/>
      <c r="K1877" s="2"/>
      <c r="L1877" s="2"/>
      <c r="M1877" s="2"/>
    </row>
    <row r="1878" spans="1:13" x14ac:dyDescent="0.3">
      <c r="A1878" s="2"/>
      <c r="B1878" s="2"/>
      <c r="C1878" s="2"/>
      <c r="D1878" s="2"/>
      <c r="E1878" s="4"/>
      <c r="F1878" s="2"/>
      <c r="G1878" s="2"/>
      <c r="H1878" s="2"/>
      <c r="I1878" s="2"/>
      <c r="J1878" s="2"/>
      <c r="K1878" s="2"/>
      <c r="L1878" s="2"/>
      <c r="M1878" s="2"/>
    </row>
    <row r="1879" spans="1:13" x14ac:dyDescent="0.3">
      <c r="A1879" s="2"/>
      <c r="B1879" s="2"/>
      <c r="C1879" s="2"/>
      <c r="D1879" s="2"/>
      <c r="E1879" s="4"/>
      <c r="F1879" s="2"/>
      <c r="G1879" s="2"/>
      <c r="H1879" s="2"/>
      <c r="I1879" s="2"/>
      <c r="J1879" s="2"/>
      <c r="K1879" s="2"/>
      <c r="L1879" s="2"/>
      <c r="M1879" s="2"/>
    </row>
    <row r="1880" spans="1:13" x14ac:dyDescent="0.3">
      <c r="A1880" s="2"/>
      <c r="B1880" s="2"/>
      <c r="C1880" s="2"/>
      <c r="D1880" s="2"/>
      <c r="E1880" s="4"/>
      <c r="F1880" s="2"/>
      <c r="G1880" s="2"/>
      <c r="H1880" s="2"/>
      <c r="I1880" s="2"/>
      <c r="J1880" s="2"/>
      <c r="K1880" s="2"/>
      <c r="L1880" s="2"/>
      <c r="M1880" s="2"/>
    </row>
    <row r="1881" spans="1:13" x14ac:dyDescent="0.3">
      <c r="A1881" s="2"/>
      <c r="B1881" s="2"/>
      <c r="C1881" s="2"/>
      <c r="D1881" s="2"/>
      <c r="E1881" s="4"/>
      <c r="F1881" s="2"/>
      <c r="G1881" s="2"/>
      <c r="H1881" s="2"/>
      <c r="I1881" s="2"/>
      <c r="J1881" s="2"/>
      <c r="K1881" s="2"/>
      <c r="L1881" s="2"/>
      <c r="M1881" s="2"/>
    </row>
    <row r="1882" spans="1:13" x14ac:dyDescent="0.3">
      <c r="A1882" s="2"/>
      <c r="B1882" s="2"/>
      <c r="C1882" s="2"/>
      <c r="D1882" s="2"/>
      <c r="E1882" s="4"/>
      <c r="F1882" s="2"/>
      <c r="G1882" s="2"/>
      <c r="H1882" s="2"/>
      <c r="I1882" s="2"/>
      <c r="J1882" s="2"/>
      <c r="K1882" s="2"/>
      <c r="L1882" s="2"/>
      <c r="M1882" s="2"/>
    </row>
    <row r="1883" spans="1:13" x14ac:dyDescent="0.3">
      <c r="A1883" s="2"/>
      <c r="B1883" s="2"/>
      <c r="C1883" s="2"/>
      <c r="D1883" s="2"/>
      <c r="E1883" s="4"/>
      <c r="F1883" s="2"/>
      <c r="G1883" s="2"/>
      <c r="H1883" s="2"/>
      <c r="I1883" s="2"/>
      <c r="J1883" s="2"/>
      <c r="K1883" s="2"/>
      <c r="L1883" s="2"/>
      <c r="M1883" s="2"/>
    </row>
    <row r="1884" spans="1:13" x14ac:dyDescent="0.3">
      <c r="A1884" s="2"/>
      <c r="B1884" s="2"/>
      <c r="C1884" s="2"/>
      <c r="D1884" s="2"/>
      <c r="E1884" s="4"/>
      <c r="F1884" s="2"/>
      <c r="G1884" s="2"/>
      <c r="H1884" s="2"/>
      <c r="I1884" s="2"/>
      <c r="J1884" s="2"/>
      <c r="K1884" s="2"/>
      <c r="L1884" s="2"/>
      <c r="M1884" s="2"/>
    </row>
    <row r="1885" spans="1:13" x14ac:dyDescent="0.3">
      <c r="A1885" s="2"/>
      <c r="B1885" s="2"/>
      <c r="C1885" s="2"/>
      <c r="D1885" s="2"/>
      <c r="E1885" s="4"/>
      <c r="F1885" s="2"/>
      <c r="G1885" s="2"/>
      <c r="H1885" s="2"/>
      <c r="I1885" s="2"/>
      <c r="J1885" s="2"/>
      <c r="K1885" s="2"/>
      <c r="L1885" s="2"/>
      <c r="M1885" s="2"/>
    </row>
    <row r="1886" spans="1:13" x14ac:dyDescent="0.3">
      <c r="A1886" s="2"/>
      <c r="B1886" s="2"/>
      <c r="C1886" s="2"/>
      <c r="D1886" s="2"/>
      <c r="E1886" s="4"/>
      <c r="F1886" s="2"/>
      <c r="G1886" s="2"/>
      <c r="H1886" s="2"/>
      <c r="I1886" s="2"/>
      <c r="J1886" s="2"/>
      <c r="K1886" s="2"/>
      <c r="L1886" s="2"/>
      <c r="M1886" s="2"/>
    </row>
    <row r="1887" spans="1:13" x14ac:dyDescent="0.3">
      <c r="A1887" s="2"/>
      <c r="B1887" s="2"/>
      <c r="C1887" s="2"/>
      <c r="D1887" s="2"/>
      <c r="E1887" s="4"/>
      <c r="F1887" s="2"/>
      <c r="G1887" s="2"/>
      <c r="H1887" s="2"/>
      <c r="I1887" s="2"/>
      <c r="J1887" s="2"/>
      <c r="K1887" s="2"/>
      <c r="L1887" s="2"/>
      <c r="M1887" s="2"/>
    </row>
    <row r="1888" spans="1:13" x14ac:dyDescent="0.3">
      <c r="A1888" s="2"/>
      <c r="B1888" s="2"/>
      <c r="C1888" s="2"/>
      <c r="D1888" s="2"/>
      <c r="E1888" s="4"/>
      <c r="F1888" s="2"/>
      <c r="G1888" s="2"/>
      <c r="H1888" s="2"/>
      <c r="I1888" s="2"/>
      <c r="J1888" s="2"/>
      <c r="K1888" s="2"/>
      <c r="L1888" s="2"/>
      <c r="M1888" s="2"/>
    </row>
    <row r="1889" spans="1:13" x14ac:dyDescent="0.3">
      <c r="A1889" s="2"/>
      <c r="B1889" s="2"/>
      <c r="C1889" s="2"/>
      <c r="D1889" s="2"/>
      <c r="E1889" s="4"/>
      <c r="F1889" s="2"/>
      <c r="G1889" s="2"/>
      <c r="H1889" s="2"/>
      <c r="I1889" s="2"/>
      <c r="J1889" s="2"/>
      <c r="K1889" s="2"/>
      <c r="L1889" s="2"/>
      <c r="M1889" s="2"/>
    </row>
    <row r="1890" spans="1:13" x14ac:dyDescent="0.3">
      <c r="A1890" s="2"/>
      <c r="B1890" s="2"/>
      <c r="C1890" s="2"/>
      <c r="D1890" s="2"/>
      <c r="E1890" s="4"/>
      <c r="F1890" s="2"/>
      <c r="G1890" s="2"/>
      <c r="H1890" s="2"/>
      <c r="I1890" s="2"/>
      <c r="J1890" s="2"/>
      <c r="K1890" s="2"/>
      <c r="L1890" s="2"/>
      <c r="M1890" s="2"/>
    </row>
    <row r="1891" spans="1:13" x14ac:dyDescent="0.3">
      <c r="A1891" s="2"/>
      <c r="B1891" s="2"/>
      <c r="C1891" s="2"/>
      <c r="D1891" s="2"/>
      <c r="E1891" s="4"/>
      <c r="F1891" s="2"/>
      <c r="G1891" s="2"/>
      <c r="H1891" s="2"/>
      <c r="I1891" s="2"/>
      <c r="J1891" s="2"/>
      <c r="K1891" s="2"/>
      <c r="L1891" s="2"/>
      <c r="M1891" s="2"/>
    </row>
    <row r="1892" spans="1:13" x14ac:dyDescent="0.3">
      <c r="A1892" s="2"/>
      <c r="B1892" s="2"/>
      <c r="C1892" s="2"/>
      <c r="D1892" s="2"/>
      <c r="E1892" s="4"/>
      <c r="F1892" s="2"/>
      <c r="G1892" s="2"/>
      <c r="H1892" s="2"/>
      <c r="I1892" s="2"/>
      <c r="J1892" s="2"/>
      <c r="K1892" s="2"/>
      <c r="L1892" s="2"/>
      <c r="M1892" s="2"/>
    </row>
    <row r="1893" spans="1:13" x14ac:dyDescent="0.3">
      <c r="A1893" s="2"/>
      <c r="B1893" s="2"/>
      <c r="C1893" s="2"/>
      <c r="D1893" s="2"/>
      <c r="E1893" s="4"/>
      <c r="F1893" s="2"/>
      <c r="G1893" s="2"/>
      <c r="H1893" s="2"/>
      <c r="I1893" s="2"/>
      <c r="J1893" s="2"/>
      <c r="K1893" s="2"/>
      <c r="L1893" s="2"/>
      <c r="M1893" s="2"/>
    </row>
    <row r="1894" spans="1:13" x14ac:dyDescent="0.3">
      <c r="A1894" s="2"/>
      <c r="B1894" s="2"/>
      <c r="C1894" s="2"/>
      <c r="D1894" s="2"/>
      <c r="E1894" s="4"/>
      <c r="F1894" s="2"/>
      <c r="G1894" s="2"/>
      <c r="H1894" s="2"/>
      <c r="I1894" s="2"/>
      <c r="J1894" s="2"/>
      <c r="K1894" s="2"/>
      <c r="L1894" s="2"/>
      <c r="M1894" s="2"/>
    </row>
    <row r="1895" spans="1:13" x14ac:dyDescent="0.3">
      <c r="A1895" s="2"/>
      <c r="B1895" s="2"/>
      <c r="C1895" s="2"/>
      <c r="D1895" s="2"/>
      <c r="E1895" s="4"/>
      <c r="F1895" s="2"/>
      <c r="G1895" s="2"/>
      <c r="H1895" s="2"/>
      <c r="I1895" s="2"/>
      <c r="J1895" s="2"/>
      <c r="K1895" s="2"/>
      <c r="L1895" s="2"/>
      <c r="M1895" s="2"/>
    </row>
    <row r="1896" spans="1:13" x14ac:dyDescent="0.3">
      <c r="A1896" s="2"/>
      <c r="B1896" s="2"/>
      <c r="C1896" s="2"/>
      <c r="D1896" s="2"/>
      <c r="E1896" s="4"/>
      <c r="F1896" s="2"/>
      <c r="G1896" s="2"/>
      <c r="H1896" s="2"/>
      <c r="I1896" s="2"/>
      <c r="J1896" s="2"/>
      <c r="K1896" s="2"/>
      <c r="L1896" s="2"/>
      <c r="M1896" s="2"/>
    </row>
    <row r="1897" spans="1:13" x14ac:dyDescent="0.3">
      <c r="A1897" s="2"/>
      <c r="B1897" s="2"/>
      <c r="C1897" s="2"/>
      <c r="D1897" s="2"/>
      <c r="E1897" s="4"/>
      <c r="F1897" s="2"/>
      <c r="G1897" s="2"/>
      <c r="H1897" s="2"/>
      <c r="I1897" s="2"/>
      <c r="J1897" s="2"/>
      <c r="K1897" s="2"/>
      <c r="L1897" s="2"/>
      <c r="M1897" s="2"/>
    </row>
    <row r="1898" spans="1:13" x14ac:dyDescent="0.3">
      <c r="A1898" s="2"/>
      <c r="B1898" s="2"/>
      <c r="C1898" s="2"/>
      <c r="D1898" s="2"/>
      <c r="E1898" s="4"/>
      <c r="F1898" s="2"/>
      <c r="G1898" s="2"/>
      <c r="H1898" s="2"/>
      <c r="I1898" s="2"/>
      <c r="J1898" s="2"/>
      <c r="K1898" s="2"/>
      <c r="L1898" s="2"/>
      <c r="M1898" s="2"/>
    </row>
    <row r="1899" spans="1:13" x14ac:dyDescent="0.3">
      <c r="A1899" s="2"/>
      <c r="B1899" s="2"/>
      <c r="C1899" s="2"/>
      <c r="D1899" s="2"/>
      <c r="E1899" s="4"/>
      <c r="F1899" s="2"/>
      <c r="G1899" s="2"/>
      <c r="H1899" s="2"/>
      <c r="I1899" s="2"/>
      <c r="J1899" s="2"/>
      <c r="K1899" s="2"/>
      <c r="L1899" s="2"/>
      <c r="M1899" s="2"/>
    </row>
    <row r="1900" spans="1:13" x14ac:dyDescent="0.3">
      <c r="A1900" s="2"/>
      <c r="B1900" s="2"/>
      <c r="C1900" s="2"/>
      <c r="D1900" s="2"/>
      <c r="E1900" s="4"/>
      <c r="F1900" s="2"/>
      <c r="G1900" s="2"/>
      <c r="H1900" s="2"/>
      <c r="I1900" s="2"/>
      <c r="J1900" s="2"/>
      <c r="K1900" s="2"/>
      <c r="L1900" s="2"/>
      <c r="M1900" s="2"/>
    </row>
    <row r="1901" spans="1:13" x14ac:dyDescent="0.3">
      <c r="A1901" s="2"/>
      <c r="B1901" s="2"/>
      <c r="C1901" s="2"/>
      <c r="D1901" s="2"/>
      <c r="E1901" s="4"/>
      <c r="F1901" s="2"/>
      <c r="G1901" s="2"/>
      <c r="H1901" s="2"/>
      <c r="I1901" s="2"/>
      <c r="J1901" s="2"/>
      <c r="K1901" s="2"/>
      <c r="L1901" s="2"/>
      <c r="M1901" s="2"/>
    </row>
    <row r="1902" spans="1:13" x14ac:dyDescent="0.3">
      <c r="A1902" s="2"/>
      <c r="B1902" s="2"/>
      <c r="C1902" s="2"/>
      <c r="D1902" s="2"/>
      <c r="E1902" s="4"/>
      <c r="F1902" s="2"/>
      <c r="G1902" s="2"/>
      <c r="H1902" s="2"/>
      <c r="I1902" s="2"/>
      <c r="J1902" s="2"/>
      <c r="K1902" s="2"/>
      <c r="L1902" s="2"/>
      <c r="M1902" s="2"/>
    </row>
    <row r="1903" spans="1:13" x14ac:dyDescent="0.3">
      <c r="A1903" s="2"/>
      <c r="B1903" s="2"/>
      <c r="C1903" s="2"/>
      <c r="D1903" s="2"/>
      <c r="E1903" s="4"/>
      <c r="F1903" s="2"/>
      <c r="G1903" s="2"/>
      <c r="H1903" s="2"/>
      <c r="I1903" s="2"/>
      <c r="J1903" s="2"/>
      <c r="K1903" s="2"/>
      <c r="L1903" s="2"/>
      <c r="M1903" s="2"/>
    </row>
    <row r="1904" spans="1:13" x14ac:dyDescent="0.3">
      <c r="A1904" s="2"/>
      <c r="B1904" s="2"/>
      <c r="C1904" s="2"/>
      <c r="D1904" s="2"/>
      <c r="E1904" s="4"/>
      <c r="F1904" s="2"/>
      <c r="G1904" s="2"/>
      <c r="H1904" s="2"/>
      <c r="I1904" s="2"/>
      <c r="J1904" s="2"/>
      <c r="K1904" s="2"/>
      <c r="L1904" s="2"/>
      <c r="M1904" s="2"/>
    </row>
    <row r="1905" spans="1:13" x14ac:dyDescent="0.3">
      <c r="A1905" s="2"/>
      <c r="B1905" s="2"/>
      <c r="C1905" s="2"/>
      <c r="D1905" s="2"/>
      <c r="E1905" s="4"/>
      <c r="F1905" s="2"/>
      <c r="G1905" s="2"/>
      <c r="H1905" s="2"/>
      <c r="I1905" s="2"/>
      <c r="J1905" s="2"/>
      <c r="K1905" s="2"/>
      <c r="L1905" s="2"/>
      <c r="M1905" s="2"/>
    </row>
    <row r="1906" spans="1:13" x14ac:dyDescent="0.3">
      <c r="A1906" s="2"/>
      <c r="B1906" s="2"/>
      <c r="C1906" s="2"/>
      <c r="D1906" s="2"/>
      <c r="E1906" s="4"/>
      <c r="F1906" s="2"/>
      <c r="G1906" s="2"/>
      <c r="H1906" s="2"/>
      <c r="I1906" s="2"/>
      <c r="J1906" s="2"/>
      <c r="K1906" s="2"/>
      <c r="L1906" s="2"/>
      <c r="M1906" s="2"/>
    </row>
    <row r="1907" spans="1:13" x14ac:dyDescent="0.3">
      <c r="A1907" s="2"/>
      <c r="B1907" s="2"/>
      <c r="C1907" s="2"/>
      <c r="D1907" s="2"/>
      <c r="E1907" s="4"/>
      <c r="F1907" s="2"/>
      <c r="G1907" s="2"/>
      <c r="H1907" s="2"/>
      <c r="I1907" s="2"/>
      <c r="J1907" s="2"/>
      <c r="K1907" s="2"/>
      <c r="L1907" s="2"/>
      <c r="M1907" s="2"/>
    </row>
    <row r="1908" spans="1:13" x14ac:dyDescent="0.3">
      <c r="A1908" s="2"/>
      <c r="B1908" s="2"/>
      <c r="C1908" s="2"/>
      <c r="D1908" s="2"/>
      <c r="E1908" s="4"/>
      <c r="F1908" s="2"/>
      <c r="G1908" s="2"/>
      <c r="H1908" s="2"/>
      <c r="I1908" s="2"/>
      <c r="J1908" s="2"/>
      <c r="K1908" s="2"/>
      <c r="L1908" s="2"/>
      <c r="M1908" s="2"/>
    </row>
    <row r="1909" spans="1:13" x14ac:dyDescent="0.3">
      <c r="A1909" s="2"/>
      <c r="B1909" s="2"/>
      <c r="C1909" s="2"/>
      <c r="D1909" s="2"/>
      <c r="E1909" s="4"/>
      <c r="F1909" s="2"/>
      <c r="G1909" s="2"/>
      <c r="H1909" s="2"/>
      <c r="I1909" s="2"/>
      <c r="J1909" s="2"/>
      <c r="K1909" s="2"/>
      <c r="L1909" s="2"/>
      <c r="M1909" s="2"/>
    </row>
    <row r="1910" spans="1:13" x14ac:dyDescent="0.3">
      <c r="A1910" s="2"/>
      <c r="B1910" s="2"/>
      <c r="C1910" s="2"/>
      <c r="D1910" s="2"/>
      <c r="E1910" s="4"/>
      <c r="F1910" s="2"/>
      <c r="G1910" s="2"/>
      <c r="H1910" s="2"/>
      <c r="I1910" s="2"/>
      <c r="J1910" s="2"/>
      <c r="K1910" s="2"/>
      <c r="L1910" s="2"/>
      <c r="M1910" s="2"/>
    </row>
    <row r="1911" spans="1:13" x14ac:dyDescent="0.3">
      <c r="A1911" s="2"/>
      <c r="B1911" s="2"/>
      <c r="C1911" s="2"/>
      <c r="D1911" s="2"/>
      <c r="E1911" s="4"/>
      <c r="F1911" s="2"/>
      <c r="G1911" s="2"/>
      <c r="H1911" s="2"/>
      <c r="I1911" s="2"/>
      <c r="J1911" s="2"/>
      <c r="K1911" s="2"/>
      <c r="L1911" s="2"/>
      <c r="M1911" s="2"/>
    </row>
    <row r="1912" spans="1:13" x14ac:dyDescent="0.3">
      <c r="A1912" s="2"/>
      <c r="B1912" s="2"/>
      <c r="C1912" s="2"/>
      <c r="D1912" s="2"/>
      <c r="E1912" s="4"/>
      <c r="F1912" s="2"/>
      <c r="G1912" s="2"/>
      <c r="H1912" s="2"/>
      <c r="I1912" s="2"/>
      <c r="J1912" s="2"/>
      <c r="K1912" s="2"/>
      <c r="L1912" s="2"/>
      <c r="M1912" s="2"/>
    </row>
    <row r="1913" spans="1:13" x14ac:dyDescent="0.3">
      <c r="A1913" s="2"/>
      <c r="B1913" s="2"/>
      <c r="C1913" s="2"/>
      <c r="D1913" s="2"/>
      <c r="E1913" s="4"/>
      <c r="F1913" s="2"/>
      <c r="G1913" s="2"/>
      <c r="H1913" s="2"/>
      <c r="I1913" s="2"/>
      <c r="J1913" s="2"/>
      <c r="K1913" s="2"/>
      <c r="L1913" s="2"/>
      <c r="M1913" s="2"/>
    </row>
    <row r="1914" spans="1:13" x14ac:dyDescent="0.3">
      <c r="A1914" s="2"/>
      <c r="B1914" s="2"/>
      <c r="C1914" s="2"/>
      <c r="D1914" s="2"/>
      <c r="E1914" s="4"/>
      <c r="F1914" s="2"/>
      <c r="G1914" s="2"/>
      <c r="H1914" s="2"/>
      <c r="I1914" s="2"/>
      <c r="J1914" s="2"/>
      <c r="K1914" s="2"/>
      <c r="L1914" s="2"/>
      <c r="M1914" s="2"/>
    </row>
    <row r="1915" spans="1:13" x14ac:dyDescent="0.3">
      <c r="A1915" s="2"/>
      <c r="B1915" s="2"/>
      <c r="C1915" s="2"/>
      <c r="D1915" s="2"/>
      <c r="E1915" s="4"/>
      <c r="F1915" s="2"/>
      <c r="G1915" s="2"/>
      <c r="H1915" s="2"/>
      <c r="I1915" s="2"/>
      <c r="J1915" s="2"/>
      <c r="K1915" s="2"/>
      <c r="L1915" s="2"/>
      <c r="M1915" s="2"/>
    </row>
    <row r="1916" spans="1:13" x14ac:dyDescent="0.3">
      <c r="A1916" s="2"/>
      <c r="B1916" s="2"/>
      <c r="C1916" s="2"/>
      <c r="D1916" s="2"/>
      <c r="E1916" s="4"/>
      <c r="F1916" s="2"/>
      <c r="G1916" s="2"/>
      <c r="H1916" s="2"/>
      <c r="I1916" s="2"/>
      <c r="J1916" s="2"/>
      <c r="K1916" s="2"/>
      <c r="L1916" s="2"/>
      <c r="M1916" s="2"/>
    </row>
    <row r="1917" spans="1:13" x14ac:dyDescent="0.3">
      <c r="A1917" s="2"/>
      <c r="B1917" s="2"/>
      <c r="C1917" s="2"/>
      <c r="D1917" s="2"/>
      <c r="E1917" s="4"/>
      <c r="F1917" s="2"/>
      <c r="G1917" s="2"/>
      <c r="H1917" s="2"/>
      <c r="I1917" s="2"/>
      <c r="J1917" s="2"/>
      <c r="K1917" s="2"/>
      <c r="L1917" s="2"/>
      <c r="M1917" s="2"/>
    </row>
    <row r="1918" spans="1:13" x14ac:dyDescent="0.3">
      <c r="A1918" s="2"/>
      <c r="B1918" s="2"/>
      <c r="C1918" s="2"/>
      <c r="D1918" s="2"/>
      <c r="E1918" s="4"/>
      <c r="F1918" s="2"/>
      <c r="G1918" s="2"/>
      <c r="H1918" s="2"/>
      <c r="I1918" s="2"/>
      <c r="J1918" s="2"/>
      <c r="K1918" s="2"/>
      <c r="L1918" s="2"/>
      <c r="M1918" s="2"/>
    </row>
    <row r="1919" spans="1:13" x14ac:dyDescent="0.3">
      <c r="A1919" s="2"/>
      <c r="B1919" s="2"/>
      <c r="C1919" s="2"/>
      <c r="D1919" s="2"/>
      <c r="E1919" s="4"/>
      <c r="F1919" s="2"/>
      <c r="G1919" s="2"/>
      <c r="H1919" s="2"/>
      <c r="I1919" s="2"/>
      <c r="J1919" s="2"/>
      <c r="K1919" s="2"/>
      <c r="L1919" s="2"/>
      <c r="M1919" s="2"/>
    </row>
    <row r="1920" spans="1:13" x14ac:dyDescent="0.3">
      <c r="A1920" s="2"/>
      <c r="B1920" s="2"/>
      <c r="C1920" s="2"/>
      <c r="D1920" s="2"/>
      <c r="E1920" s="4"/>
      <c r="F1920" s="2"/>
      <c r="G1920" s="2"/>
      <c r="H1920" s="2"/>
      <c r="I1920" s="2"/>
      <c r="J1920" s="2"/>
      <c r="K1920" s="2"/>
      <c r="L1920" s="2"/>
      <c r="M1920" s="2"/>
    </row>
    <row r="1921" spans="1:13" x14ac:dyDescent="0.3">
      <c r="A1921" s="2"/>
      <c r="B1921" s="2"/>
      <c r="C1921" s="2"/>
      <c r="D1921" s="2"/>
      <c r="E1921" s="4"/>
      <c r="F1921" s="2"/>
      <c r="G1921" s="2"/>
      <c r="H1921" s="2"/>
      <c r="I1921" s="2"/>
      <c r="J1921" s="2"/>
      <c r="K1921" s="2"/>
      <c r="L1921" s="2"/>
      <c r="M1921" s="2"/>
    </row>
    <row r="1922" spans="1:13" x14ac:dyDescent="0.3">
      <c r="A1922" s="2"/>
      <c r="B1922" s="2"/>
      <c r="C1922" s="2"/>
      <c r="D1922" s="2"/>
      <c r="E1922" s="4"/>
      <c r="F1922" s="2"/>
      <c r="G1922" s="2"/>
      <c r="H1922" s="2"/>
      <c r="I1922" s="2"/>
      <c r="J1922" s="2"/>
      <c r="K1922" s="2"/>
      <c r="L1922" s="2"/>
      <c r="M1922" s="2"/>
    </row>
    <row r="1923" spans="1:13" x14ac:dyDescent="0.3">
      <c r="A1923" s="2"/>
      <c r="B1923" s="2"/>
      <c r="C1923" s="2"/>
      <c r="D1923" s="2"/>
      <c r="E1923" s="4"/>
      <c r="F1923" s="2"/>
      <c r="G1923" s="2"/>
      <c r="H1923" s="2"/>
      <c r="I1923" s="2"/>
      <c r="J1923" s="2"/>
      <c r="K1923" s="2"/>
      <c r="L1923" s="2"/>
      <c r="M1923" s="2"/>
    </row>
    <row r="1924" spans="1:13" x14ac:dyDescent="0.3">
      <c r="A1924" s="2"/>
      <c r="B1924" s="2"/>
      <c r="C1924" s="2"/>
      <c r="D1924" s="2"/>
      <c r="E1924" s="4"/>
      <c r="F1924" s="2"/>
      <c r="G1924" s="2"/>
      <c r="H1924" s="2"/>
      <c r="I1924" s="2"/>
      <c r="J1924" s="2"/>
      <c r="K1924" s="2"/>
      <c r="L1924" s="2"/>
      <c r="M1924" s="2"/>
    </row>
    <row r="1925" spans="1:13" x14ac:dyDescent="0.3">
      <c r="A1925" s="2"/>
      <c r="B1925" s="2"/>
      <c r="C1925" s="2"/>
      <c r="D1925" s="2"/>
      <c r="E1925" s="4"/>
      <c r="F1925" s="2"/>
      <c r="G1925" s="2"/>
      <c r="H1925" s="2"/>
      <c r="I1925" s="2"/>
      <c r="J1925" s="2"/>
      <c r="K1925" s="2"/>
      <c r="L1925" s="2"/>
      <c r="M1925" s="2"/>
    </row>
    <row r="1926" spans="1:13" x14ac:dyDescent="0.3">
      <c r="A1926" s="2"/>
      <c r="B1926" s="2"/>
      <c r="C1926" s="2"/>
      <c r="D1926" s="2"/>
      <c r="E1926" s="4"/>
      <c r="F1926" s="2"/>
      <c r="G1926" s="2"/>
      <c r="H1926" s="2"/>
      <c r="I1926" s="2"/>
      <c r="J1926" s="2"/>
      <c r="K1926" s="2"/>
      <c r="L1926" s="2"/>
      <c r="M1926" s="2"/>
    </row>
    <row r="1927" spans="1:13" x14ac:dyDescent="0.3">
      <c r="A1927" s="2"/>
      <c r="B1927" s="2"/>
      <c r="C1927" s="2"/>
      <c r="D1927" s="2"/>
      <c r="E1927" s="4"/>
      <c r="F1927" s="2"/>
      <c r="G1927" s="2"/>
      <c r="H1927" s="2"/>
      <c r="I1927" s="2"/>
      <c r="J1927" s="2"/>
      <c r="K1927" s="2"/>
      <c r="L1927" s="2"/>
      <c r="M1927" s="2"/>
    </row>
    <row r="1928" spans="1:13" x14ac:dyDescent="0.3">
      <c r="A1928" s="2"/>
      <c r="B1928" s="2"/>
      <c r="C1928" s="2"/>
      <c r="D1928" s="2"/>
      <c r="E1928" s="4"/>
      <c r="F1928" s="2"/>
      <c r="G1928" s="2"/>
      <c r="H1928" s="2"/>
      <c r="I1928" s="2"/>
      <c r="J1928" s="2"/>
      <c r="K1928" s="2"/>
      <c r="L1928" s="2"/>
      <c r="M1928" s="2"/>
    </row>
    <row r="1929" spans="1:13" x14ac:dyDescent="0.3">
      <c r="A1929" s="2"/>
      <c r="B1929" s="2"/>
      <c r="C1929" s="2"/>
      <c r="D1929" s="2"/>
      <c r="E1929" s="4"/>
      <c r="F1929" s="2"/>
      <c r="G1929" s="2"/>
      <c r="H1929" s="2"/>
      <c r="I1929" s="2"/>
      <c r="J1929" s="2"/>
      <c r="K1929" s="2"/>
      <c r="L1929" s="2"/>
      <c r="M1929" s="2"/>
    </row>
    <row r="1930" spans="1:13" x14ac:dyDescent="0.3">
      <c r="A1930" s="2"/>
      <c r="B1930" s="2"/>
      <c r="C1930" s="2"/>
      <c r="D1930" s="2"/>
      <c r="E1930" s="4"/>
      <c r="F1930" s="2"/>
      <c r="G1930" s="2"/>
      <c r="H1930" s="2"/>
      <c r="I1930" s="2"/>
      <c r="J1930" s="2"/>
      <c r="K1930" s="2"/>
      <c r="L1930" s="2"/>
      <c r="M1930" s="2"/>
    </row>
    <row r="1931" spans="1:13" x14ac:dyDescent="0.3">
      <c r="A1931" s="2"/>
      <c r="B1931" s="2"/>
      <c r="C1931" s="2"/>
      <c r="D1931" s="2"/>
      <c r="E1931" s="4"/>
      <c r="F1931" s="2"/>
      <c r="G1931" s="2"/>
      <c r="H1931" s="2"/>
      <c r="I1931" s="2"/>
      <c r="J1931" s="2"/>
      <c r="K1931" s="2"/>
      <c r="L1931" s="2"/>
      <c r="M1931" s="2"/>
    </row>
    <row r="1932" spans="1:13" x14ac:dyDescent="0.3">
      <c r="A1932" s="2"/>
      <c r="B1932" s="2"/>
      <c r="C1932" s="2"/>
      <c r="D1932" s="2"/>
      <c r="E1932" s="4"/>
      <c r="F1932" s="2"/>
      <c r="G1932" s="2"/>
      <c r="H1932" s="2"/>
      <c r="I1932" s="2"/>
      <c r="J1932" s="2"/>
      <c r="K1932" s="2"/>
      <c r="L1932" s="2"/>
      <c r="M1932" s="2"/>
    </row>
    <row r="1933" spans="1:13" x14ac:dyDescent="0.3">
      <c r="A1933" s="2"/>
      <c r="B1933" s="2"/>
      <c r="C1933" s="2"/>
      <c r="D1933" s="2"/>
      <c r="E1933" s="4"/>
      <c r="F1933" s="2"/>
      <c r="G1933" s="2"/>
      <c r="H1933" s="2"/>
      <c r="I1933" s="2"/>
      <c r="J1933" s="2"/>
      <c r="K1933" s="2"/>
      <c r="L1933" s="2"/>
      <c r="M1933" s="2"/>
    </row>
    <row r="1934" spans="1:13" x14ac:dyDescent="0.3">
      <c r="A1934" s="2"/>
      <c r="B1934" s="2"/>
      <c r="C1934" s="2"/>
      <c r="D1934" s="2"/>
      <c r="E1934" s="4"/>
      <c r="F1934" s="2"/>
      <c r="G1934" s="2"/>
      <c r="H1934" s="2"/>
      <c r="I1934" s="2"/>
      <c r="J1934" s="2"/>
      <c r="K1934" s="2"/>
      <c r="L1934" s="2"/>
      <c r="M1934" s="2"/>
    </row>
    <row r="1935" spans="1:13" x14ac:dyDescent="0.3">
      <c r="A1935" s="2"/>
      <c r="B1935" s="2"/>
      <c r="C1935" s="2"/>
      <c r="D1935" s="2"/>
      <c r="E1935" s="4"/>
      <c r="F1935" s="2"/>
      <c r="G1935" s="2"/>
      <c r="H1935" s="2"/>
      <c r="I1935" s="2"/>
      <c r="J1935" s="2"/>
      <c r="K1935" s="2"/>
      <c r="L1935" s="2"/>
      <c r="M1935" s="2"/>
    </row>
    <row r="1936" spans="1:13" x14ac:dyDescent="0.3">
      <c r="A1936" s="2"/>
      <c r="B1936" s="2"/>
      <c r="C1936" s="2"/>
      <c r="D1936" s="2"/>
      <c r="E1936" s="4"/>
      <c r="F1936" s="2"/>
      <c r="G1936" s="2"/>
      <c r="H1936" s="2"/>
      <c r="I1936" s="2"/>
      <c r="J1936" s="2"/>
      <c r="K1936" s="2"/>
      <c r="L1936" s="2"/>
      <c r="M1936" s="2"/>
    </row>
    <row r="1937" spans="1:13" x14ac:dyDescent="0.3">
      <c r="A1937" s="2"/>
      <c r="B1937" s="2"/>
      <c r="C1937" s="2"/>
      <c r="D1937" s="2"/>
      <c r="E1937" s="4"/>
      <c r="F1937" s="2"/>
      <c r="G1937" s="2"/>
      <c r="H1937" s="2"/>
      <c r="I1937" s="2"/>
      <c r="J1937" s="2"/>
      <c r="K1937" s="2"/>
      <c r="L1937" s="2"/>
      <c r="M1937" s="2"/>
    </row>
    <row r="1938" spans="1:13" x14ac:dyDescent="0.3">
      <c r="A1938" s="2"/>
      <c r="B1938" s="2"/>
      <c r="C1938" s="2"/>
      <c r="D1938" s="2"/>
      <c r="E1938" s="4"/>
      <c r="F1938" s="2"/>
      <c r="G1938" s="2"/>
      <c r="H1938" s="2"/>
      <c r="I1938" s="2"/>
      <c r="J1938" s="2"/>
      <c r="K1938" s="2"/>
      <c r="L1938" s="2"/>
      <c r="M1938" s="2"/>
    </row>
    <row r="1939" spans="1:13" x14ac:dyDescent="0.3">
      <c r="A1939" s="2"/>
      <c r="B1939" s="2"/>
      <c r="C1939" s="2"/>
      <c r="D1939" s="2"/>
      <c r="E1939" s="4"/>
      <c r="F1939" s="2"/>
      <c r="G1939" s="2"/>
      <c r="H1939" s="2"/>
      <c r="I1939" s="2"/>
      <c r="J1939" s="2"/>
      <c r="K1939" s="2"/>
      <c r="L1939" s="2"/>
      <c r="M1939" s="2"/>
    </row>
    <row r="1940" spans="1:13" x14ac:dyDescent="0.3">
      <c r="A1940" s="2"/>
      <c r="B1940" s="2"/>
      <c r="C1940" s="2"/>
      <c r="D1940" s="2"/>
      <c r="E1940" s="4"/>
      <c r="F1940" s="2"/>
      <c r="G1940" s="2"/>
      <c r="H1940" s="2"/>
      <c r="I1940" s="2"/>
      <c r="J1940" s="2"/>
      <c r="K1940" s="2"/>
      <c r="L1940" s="2"/>
      <c r="M1940" s="2"/>
    </row>
    <row r="1941" spans="1:13" x14ac:dyDescent="0.3">
      <c r="A1941" s="2"/>
      <c r="B1941" s="2"/>
      <c r="C1941" s="2"/>
      <c r="D1941" s="2"/>
      <c r="E1941" s="4"/>
      <c r="F1941" s="2"/>
      <c r="G1941" s="2"/>
      <c r="H1941" s="2"/>
      <c r="I1941" s="2"/>
      <c r="J1941" s="2"/>
      <c r="K1941" s="2"/>
      <c r="L1941" s="2"/>
      <c r="M1941" s="2"/>
    </row>
    <row r="1942" spans="1:13" x14ac:dyDescent="0.3">
      <c r="A1942" s="2"/>
      <c r="B1942" s="2"/>
      <c r="C1942" s="2"/>
      <c r="D1942" s="2"/>
      <c r="E1942" s="4"/>
      <c r="F1942" s="2"/>
      <c r="G1942" s="2"/>
      <c r="H1942" s="2"/>
      <c r="I1942" s="2"/>
      <c r="J1942" s="2"/>
      <c r="K1942" s="2"/>
      <c r="L1942" s="2"/>
      <c r="M1942" s="2"/>
    </row>
    <row r="1943" spans="1:13" x14ac:dyDescent="0.3">
      <c r="A1943" s="2"/>
      <c r="B1943" s="2"/>
      <c r="C1943" s="2"/>
      <c r="D1943" s="2"/>
      <c r="E1943" s="4"/>
      <c r="F1943" s="2"/>
      <c r="G1943" s="2"/>
      <c r="H1943" s="2"/>
      <c r="I1943" s="2"/>
      <c r="J1943" s="2"/>
      <c r="K1943" s="2"/>
      <c r="L1943" s="2"/>
      <c r="M1943" s="2"/>
    </row>
    <row r="1944" spans="1:13" x14ac:dyDescent="0.3">
      <c r="A1944" s="2"/>
      <c r="B1944" s="2"/>
      <c r="C1944" s="2"/>
      <c r="D1944" s="2"/>
      <c r="E1944" s="4"/>
      <c r="F1944" s="2"/>
      <c r="G1944" s="2"/>
      <c r="H1944" s="2"/>
      <c r="I1944" s="2"/>
      <c r="J1944" s="2"/>
      <c r="K1944" s="2"/>
      <c r="L1944" s="2"/>
      <c r="M1944" s="2"/>
    </row>
    <row r="1945" spans="1:13" x14ac:dyDescent="0.3">
      <c r="A1945" s="2"/>
      <c r="B1945" s="2"/>
      <c r="C1945" s="2"/>
      <c r="D1945" s="2"/>
      <c r="E1945" s="4"/>
      <c r="F1945" s="2"/>
      <c r="G1945" s="2"/>
      <c r="H1945" s="2"/>
      <c r="I1945" s="2"/>
      <c r="J1945" s="2"/>
      <c r="K1945" s="2"/>
      <c r="L1945" s="2"/>
      <c r="M1945" s="2"/>
    </row>
    <row r="1946" spans="1:13" x14ac:dyDescent="0.3">
      <c r="A1946" s="2"/>
      <c r="B1946" s="2"/>
      <c r="C1946" s="2"/>
      <c r="D1946" s="2"/>
      <c r="E1946" s="4"/>
      <c r="F1946" s="2"/>
      <c r="G1946" s="2"/>
      <c r="H1946" s="2"/>
      <c r="I1946" s="2"/>
      <c r="J1946" s="2"/>
      <c r="K1946" s="2"/>
      <c r="L1946" s="2"/>
      <c r="M1946" s="2"/>
    </row>
    <row r="1947" spans="1:13" x14ac:dyDescent="0.3">
      <c r="A1947" s="2"/>
      <c r="B1947" s="2"/>
      <c r="C1947" s="2"/>
      <c r="D1947" s="2"/>
      <c r="E1947" s="4"/>
      <c r="F1947" s="2"/>
      <c r="G1947" s="2"/>
      <c r="H1947" s="2"/>
      <c r="I1947" s="2"/>
      <c r="J1947" s="2"/>
      <c r="K1947" s="2"/>
      <c r="L1947" s="2"/>
      <c r="M1947" s="2"/>
    </row>
    <row r="1948" spans="1:13" x14ac:dyDescent="0.3">
      <c r="A1948" s="2"/>
      <c r="B1948" s="2"/>
      <c r="C1948" s="2"/>
      <c r="D1948" s="2"/>
      <c r="E1948" s="4"/>
      <c r="F1948" s="2"/>
      <c r="G1948" s="2"/>
      <c r="H1948" s="2"/>
      <c r="I1948" s="2"/>
      <c r="J1948" s="2"/>
      <c r="K1948" s="2"/>
      <c r="L1948" s="2"/>
      <c r="M1948" s="2"/>
    </row>
    <row r="1949" spans="1:13" x14ac:dyDescent="0.3">
      <c r="A1949" s="2"/>
      <c r="B1949" s="2"/>
      <c r="C1949" s="2"/>
      <c r="D1949" s="2"/>
      <c r="E1949" s="4"/>
      <c r="F1949" s="2"/>
      <c r="G1949" s="2"/>
      <c r="H1949" s="2"/>
      <c r="I1949" s="2"/>
      <c r="J1949" s="2"/>
      <c r="K1949" s="2"/>
      <c r="L1949" s="2"/>
      <c r="M1949" s="2"/>
    </row>
    <row r="1950" spans="1:13" x14ac:dyDescent="0.3">
      <c r="A1950" s="2"/>
      <c r="B1950" s="2"/>
      <c r="C1950" s="2"/>
      <c r="D1950" s="2"/>
      <c r="E1950" s="4"/>
      <c r="F1950" s="2"/>
      <c r="G1950" s="2"/>
      <c r="H1950" s="2"/>
      <c r="I1950" s="2"/>
      <c r="J1950" s="2"/>
      <c r="K1950" s="2"/>
      <c r="L1950" s="2"/>
      <c r="M1950" s="2"/>
    </row>
    <row r="1951" spans="1:13" x14ac:dyDescent="0.3">
      <c r="A1951" s="2"/>
      <c r="B1951" s="2"/>
      <c r="C1951" s="2"/>
      <c r="D1951" s="2"/>
      <c r="E1951" s="4"/>
      <c r="F1951" s="2"/>
      <c r="G1951" s="2"/>
      <c r="H1951" s="2"/>
      <c r="I1951" s="2"/>
      <c r="J1951" s="2"/>
      <c r="K1951" s="2"/>
      <c r="L1951" s="2"/>
      <c r="M1951" s="2"/>
    </row>
    <row r="1952" spans="1:13" x14ac:dyDescent="0.3">
      <c r="A1952" s="2"/>
      <c r="B1952" s="2"/>
      <c r="C1952" s="2"/>
      <c r="D1952" s="2"/>
      <c r="E1952" s="4"/>
      <c r="F1952" s="2"/>
      <c r="G1952" s="2"/>
      <c r="H1952" s="2"/>
      <c r="I1952" s="2"/>
      <c r="J1952" s="2"/>
      <c r="K1952" s="2"/>
      <c r="L1952" s="2"/>
      <c r="M1952" s="2"/>
    </row>
    <row r="1953" spans="1:13" x14ac:dyDescent="0.3">
      <c r="A1953" s="2"/>
      <c r="B1953" s="2"/>
      <c r="C1953" s="2"/>
      <c r="D1953" s="2"/>
      <c r="E1953" s="4"/>
      <c r="F1953" s="2"/>
      <c r="G1953" s="2"/>
      <c r="H1953" s="2"/>
      <c r="I1953" s="2"/>
      <c r="J1953" s="2"/>
      <c r="K1953" s="2"/>
      <c r="L1953" s="2"/>
      <c r="M1953" s="2"/>
    </row>
    <row r="1954" spans="1:13" x14ac:dyDescent="0.3">
      <c r="A1954" s="2"/>
      <c r="B1954" s="2"/>
      <c r="C1954" s="2"/>
      <c r="D1954" s="2"/>
      <c r="E1954" s="4"/>
      <c r="F1954" s="2"/>
      <c r="G1954" s="2"/>
      <c r="H1954" s="2"/>
      <c r="I1954" s="2"/>
      <c r="J1954" s="2"/>
      <c r="K1954" s="2"/>
      <c r="L1954" s="2"/>
      <c r="M1954" s="2"/>
    </row>
    <row r="1955" spans="1:13" x14ac:dyDescent="0.3">
      <c r="A1955" s="2"/>
      <c r="B1955" s="2"/>
      <c r="C1955" s="2"/>
      <c r="D1955" s="2"/>
      <c r="E1955" s="4"/>
      <c r="F1955" s="2"/>
      <c r="G1955" s="2"/>
      <c r="H1955" s="2"/>
      <c r="I1955" s="2"/>
      <c r="J1955" s="2"/>
      <c r="K1955" s="2"/>
      <c r="L1955" s="2"/>
      <c r="M1955" s="2"/>
    </row>
    <row r="1956" spans="1:13" x14ac:dyDescent="0.3">
      <c r="A1956" s="2"/>
      <c r="B1956" s="2"/>
      <c r="C1956" s="2"/>
      <c r="D1956" s="2"/>
      <c r="E1956" s="4"/>
      <c r="F1956" s="2"/>
      <c r="G1956" s="2"/>
      <c r="H1956" s="2"/>
      <c r="I1956" s="2"/>
      <c r="J1956" s="2"/>
      <c r="K1956" s="2"/>
      <c r="L1956" s="2"/>
      <c r="M1956" s="2"/>
    </row>
    <row r="1957" spans="1:13" x14ac:dyDescent="0.3">
      <c r="A1957" s="2"/>
      <c r="B1957" s="2"/>
      <c r="C1957" s="2"/>
      <c r="D1957" s="2"/>
      <c r="E1957" s="4"/>
      <c r="F1957" s="2"/>
      <c r="G1957" s="2"/>
      <c r="H1957" s="2"/>
      <c r="I1957" s="2"/>
      <c r="J1957" s="2"/>
      <c r="K1957" s="2"/>
      <c r="L1957" s="2"/>
      <c r="M1957" s="2"/>
    </row>
    <row r="1958" spans="1:13" x14ac:dyDescent="0.3">
      <c r="A1958" s="2"/>
      <c r="B1958" s="2"/>
      <c r="C1958" s="2"/>
      <c r="D1958" s="2"/>
      <c r="E1958" s="4"/>
      <c r="F1958" s="2"/>
      <c r="G1958" s="2"/>
      <c r="H1958" s="2"/>
      <c r="I1958" s="2"/>
      <c r="J1958" s="2"/>
      <c r="K1958" s="2"/>
      <c r="L1958" s="2"/>
      <c r="M1958" s="2"/>
    </row>
    <row r="1959" spans="1:13" x14ac:dyDescent="0.3">
      <c r="A1959" s="2"/>
      <c r="B1959" s="2"/>
      <c r="C1959" s="2"/>
      <c r="D1959" s="2"/>
      <c r="E1959" s="4"/>
      <c r="F1959" s="2"/>
      <c r="G1959" s="2"/>
      <c r="H1959" s="2"/>
      <c r="I1959" s="2"/>
      <c r="J1959" s="2"/>
      <c r="K1959" s="2"/>
      <c r="L1959" s="2"/>
      <c r="M1959" s="2"/>
    </row>
    <row r="1960" spans="1:13" x14ac:dyDescent="0.3">
      <c r="A1960" s="2"/>
      <c r="B1960" s="2"/>
      <c r="C1960" s="2"/>
      <c r="D1960" s="2"/>
      <c r="E1960" s="4"/>
      <c r="F1960" s="2"/>
      <c r="G1960" s="2"/>
      <c r="H1960" s="2"/>
      <c r="I1960" s="2"/>
      <c r="J1960" s="2"/>
      <c r="K1960" s="2"/>
      <c r="L1960" s="2"/>
      <c r="M1960" s="2"/>
    </row>
    <row r="1961" spans="1:13" x14ac:dyDescent="0.3">
      <c r="A1961" s="2"/>
      <c r="B1961" s="2"/>
      <c r="C1961" s="2"/>
      <c r="D1961" s="2"/>
      <c r="E1961" s="4"/>
      <c r="F1961" s="2"/>
      <c r="G1961" s="2"/>
      <c r="H1961" s="2"/>
      <c r="I1961" s="2"/>
      <c r="J1961" s="2"/>
      <c r="K1961" s="2"/>
      <c r="L1961" s="2"/>
      <c r="M1961" s="2"/>
    </row>
    <row r="1962" spans="1:13" x14ac:dyDescent="0.3">
      <c r="A1962" s="2"/>
      <c r="B1962" s="2"/>
      <c r="C1962" s="2"/>
      <c r="D1962" s="2"/>
      <c r="E1962" s="4"/>
      <c r="F1962" s="2"/>
      <c r="G1962" s="2"/>
      <c r="H1962" s="2"/>
      <c r="I1962" s="2"/>
      <c r="J1962" s="2"/>
      <c r="K1962" s="2"/>
      <c r="L1962" s="2"/>
      <c r="M1962" s="2"/>
    </row>
    <row r="1963" spans="1:13" x14ac:dyDescent="0.3">
      <c r="A1963" s="2"/>
      <c r="B1963" s="2"/>
      <c r="C1963" s="2"/>
      <c r="D1963" s="2"/>
      <c r="E1963" s="4"/>
      <c r="F1963" s="2"/>
      <c r="G1963" s="2"/>
      <c r="H1963" s="2"/>
      <c r="I1963" s="2"/>
      <c r="J1963" s="2"/>
      <c r="K1963" s="2"/>
      <c r="L1963" s="2"/>
      <c r="M1963" s="2"/>
    </row>
    <row r="1964" spans="1:13" x14ac:dyDescent="0.3">
      <c r="A1964" s="2"/>
      <c r="B1964" s="2"/>
      <c r="C1964" s="2"/>
      <c r="D1964" s="2"/>
      <c r="E1964" s="4"/>
      <c r="F1964" s="2"/>
      <c r="G1964" s="2"/>
      <c r="H1964" s="2"/>
      <c r="I1964" s="2"/>
      <c r="J1964" s="2"/>
      <c r="K1964" s="2"/>
      <c r="L1964" s="2"/>
      <c r="M1964" s="2"/>
    </row>
    <row r="1965" spans="1:13" x14ac:dyDescent="0.3">
      <c r="A1965" s="2"/>
      <c r="B1965" s="2"/>
      <c r="C1965" s="2"/>
      <c r="D1965" s="2"/>
      <c r="E1965" s="4"/>
      <c r="F1965" s="2"/>
      <c r="G1965" s="2"/>
      <c r="H1965" s="2"/>
      <c r="I1965" s="2"/>
      <c r="J1965" s="2"/>
      <c r="K1965" s="2"/>
      <c r="L1965" s="2"/>
      <c r="M1965" s="2"/>
    </row>
    <row r="1966" spans="1:13" x14ac:dyDescent="0.3">
      <c r="A1966" s="2"/>
      <c r="B1966" s="2"/>
      <c r="C1966" s="2"/>
      <c r="D1966" s="2"/>
      <c r="E1966" s="4"/>
      <c r="F1966" s="2"/>
      <c r="G1966" s="2"/>
      <c r="H1966" s="2"/>
      <c r="I1966" s="2"/>
      <c r="J1966" s="2"/>
      <c r="K1966" s="2"/>
      <c r="L1966" s="2"/>
      <c r="M1966" s="2"/>
    </row>
    <row r="1967" spans="1:13" x14ac:dyDescent="0.3">
      <c r="A1967" s="2"/>
      <c r="B1967" s="2"/>
      <c r="C1967" s="2"/>
      <c r="D1967" s="2"/>
      <c r="E1967" s="4"/>
      <c r="F1967" s="2"/>
      <c r="G1967" s="2"/>
      <c r="H1967" s="2"/>
      <c r="I1967" s="2"/>
      <c r="J1967" s="2"/>
      <c r="K1967" s="2"/>
      <c r="L1967" s="2"/>
      <c r="M1967" s="2"/>
    </row>
    <row r="1968" spans="1:13" x14ac:dyDescent="0.3">
      <c r="A1968" s="2"/>
      <c r="B1968" s="2"/>
      <c r="C1968" s="2"/>
      <c r="D1968" s="2"/>
      <c r="E1968" s="4"/>
      <c r="F1968" s="2"/>
      <c r="G1968" s="2"/>
      <c r="H1968" s="2"/>
      <c r="I1968" s="2"/>
      <c r="J1968" s="2"/>
      <c r="K1968" s="2"/>
      <c r="L1968" s="2"/>
      <c r="M1968" s="2"/>
    </row>
    <row r="1969" spans="1:13" x14ac:dyDescent="0.3">
      <c r="A1969" s="2"/>
      <c r="B1969" s="2"/>
      <c r="C1969" s="2"/>
      <c r="D1969" s="2"/>
      <c r="E1969" s="4"/>
      <c r="F1969" s="2"/>
      <c r="G1969" s="2"/>
      <c r="H1969" s="2"/>
      <c r="I1969" s="2"/>
      <c r="J1969" s="2"/>
      <c r="K1969" s="2"/>
      <c r="L1969" s="2"/>
      <c r="M1969" s="2"/>
    </row>
    <row r="1970" spans="1:13" x14ac:dyDescent="0.3">
      <c r="A1970" s="2"/>
      <c r="B1970" s="2"/>
      <c r="C1970" s="2"/>
      <c r="D1970" s="2"/>
      <c r="E1970" s="4"/>
      <c r="F1970" s="2"/>
      <c r="G1970" s="2"/>
      <c r="H1970" s="2"/>
      <c r="I1970" s="2"/>
      <c r="J1970" s="2"/>
      <c r="K1970" s="2"/>
      <c r="L1970" s="2"/>
      <c r="M1970" s="2"/>
    </row>
    <row r="1971" spans="1:13" x14ac:dyDescent="0.3">
      <c r="A1971" s="2"/>
      <c r="B1971" s="2"/>
      <c r="C1971" s="2"/>
      <c r="D1971" s="2"/>
      <c r="E1971" s="4"/>
      <c r="F1971" s="2"/>
      <c r="G1971" s="2"/>
      <c r="H1971" s="2"/>
      <c r="I1971" s="2"/>
      <c r="J1971" s="2"/>
      <c r="K1971" s="2"/>
      <c r="L1971" s="2"/>
      <c r="M1971" s="2"/>
    </row>
    <row r="1972" spans="1:13" x14ac:dyDescent="0.3">
      <c r="A1972" s="2"/>
      <c r="B1972" s="2"/>
      <c r="C1972" s="2"/>
      <c r="D1972" s="2"/>
      <c r="E1972" s="4"/>
      <c r="F1972" s="2"/>
      <c r="G1972" s="2"/>
      <c r="H1972" s="2"/>
      <c r="I1972" s="2"/>
      <c r="J1972" s="2"/>
      <c r="K1972" s="2"/>
      <c r="L1972" s="2"/>
      <c r="M1972" s="2"/>
    </row>
    <row r="1973" spans="1:13" x14ac:dyDescent="0.3">
      <c r="A1973" s="2"/>
      <c r="B1973" s="2"/>
      <c r="C1973" s="2"/>
      <c r="D1973" s="2"/>
      <c r="E1973" s="4"/>
      <c r="F1973" s="2"/>
      <c r="G1973" s="2"/>
      <c r="H1973" s="2"/>
      <c r="I1973" s="2"/>
      <c r="J1973" s="2"/>
      <c r="K1973" s="2"/>
      <c r="L1973" s="2"/>
      <c r="M1973" s="2"/>
    </row>
    <row r="1974" spans="1:13" x14ac:dyDescent="0.3">
      <c r="A1974" s="2"/>
      <c r="B1974" s="2"/>
      <c r="C1974" s="2"/>
      <c r="D1974" s="2"/>
      <c r="E1974" s="4"/>
      <c r="F1974" s="2"/>
      <c r="G1974" s="2"/>
      <c r="H1974" s="2"/>
      <c r="I1974" s="2"/>
      <c r="J1974" s="2"/>
      <c r="K1974" s="2"/>
      <c r="L1974" s="2"/>
      <c r="M1974" s="2"/>
    </row>
    <row r="1975" spans="1:13" x14ac:dyDescent="0.3">
      <c r="A1975" s="2"/>
      <c r="B1975" s="2"/>
      <c r="C1975" s="2"/>
      <c r="D1975" s="2"/>
      <c r="E1975" s="4"/>
      <c r="F1975" s="2"/>
      <c r="G1975" s="2"/>
      <c r="H1975" s="2"/>
      <c r="I1975" s="2"/>
      <c r="J1975" s="2"/>
      <c r="K1975" s="2"/>
      <c r="L1975" s="2"/>
      <c r="M1975" s="2"/>
    </row>
    <row r="1976" spans="1:13" x14ac:dyDescent="0.3">
      <c r="A1976" s="2"/>
      <c r="B1976" s="2"/>
      <c r="C1976" s="2"/>
      <c r="D1976" s="2"/>
      <c r="E1976" s="4"/>
      <c r="F1976" s="2"/>
      <c r="G1976" s="2"/>
      <c r="H1976" s="2"/>
      <c r="I1976" s="2"/>
      <c r="J1976" s="2"/>
      <c r="K1976" s="2"/>
      <c r="L1976" s="2"/>
      <c r="M1976" s="2"/>
    </row>
    <row r="1977" spans="1:13" x14ac:dyDescent="0.3">
      <c r="A1977" s="2"/>
      <c r="B1977" s="2"/>
      <c r="C1977" s="2"/>
      <c r="D1977" s="2"/>
      <c r="E1977" s="4"/>
      <c r="F1977" s="2"/>
      <c r="G1977" s="2"/>
      <c r="H1977" s="2"/>
      <c r="I1977" s="2"/>
      <c r="J1977" s="2"/>
      <c r="K1977" s="2"/>
      <c r="L1977" s="2"/>
      <c r="M1977" s="2"/>
    </row>
    <row r="1978" spans="1:13" x14ac:dyDescent="0.3">
      <c r="A1978" s="2"/>
      <c r="B1978" s="2"/>
      <c r="C1978" s="2"/>
      <c r="D1978" s="2"/>
      <c r="E1978" s="4"/>
      <c r="F1978" s="2"/>
      <c r="G1978" s="2"/>
      <c r="H1978" s="2"/>
      <c r="I1978" s="2"/>
      <c r="J1978" s="2"/>
      <c r="K1978" s="2"/>
      <c r="L1978" s="2"/>
      <c r="M1978" s="2"/>
    </row>
    <row r="1979" spans="1:13" x14ac:dyDescent="0.3">
      <c r="A1979" s="2"/>
      <c r="B1979" s="2"/>
      <c r="C1979" s="2"/>
      <c r="D1979" s="2"/>
      <c r="E1979" s="4"/>
      <c r="F1979" s="2"/>
      <c r="G1979" s="2"/>
      <c r="H1979" s="2"/>
      <c r="I1979" s="2"/>
      <c r="J1979" s="2"/>
      <c r="K1979" s="2"/>
      <c r="L1979" s="2"/>
      <c r="M1979" s="2"/>
    </row>
    <row r="1980" spans="1:13" x14ac:dyDescent="0.3">
      <c r="A1980" s="2"/>
      <c r="B1980" s="2"/>
      <c r="C1980" s="2"/>
      <c r="D1980" s="2"/>
      <c r="E1980" s="4"/>
      <c r="F1980" s="2"/>
      <c r="G1980" s="2"/>
      <c r="H1980" s="2"/>
      <c r="I1980" s="2"/>
      <c r="J1980" s="2"/>
      <c r="K1980" s="2"/>
      <c r="L1980" s="2"/>
      <c r="M1980" s="2"/>
    </row>
    <row r="1981" spans="1:13" x14ac:dyDescent="0.3">
      <c r="A1981" s="2"/>
      <c r="B1981" s="2"/>
      <c r="C1981" s="2"/>
      <c r="D1981" s="2"/>
      <c r="E1981" s="4"/>
      <c r="F1981" s="2"/>
      <c r="G1981" s="2"/>
      <c r="H1981" s="2"/>
      <c r="I1981" s="2"/>
      <c r="J1981" s="2"/>
      <c r="K1981" s="2"/>
      <c r="L1981" s="2"/>
      <c r="M1981" s="2"/>
    </row>
    <row r="1982" spans="1:13" x14ac:dyDescent="0.3">
      <c r="A1982" s="2"/>
      <c r="B1982" s="2"/>
      <c r="C1982" s="2"/>
      <c r="D1982" s="2"/>
      <c r="E1982" s="4"/>
      <c r="F1982" s="2"/>
      <c r="G1982" s="2"/>
      <c r="H1982" s="2"/>
      <c r="I1982" s="2"/>
      <c r="J1982" s="2"/>
      <c r="K1982" s="2"/>
      <c r="L1982" s="2"/>
      <c r="M1982" s="2"/>
    </row>
    <row r="1983" spans="1:13" x14ac:dyDescent="0.3">
      <c r="A1983" s="2"/>
      <c r="B1983" s="2"/>
      <c r="C1983" s="2"/>
      <c r="D1983" s="2"/>
      <c r="E1983" s="4"/>
      <c r="F1983" s="2"/>
      <c r="G1983" s="2"/>
      <c r="H1983" s="2"/>
      <c r="I1983" s="2"/>
      <c r="J1983" s="2"/>
      <c r="K1983" s="2"/>
      <c r="L1983" s="2"/>
      <c r="M1983" s="2"/>
    </row>
    <row r="1984" spans="1:13" x14ac:dyDescent="0.3">
      <c r="A1984" s="2"/>
      <c r="B1984" s="2"/>
      <c r="C1984" s="2"/>
      <c r="D1984" s="2"/>
      <c r="E1984" s="4"/>
      <c r="F1984" s="2"/>
      <c r="G1984" s="2"/>
      <c r="H1984" s="2"/>
      <c r="I1984" s="2"/>
      <c r="J1984" s="2"/>
      <c r="K1984" s="2"/>
      <c r="L1984" s="2"/>
      <c r="M1984" s="2"/>
    </row>
    <row r="1985" spans="1:13" x14ac:dyDescent="0.3">
      <c r="A1985" s="2"/>
      <c r="B1985" s="2"/>
      <c r="C1985" s="2"/>
      <c r="D1985" s="2"/>
      <c r="E1985" s="4"/>
      <c r="F1985" s="2"/>
      <c r="G1985" s="2"/>
      <c r="H1985" s="2"/>
      <c r="I1985" s="2"/>
      <c r="J1985" s="2"/>
      <c r="K1985" s="2"/>
      <c r="L1985" s="2"/>
      <c r="M1985" s="2"/>
    </row>
    <row r="1986" spans="1:13" x14ac:dyDescent="0.3">
      <c r="A1986" s="2"/>
      <c r="B1986" s="2"/>
      <c r="C1986" s="2"/>
      <c r="D1986" s="2"/>
      <c r="E1986" s="4"/>
      <c r="F1986" s="2"/>
      <c r="G1986" s="2"/>
      <c r="H1986" s="2"/>
      <c r="I1986" s="2"/>
      <c r="J1986" s="2"/>
      <c r="K1986" s="2"/>
      <c r="L1986" s="2"/>
      <c r="M1986" s="2"/>
    </row>
    <row r="1987" spans="1:13" x14ac:dyDescent="0.3">
      <c r="A1987" s="2"/>
      <c r="B1987" s="2"/>
      <c r="C1987" s="2"/>
      <c r="D1987" s="2"/>
      <c r="E1987" s="4"/>
      <c r="F1987" s="2"/>
      <c r="G1987" s="2"/>
      <c r="H1987" s="2"/>
      <c r="I1987" s="2"/>
      <c r="J1987" s="2"/>
      <c r="K1987" s="2"/>
      <c r="L1987" s="2"/>
      <c r="M1987" s="2"/>
    </row>
    <row r="1988" spans="1:13" x14ac:dyDescent="0.3">
      <c r="A1988" s="2"/>
      <c r="B1988" s="2"/>
      <c r="C1988" s="2"/>
      <c r="D1988" s="2"/>
      <c r="E1988" s="4"/>
      <c r="F1988" s="2"/>
      <c r="G1988" s="2"/>
      <c r="H1988" s="2"/>
      <c r="I1988" s="2"/>
      <c r="J1988" s="2"/>
      <c r="K1988" s="2"/>
      <c r="L1988" s="2"/>
      <c r="M1988" s="2"/>
    </row>
    <row r="1989" spans="1:13" x14ac:dyDescent="0.3">
      <c r="A1989" s="2"/>
      <c r="B1989" s="2"/>
      <c r="C1989" s="2"/>
      <c r="D1989" s="2"/>
      <c r="E1989" s="4"/>
      <c r="F1989" s="2"/>
      <c r="G1989" s="2"/>
      <c r="H1989" s="2"/>
      <c r="I1989" s="2"/>
      <c r="J1989" s="2"/>
      <c r="K1989" s="2"/>
      <c r="L1989" s="2"/>
      <c r="M1989" s="2"/>
    </row>
    <row r="1990" spans="1:13" x14ac:dyDescent="0.3">
      <c r="A1990" s="2"/>
      <c r="B1990" s="2"/>
      <c r="C1990" s="2"/>
      <c r="D1990" s="2"/>
      <c r="E1990" s="4"/>
      <c r="F1990" s="2"/>
      <c r="G1990" s="2"/>
      <c r="H1990" s="2"/>
      <c r="I1990" s="2"/>
      <c r="J1990" s="2"/>
      <c r="K1990" s="2"/>
      <c r="L1990" s="2"/>
      <c r="M1990" s="2"/>
    </row>
    <row r="1991" spans="1:13" x14ac:dyDescent="0.3">
      <c r="A1991" s="2"/>
      <c r="B1991" s="2"/>
      <c r="C1991" s="2"/>
      <c r="D1991" s="2"/>
      <c r="E1991" s="4"/>
      <c r="F1991" s="2"/>
      <c r="G1991" s="2"/>
      <c r="H1991" s="2"/>
      <c r="I1991" s="2"/>
      <c r="J1991" s="2"/>
      <c r="K1991" s="2"/>
      <c r="L1991" s="2"/>
      <c r="M1991" s="2"/>
    </row>
    <row r="1992" spans="1:13" x14ac:dyDescent="0.3">
      <c r="A1992" s="2"/>
      <c r="B1992" s="2"/>
      <c r="C1992" s="2"/>
      <c r="D1992" s="2"/>
      <c r="E1992" s="4"/>
      <c r="F1992" s="2"/>
      <c r="G1992" s="2"/>
      <c r="H1992" s="2"/>
      <c r="I1992" s="2"/>
      <c r="J1992" s="2"/>
      <c r="K1992" s="2"/>
      <c r="L1992" s="2"/>
      <c r="M1992" s="2"/>
    </row>
    <row r="1993" spans="1:13" x14ac:dyDescent="0.3">
      <c r="A1993" s="2"/>
      <c r="B1993" s="2"/>
      <c r="C1993" s="2"/>
      <c r="D1993" s="2"/>
      <c r="E1993" s="4"/>
      <c r="F1993" s="2"/>
      <c r="G1993" s="2"/>
      <c r="H1993" s="2"/>
      <c r="I1993" s="2"/>
      <c r="J1993" s="2"/>
      <c r="K1993" s="2"/>
      <c r="L1993" s="2"/>
      <c r="M1993" s="2"/>
    </row>
    <row r="1994" spans="1:13" x14ac:dyDescent="0.3">
      <c r="A1994" s="2"/>
      <c r="B1994" s="2"/>
      <c r="C1994" s="2"/>
      <c r="D1994" s="2"/>
      <c r="E1994" s="4"/>
      <c r="F1994" s="2"/>
      <c r="G1994" s="2"/>
      <c r="H1994" s="2"/>
      <c r="I1994" s="2"/>
      <c r="J1994" s="2"/>
      <c r="K1994" s="2"/>
      <c r="L1994" s="2"/>
      <c r="M1994" s="2"/>
    </row>
    <row r="1995" spans="1:13" x14ac:dyDescent="0.3">
      <c r="A1995" s="2"/>
      <c r="B1995" s="2"/>
      <c r="C1995" s="2"/>
      <c r="D1995" s="2"/>
      <c r="E1995" s="4"/>
      <c r="F1995" s="2"/>
      <c r="G1995" s="2"/>
      <c r="H1995" s="2"/>
      <c r="I1995" s="2"/>
      <c r="J1995" s="2"/>
      <c r="K1995" s="2"/>
      <c r="L1995" s="2"/>
      <c r="M1995" s="2"/>
    </row>
    <row r="1996" spans="1:13" x14ac:dyDescent="0.3">
      <c r="A1996" s="2"/>
      <c r="B1996" s="2"/>
      <c r="C1996" s="2"/>
      <c r="D1996" s="2"/>
      <c r="E1996" s="4"/>
      <c r="F1996" s="2"/>
      <c r="G1996" s="2"/>
      <c r="H1996" s="2"/>
      <c r="I1996" s="2"/>
      <c r="J1996" s="2"/>
      <c r="K1996" s="2"/>
      <c r="L1996" s="2"/>
      <c r="M1996" s="2"/>
    </row>
    <row r="1997" spans="1:13" x14ac:dyDescent="0.3">
      <c r="A1997" s="2"/>
      <c r="B1997" s="2"/>
      <c r="C1997" s="2"/>
      <c r="D1997" s="2"/>
      <c r="E1997" s="4"/>
      <c r="F1997" s="2"/>
      <c r="G1997" s="2"/>
      <c r="H1997" s="2"/>
      <c r="I1997" s="2"/>
      <c r="J1997" s="2"/>
      <c r="K1997" s="2"/>
      <c r="L1997" s="2"/>
      <c r="M1997" s="2"/>
    </row>
    <row r="1998" spans="1:13" x14ac:dyDescent="0.3">
      <c r="A1998" s="2"/>
      <c r="B1998" s="2"/>
      <c r="C1998" s="2"/>
      <c r="D1998" s="2"/>
      <c r="E1998" s="4"/>
      <c r="F1998" s="2"/>
      <c r="G1998" s="2"/>
      <c r="H1998" s="2"/>
      <c r="I1998" s="2"/>
      <c r="J1998" s="2"/>
      <c r="K1998" s="2"/>
      <c r="L1998" s="2"/>
      <c r="M1998" s="2"/>
    </row>
    <row r="1999" spans="1:13" x14ac:dyDescent="0.3">
      <c r="A1999" s="2"/>
      <c r="B1999" s="2"/>
      <c r="C1999" s="2"/>
      <c r="D1999" s="2"/>
      <c r="E1999" s="4"/>
      <c r="F1999" s="2"/>
      <c r="G1999" s="2"/>
      <c r="H1999" s="2"/>
      <c r="I1999" s="2"/>
      <c r="J1999" s="2"/>
      <c r="K1999" s="2"/>
      <c r="L1999" s="2"/>
      <c r="M1999" s="2"/>
    </row>
    <row r="2000" spans="1:13" x14ac:dyDescent="0.3">
      <c r="A2000" s="2"/>
      <c r="B2000" s="2"/>
      <c r="C2000" s="2"/>
      <c r="D2000" s="2"/>
      <c r="E2000" s="4"/>
      <c r="F2000" s="2"/>
      <c r="G2000" s="2"/>
      <c r="H2000" s="2"/>
      <c r="I2000" s="2"/>
      <c r="J2000" s="2"/>
      <c r="K2000" s="2"/>
      <c r="L2000" s="2"/>
      <c r="M2000" s="2"/>
    </row>
    <row r="2001" spans="1:13" x14ac:dyDescent="0.3">
      <c r="A2001" s="2"/>
      <c r="B2001" s="2"/>
      <c r="C2001" s="2"/>
      <c r="D2001" s="2"/>
      <c r="E2001" s="4"/>
      <c r="F2001" s="2"/>
      <c r="G2001" s="2"/>
      <c r="H2001" s="2"/>
      <c r="I2001" s="2"/>
      <c r="J2001" s="2"/>
      <c r="K2001" s="2"/>
      <c r="L2001" s="2"/>
      <c r="M2001" s="2"/>
    </row>
    <row r="2002" spans="1:13" x14ac:dyDescent="0.3">
      <c r="A2002" s="2"/>
      <c r="B2002" s="2"/>
      <c r="C2002" s="2"/>
      <c r="D2002" s="2"/>
      <c r="E2002" s="4"/>
      <c r="F2002" s="2"/>
      <c r="G2002" s="2"/>
      <c r="H2002" s="2"/>
      <c r="I2002" s="2"/>
      <c r="J2002" s="2"/>
      <c r="K2002" s="2"/>
      <c r="L2002" s="2"/>
      <c r="M2002" s="2"/>
    </row>
    <row r="2003" spans="1:13" x14ac:dyDescent="0.3">
      <c r="A2003" s="2"/>
      <c r="B2003" s="2"/>
      <c r="C2003" s="2"/>
      <c r="D2003" s="2"/>
      <c r="E2003" s="4"/>
      <c r="F2003" s="2"/>
      <c r="G2003" s="2"/>
      <c r="H2003" s="2"/>
      <c r="I2003" s="2"/>
      <c r="J2003" s="2"/>
      <c r="K2003" s="2"/>
      <c r="L2003" s="2"/>
      <c r="M2003" s="2"/>
    </row>
    <row r="2004" spans="1:13" x14ac:dyDescent="0.3">
      <c r="A2004" s="2"/>
      <c r="B2004" s="2"/>
      <c r="C2004" s="2"/>
      <c r="D2004" s="2"/>
      <c r="E2004" s="4"/>
      <c r="F2004" s="2"/>
      <c r="G2004" s="2"/>
      <c r="H2004" s="2"/>
      <c r="I2004" s="2"/>
      <c r="J2004" s="2"/>
      <c r="K2004" s="2"/>
      <c r="L2004" s="2"/>
      <c r="M2004" s="2"/>
    </row>
    <row r="2005" spans="1:13" x14ac:dyDescent="0.3">
      <c r="A2005" s="2"/>
      <c r="B2005" s="2"/>
      <c r="C2005" s="2"/>
      <c r="D2005" s="2"/>
      <c r="E2005" s="4"/>
      <c r="F2005" s="2"/>
      <c r="G2005" s="2"/>
      <c r="H2005" s="2"/>
      <c r="I2005" s="2"/>
      <c r="J2005" s="2"/>
      <c r="K2005" s="2"/>
      <c r="L2005" s="2"/>
      <c r="M2005" s="2"/>
    </row>
    <row r="2006" spans="1:13" x14ac:dyDescent="0.3">
      <c r="A2006" s="2"/>
      <c r="B2006" s="2"/>
      <c r="C2006" s="2"/>
      <c r="D2006" s="2"/>
      <c r="E2006" s="4"/>
      <c r="F2006" s="2"/>
      <c r="G2006" s="2"/>
      <c r="H2006" s="2"/>
      <c r="I2006" s="2"/>
      <c r="J2006" s="2"/>
      <c r="K2006" s="2"/>
      <c r="L2006" s="2"/>
      <c r="M2006" s="2"/>
    </row>
    <row r="2007" spans="1:13" x14ac:dyDescent="0.3">
      <c r="A2007" s="2"/>
      <c r="B2007" s="2"/>
      <c r="C2007" s="2"/>
      <c r="D2007" s="2"/>
      <c r="E2007" s="4"/>
      <c r="F2007" s="2"/>
      <c r="G2007" s="2"/>
      <c r="H2007" s="2"/>
      <c r="I2007" s="2"/>
      <c r="J2007" s="2"/>
      <c r="K2007" s="2"/>
      <c r="L2007" s="2"/>
      <c r="M2007" s="2"/>
    </row>
    <row r="2008" spans="1:13" x14ac:dyDescent="0.3">
      <c r="A2008" s="2"/>
      <c r="B2008" s="2"/>
      <c r="C2008" s="2"/>
      <c r="D2008" s="2"/>
      <c r="E2008" s="4"/>
      <c r="F2008" s="2"/>
      <c r="G2008" s="2"/>
      <c r="H2008" s="2"/>
      <c r="I2008" s="2"/>
      <c r="J2008" s="2"/>
      <c r="K2008" s="2"/>
      <c r="L2008" s="2"/>
      <c r="M2008" s="2"/>
    </row>
    <row r="2009" spans="1:13" x14ac:dyDescent="0.3">
      <c r="A2009" s="2"/>
      <c r="B2009" s="2"/>
      <c r="C2009" s="2"/>
      <c r="D2009" s="2"/>
      <c r="E2009" s="4"/>
      <c r="F2009" s="2"/>
      <c r="G2009" s="2"/>
      <c r="H2009" s="2"/>
      <c r="I2009" s="2"/>
      <c r="J2009" s="2"/>
      <c r="K2009" s="2"/>
      <c r="L2009" s="2"/>
      <c r="M2009" s="2"/>
    </row>
    <row r="2010" spans="1:13" x14ac:dyDescent="0.3">
      <c r="A2010" s="2"/>
      <c r="B2010" s="2"/>
      <c r="C2010" s="2"/>
      <c r="D2010" s="2"/>
      <c r="E2010" s="4"/>
      <c r="F2010" s="2"/>
      <c r="G2010" s="2"/>
      <c r="H2010" s="2"/>
      <c r="I2010" s="2"/>
      <c r="J2010" s="2"/>
      <c r="K2010" s="2"/>
      <c r="L2010" s="2"/>
      <c r="M2010" s="2"/>
    </row>
    <row r="2011" spans="1:13" x14ac:dyDescent="0.3">
      <c r="A2011" s="2"/>
      <c r="B2011" s="2"/>
      <c r="C2011" s="2"/>
      <c r="D2011" s="2"/>
      <c r="E2011" s="4"/>
      <c r="F2011" s="2"/>
      <c r="G2011" s="2"/>
      <c r="H2011" s="2"/>
      <c r="I2011" s="2"/>
      <c r="J2011" s="2"/>
      <c r="K2011" s="2"/>
      <c r="L2011" s="2"/>
      <c r="M2011" s="2"/>
    </row>
    <row r="2012" spans="1:13" x14ac:dyDescent="0.3">
      <c r="A2012" s="2"/>
      <c r="B2012" s="2"/>
      <c r="C2012" s="2"/>
      <c r="D2012" s="2"/>
      <c r="E2012" s="4"/>
      <c r="F2012" s="2"/>
      <c r="G2012" s="2"/>
      <c r="H2012" s="2"/>
      <c r="I2012" s="2"/>
      <c r="J2012" s="2"/>
      <c r="K2012" s="2"/>
      <c r="L2012" s="2"/>
      <c r="M2012" s="2"/>
    </row>
    <row r="2013" spans="1:13" x14ac:dyDescent="0.3">
      <c r="A2013" s="2"/>
      <c r="B2013" s="2"/>
      <c r="C2013" s="2"/>
      <c r="D2013" s="2"/>
      <c r="E2013" s="4"/>
      <c r="F2013" s="2"/>
      <c r="G2013" s="2"/>
      <c r="H2013" s="2"/>
      <c r="I2013" s="2"/>
      <c r="J2013" s="2"/>
      <c r="K2013" s="2"/>
      <c r="L2013" s="2"/>
      <c r="M2013" s="2"/>
    </row>
    <row r="2014" spans="1:13" x14ac:dyDescent="0.3">
      <c r="A2014" s="2"/>
      <c r="B2014" s="2"/>
      <c r="C2014" s="2"/>
      <c r="D2014" s="2"/>
      <c r="E2014" s="4"/>
      <c r="F2014" s="2"/>
      <c r="G2014" s="2"/>
      <c r="H2014" s="2"/>
      <c r="I2014" s="2"/>
      <c r="J2014" s="2"/>
      <c r="K2014" s="2"/>
      <c r="L2014" s="2"/>
      <c r="M2014" s="2"/>
    </row>
    <row r="2015" spans="1:13" x14ac:dyDescent="0.3">
      <c r="A2015" s="2"/>
      <c r="B2015" s="2"/>
      <c r="C2015" s="2"/>
      <c r="D2015" s="2"/>
      <c r="E2015" s="4"/>
      <c r="F2015" s="2"/>
      <c r="G2015" s="2"/>
      <c r="H2015" s="2"/>
      <c r="I2015" s="2"/>
      <c r="J2015" s="2"/>
      <c r="K2015" s="2"/>
      <c r="L2015" s="2"/>
      <c r="M2015" s="2"/>
    </row>
    <row r="2016" spans="1:13" x14ac:dyDescent="0.3">
      <c r="A2016" s="2"/>
      <c r="B2016" s="2"/>
      <c r="C2016" s="2"/>
      <c r="D2016" s="2"/>
      <c r="E2016" s="4"/>
      <c r="F2016" s="2"/>
      <c r="G2016" s="2"/>
      <c r="H2016" s="2"/>
      <c r="I2016" s="2"/>
      <c r="J2016" s="2"/>
      <c r="K2016" s="2"/>
      <c r="L2016" s="2"/>
      <c r="M2016" s="2"/>
    </row>
    <row r="2017" spans="1:13" x14ac:dyDescent="0.3">
      <c r="A2017" s="2"/>
      <c r="B2017" s="2"/>
      <c r="C2017" s="2"/>
      <c r="D2017" s="2"/>
      <c r="E2017" s="4"/>
      <c r="F2017" s="2"/>
      <c r="G2017" s="2"/>
      <c r="H2017" s="2"/>
      <c r="I2017" s="2"/>
      <c r="J2017" s="2"/>
      <c r="K2017" s="2"/>
      <c r="L2017" s="2"/>
      <c r="M2017" s="2"/>
    </row>
    <row r="2018" spans="1:13" x14ac:dyDescent="0.3">
      <c r="A2018" s="2"/>
      <c r="B2018" s="2"/>
      <c r="C2018" s="2"/>
      <c r="D2018" s="2"/>
      <c r="E2018" s="4"/>
      <c r="F2018" s="2"/>
      <c r="G2018" s="2"/>
      <c r="H2018" s="2"/>
      <c r="I2018" s="2"/>
      <c r="J2018" s="2"/>
      <c r="K2018" s="2"/>
      <c r="L2018" s="2"/>
      <c r="M2018" s="2"/>
    </row>
    <row r="2019" spans="1:13" x14ac:dyDescent="0.3">
      <c r="A2019" s="2"/>
      <c r="B2019" s="2"/>
      <c r="C2019" s="2"/>
      <c r="D2019" s="2"/>
      <c r="E2019" s="4"/>
      <c r="F2019" s="2"/>
      <c r="G2019" s="2"/>
      <c r="H2019" s="2"/>
      <c r="I2019" s="2"/>
      <c r="J2019" s="2"/>
      <c r="K2019" s="2"/>
      <c r="L2019" s="2"/>
      <c r="M2019" s="2"/>
    </row>
    <row r="2020" spans="1:13" x14ac:dyDescent="0.3">
      <c r="A2020" s="2"/>
      <c r="B2020" s="2"/>
      <c r="C2020" s="2"/>
      <c r="D2020" s="2"/>
      <c r="E2020" s="4"/>
      <c r="F2020" s="2"/>
      <c r="G2020" s="2"/>
      <c r="H2020" s="2"/>
      <c r="I2020" s="2"/>
      <c r="J2020" s="2"/>
      <c r="K2020" s="2"/>
      <c r="L2020" s="2"/>
      <c r="M2020" s="2"/>
    </row>
    <row r="2021" spans="1:13" x14ac:dyDescent="0.3">
      <c r="A2021" s="2"/>
      <c r="B2021" s="2"/>
      <c r="C2021" s="2"/>
      <c r="D2021" s="2"/>
      <c r="E2021" s="4"/>
      <c r="F2021" s="2"/>
      <c r="G2021" s="2"/>
      <c r="H2021" s="2"/>
      <c r="I2021" s="2"/>
      <c r="J2021" s="2"/>
      <c r="K2021" s="2"/>
      <c r="L2021" s="2"/>
      <c r="M2021" s="2"/>
    </row>
    <row r="2022" spans="1:13" x14ac:dyDescent="0.3">
      <c r="A2022" s="2"/>
      <c r="B2022" s="2"/>
      <c r="C2022" s="2"/>
      <c r="D2022" s="2"/>
      <c r="E2022" s="4"/>
      <c r="F2022" s="2"/>
      <c r="G2022" s="2"/>
      <c r="H2022" s="2"/>
      <c r="I2022" s="2"/>
      <c r="J2022" s="2"/>
      <c r="K2022" s="2"/>
      <c r="L2022" s="2"/>
      <c r="M2022" s="2"/>
    </row>
    <row r="2023" spans="1:13" x14ac:dyDescent="0.3">
      <c r="A2023" s="2"/>
      <c r="B2023" s="2"/>
      <c r="C2023" s="2"/>
      <c r="D2023" s="2"/>
      <c r="E2023" s="4"/>
      <c r="F2023" s="2"/>
      <c r="G2023" s="2"/>
      <c r="H2023" s="2"/>
      <c r="I2023" s="2"/>
      <c r="J2023" s="2"/>
      <c r="K2023" s="2"/>
      <c r="L2023" s="2"/>
      <c r="M2023" s="2"/>
    </row>
    <row r="2024" spans="1:13" x14ac:dyDescent="0.3">
      <c r="A2024" s="2"/>
      <c r="B2024" s="2"/>
      <c r="C2024" s="2"/>
      <c r="D2024" s="2"/>
      <c r="E2024" s="4"/>
      <c r="F2024" s="2"/>
      <c r="G2024" s="2"/>
      <c r="H2024" s="2"/>
      <c r="I2024" s="2"/>
      <c r="J2024" s="2"/>
      <c r="K2024" s="2"/>
      <c r="L2024" s="2"/>
      <c r="M2024" s="2"/>
    </row>
    <row r="2025" spans="1:13" x14ac:dyDescent="0.3">
      <c r="A2025" s="2"/>
      <c r="B2025" s="2"/>
      <c r="C2025" s="2"/>
      <c r="D2025" s="2"/>
      <c r="E2025" s="4"/>
      <c r="F2025" s="2"/>
      <c r="G2025" s="2"/>
      <c r="H2025" s="2"/>
      <c r="I2025" s="2"/>
      <c r="J2025" s="2"/>
      <c r="K2025" s="2"/>
      <c r="L2025" s="2"/>
      <c r="M2025" s="2"/>
    </row>
    <row r="2026" spans="1:13" x14ac:dyDescent="0.3">
      <c r="A2026" s="2"/>
      <c r="B2026" s="2"/>
      <c r="C2026" s="2"/>
      <c r="D2026" s="2"/>
      <c r="E2026" s="4"/>
      <c r="F2026" s="2"/>
      <c r="G2026" s="2"/>
      <c r="H2026" s="2"/>
      <c r="I2026" s="2"/>
      <c r="J2026" s="2"/>
      <c r="K2026" s="2"/>
      <c r="L2026" s="2"/>
      <c r="M2026" s="2"/>
    </row>
    <row r="2027" spans="1:13" x14ac:dyDescent="0.3">
      <c r="A2027" s="2"/>
      <c r="B2027" s="2"/>
      <c r="C2027" s="2"/>
      <c r="D2027" s="2"/>
      <c r="E2027" s="4"/>
      <c r="F2027" s="2"/>
      <c r="G2027" s="2"/>
      <c r="H2027" s="2"/>
      <c r="I2027" s="2"/>
      <c r="J2027" s="2"/>
      <c r="K2027" s="2"/>
      <c r="L2027" s="2"/>
      <c r="M2027" s="2"/>
    </row>
    <row r="2028" spans="1:13" x14ac:dyDescent="0.3">
      <c r="A2028" s="2"/>
      <c r="B2028" s="2"/>
      <c r="C2028" s="2"/>
      <c r="D2028" s="2"/>
      <c r="E2028" s="4"/>
      <c r="F2028" s="2"/>
      <c r="G2028" s="2"/>
      <c r="H2028" s="2"/>
      <c r="I2028" s="2"/>
      <c r="J2028" s="2"/>
      <c r="K2028" s="2"/>
      <c r="L2028" s="2"/>
      <c r="M2028" s="2"/>
    </row>
    <row r="2029" spans="1:13" x14ac:dyDescent="0.3">
      <c r="A2029" s="2"/>
      <c r="B2029" s="2"/>
      <c r="C2029" s="2"/>
      <c r="D2029" s="2"/>
      <c r="E2029" s="4"/>
      <c r="F2029" s="2"/>
      <c r="G2029" s="2"/>
      <c r="H2029" s="2"/>
      <c r="I2029" s="2"/>
      <c r="J2029" s="2"/>
      <c r="K2029" s="2"/>
      <c r="L2029" s="2"/>
      <c r="M2029" s="2"/>
    </row>
    <row r="2030" spans="1:13" x14ac:dyDescent="0.3">
      <c r="A2030" s="2"/>
      <c r="B2030" s="2"/>
      <c r="C2030" s="2"/>
      <c r="D2030" s="2"/>
      <c r="E2030" s="4"/>
      <c r="F2030" s="2"/>
      <c r="G2030" s="2"/>
      <c r="H2030" s="2"/>
      <c r="I2030" s="2"/>
      <c r="J2030" s="2"/>
      <c r="K2030" s="2"/>
      <c r="L2030" s="2"/>
      <c r="M2030" s="2"/>
    </row>
    <row r="2031" spans="1:13" x14ac:dyDescent="0.3">
      <c r="A2031" s="2"/>
      <c r="B2031" s="2"/>
      <c r="C2031" s="2"/>
      <c r="D2031" s="2"/>
      <c r="E2031" s="4"/>
      <c r="F2031" s="2"/>
      <c r="G2031" s="2"/>
      <c r="H2031" s="2"/>
      <c r="I2031" s="2"/>
      <c r="J2031" s="2"/>
      <c r="K2031" s="2"/>
      <c r="L2031" s="2"/>
      <c r="M2031" s="2"/>
    </row>
    <row r="2032" spans="1:13" x14ac:dyDescent="0.3">
      <c r="A2032" s="2"/>
      <c r="B2032" s="2"/>
      <c r="C2032" s="2"/>
      <c r="D2032" s="2"/>
      <c r="E2032" s="4"/>
      <c r="F2032" s="2"/>
      <c r="G2032" s="2"/>
      <c r="H2032" s="2"/>
      <c r="I2032" s="2"/>
      <c r="J2032" s="2"/>
      <c r="K2032" s="2"/>
      <c r="L2032" s="2"/>
      <c r="M2032" s="2"/>
    </row>
    <row r="2033" spans="1:13" x14ac:dyDescent="0.3">
      <c r="A2033" s="2"/>
      <c r="B2033" s="2"/>
      <c r="C2033" s="2"/>
      <c r="D2033" s="2"/>
      <c r="E2033" s="4"/>
      <c r="F2033" s="2"/>
      <c r="G2033" s="2"/>
      <c r="H2033" s="2"/>
      <c r="I2033" s="2"/>
      <c r="J2033" s="2"/>
      <c r="K2033" s="2"/>
      <c r="L2033" s="2"/>
      <c r="M2033" s="2"/>
    </row>
    <row r="2034" spans="1:13" x14ac:dyDescent="0.3">
      <c r="A2034" s="2"/>
      <c r="B2034" s="2"/>
      <c r="C2034" s="2"/>
      <c r="D2034" s="2"/>
      <c r="E2034" s="4"/>
      <c r="F2034" s="2"/>
      <c r="G2034" s="2"/>
      <c r="H2034" s="2"/>
      <c r="I2034" s="2"/>
      <c r="J2034" s="2"/>
      <c r="K2034" s="2"/>
      <c r="L2034" s="2"/>
      <c r="M2034" s="2"/>
    </row>
    <row r="2035" spans="1:13" x14ac:dyDescent="0.3">
      <c r="A2035" s="2"/>
      <c r="B2035" s="2"/>
      <c r="C2035" s="2"/>
      <c r="D2035" s="2"/>
      <c r="E2035" s="4"/>
      <c r="F2035" s="2"/>
      <c r="G2035" s="2"/>
      <c r="H2035" s="2"/>
      <c r="I2035" s="2"/>
      <c r="J2035" s="2"/>
      <c r="K2035" s="2"/>
      <c r="L2035" s="2"/>
      <c r="M2035" s="2"/>
    </row>
    <row r="2036" spans="1:13" x14ac:dyDescent="0.3">
      <c r="A2036" s="2"/>
      <c r="B2036" s="2"/>
      <c r="C2036" s="2"/>
      <c r="D2036" s="2"/>
      <c r="E2036" s="4"/>
      <c r="F2036" s="2"/>
      <c r="G2036" s="2"/>
      <c r="H2036" s="2"/>
      <c r="I2036" s="2"/>
      <c r="J2036" s="2"/>
      <c r="K2036" s="2"/>
      <c r="L2036" s="2"/>
      <c r="M2036" s="2"/>
    </row>
    <row r="2037" spans="1:13" x14ac:dyDescent="0.3">
      <c r="A2037" s="2"/>
      <c r="B2037" s="2"/>
      <c r="C2037" s="2"/>
      <c r="D2037" s="2"/>
      <c r="E2037" s="4"/>
      <c r="F2037" s="2"/>
      <c r="G2037" s="2"/>
      <c r="H2037" s="2"/>
      <c r="I2037" s="2"/>
      <c r="J2037" s="2"/>
      <c r="K2037" s="2"/>
      <c r="L2037" s="2"/>
      <c r="M2037" s="2"/>
    </row>
    <row r="2038" spans="1:13" x14ac:dyDescent="0.3">
      <c r="A2038" s="2"/>
      <c r="B2038" s="2"/>
      <c r="C2038" s="2"/>
      <c r="D2038" s="2"/>
      <c r="E2038" s="4"/>
      <c r="F2038" s="2"/>
      <c r="G2038" s="2"/>
      <c r="H2038" s="2"/>
      <c r="I2038" s="2"/>
      <c r="J2038" s="2"/>
      <c r="K2038" s="2"/>
      <c r="L2038" s="2"/>
      <c r="M2038" s="2"/>
    </row>
    <row r="2039" spans="1:13" x14ac:dyDescent="0.3">
      <c r="A2039" s="2"/>
      <c r="B2039" s="2"/>
      <c r="C2039" s="2"/>
      <c r="D2039" s="2"/>
      <c r="E2039" s="4"/>
      <c r="F2039" s="2"/>
      <c r="G2039" s="2"/>
      <c r="H2039" s="2"/>
      <c r="I2039" s="2"/>
      <c r="J2039" s="2"/>
      <c r="K2039" s="2"/>
      <c r="L2039" s="2"/>
      <c r="M2039" s="2"/>
    </row>
    <row r="2040" spans="1:13" x14ac:dyDescent="0.3">
      <c r="A2040" s="2"/>
      <c r="B2040" s="2"/>
      <c r="C2040" s="2"/>
      <c r="D2040" s="2"/>
      <c r="E2040" s="4"/>
      <c r="F2040" s="2"/>
      <c r="G2040" s="2"/>
      <c r="H2040" s="2"/>
      <c r="I2040" s="2"/>
      <c r="J2040" s="2"/>
      <c r="K2040" s="2"/>
      <c r="L2040" s="2"/>
      <c r="M2040" s="2"/>
    </row>
    <row r="2041" spans="1:13" x14ac:dyDescent="0.3">
      <c r="A2041" s="2"/>
      <c r="B2041" s="2"/>
      <c r="C2041" s="2"/>
      <c r="D2041" s="2"/>
      <c r="E2041" s="4"/>
      <c r="F2041" s="2"/>
      <c r="G2041" s="2"/>
      <c r="H2041" s="2"/>
      <c r="I2041" s="2"/>
      <c r="J2041" s="2"/>
      <c r="K2041" s="2"/>
      <c r="L2041" s="2"/>
      <c r="M2041" s="2"/>
    </row>
    <row r="2042" spans="1:13" x14ac:dyDescent="0.3">
      <c r="A2042" s="2"/>
      <c r="B2042" s="2"/>
      <c r="C2042" s="2"/>
      <c r="D2042" s="2"/>
      <c r="E2042" s="4"/>
      <c r="F2042" s="2"/>
      <c r="G2042" s="2"/>
      <c r="H2042" s="2"/>
      <c r="I2042" s="2"/>
      <c r="J2042" s="2"/>
      <c r="K2042" s="2"/>
      <c r="L2042" s="2"/>
      <c r="M2042" s="2"/>
    </row>
    <row r="2043" spans="1:13" x14ac:dyDescent="0.3">
      <c r="A2043" s="2"/>
      <c r="B2043" s="2"/>
      <c r="C2043" s="2"/>
      <c r="D2043" s="2"/>
      <c r="E2043" s="4"/>
      <c r="F2043" s="2"/>
      <c r="G2043" s="2"/>
      <c r="H2043" s="2"/>
      <c r="I2043" s="2"/>
      <c r="J2043" s="2"/>
      <c r="K2043" s="2"/>
      <c r="L2043" s="2"/>
      <c r="M2043" s="2"/>
    </row>
    <row r="2044" spans="1:13" x14ac:dyDescent="0.3">
      <c r="A2044" s="2"/>
      <c r="B2044" s="2"/>
      <c r="C2044" s="2"/>
      <c r="D2044" s="2"/>
      <c r="E2044" s="4"/>
      <c r="F2044" s="2"/>
      <c r="G2044" s="2"/>
      <c r="H2044" s="2"/>
      <c r="I2044" s="2"/>
      <c r="J2044" s="2"/>
      <c r="K2044" s="2"/>
      <c r="L2044" s="2"/>
      <c r="M2044" s="2"/>
    </row>
    <row r="2045" spans="1:13" x14ac:dyDescent="0.3">
      <c r="A2045" s="2"/>
      <c r="B2045" s="2"/>
      <c r="C2045" s="2"/>
      <c r="D2045" s="2"/>
      <c r="E2045" s="4"/>
      <c r="F2045" s="2"/>
      <c r="G2045" s="2"/>
      <c r="H2045" s="2"/>
      <c r="I2045" s="2"/>
      <c r="J2045" s="2"/>
      <c r="K2045" s="2"/>
      <c r="L2045" s="2"/>
      <c r="M2045" s="2"/>
    </row>
    <row r="2046" spans="1:13" x14ac:dyDescent="0.3">
      <c r="A2046" s="2"/>
      <c r="B2046" s="2"/>
      <c r="C2046" s="2"/>
      <c r="D2046" s="2"/>
      <c r="E2046" s="4"/>
      <c r="F2046" s="2"/>
      <c r="G2046" s="2"/>
      <c r="H2046" s="2"/>
      <c r="I2046" s="2"/>
      <c r="J2046" s="2"/>
      <c r="K2046" s="2"/>
      <c r="L2046" s="2"/>
      <c r="M2046" s="2"/>
    </row>
    <row r="2047" spans="1:13" x14ac:dyDescent="0.3">
      <c r="A2047" s="2"/>
      <c r="B2047" s="2"/>
      <c r="C2047" s="2"/>
      <c r="D2047" s="2"/>
      <c r="E2047" s="4"/>
      <c r="F2047" s="2"/>
      <c r="G2047" s="2"/>
      <c r="H2047" s="2"/>
      <c r="I2047" s="2"/>
      <c r="J2047" s="2"/>
      <c r="K2047" s="2"/>
      <c r="L2047" s="2"/>
      <c r="M2047" s="2"/>
    </row>
    <row r="2048" spans="1:13" x14ac:dyDescent="0.3">
      <c r="A2048" s="2"/>
      <c r="B2048" s="2"/>
      <c r="C2048" s="2"/>
      <c r="D2048" s="2"/>
      <c r="E2048" s="4"/>
      <c r="F2048" s="2"/>
      <c r="G2048" s="2"/>
      <c r="H2048" s="2"/>
      <c r="I2048" s="2"/>
      <c r="J2048" s="2"/>
      <c r="K2048" s="2"/>
      <c r="L2048" s="2"/>
      <c r="M2048" s="2"/>
    </row>
    <row r="2049" spans="1:13" x14ac:dyDescent="0.3">
      <c r="A2049" s="2"/>
      <c r="B2049" s="2"/>
      <c r="C2049" s="2"/>
      <c r="D2049" s="2"/>
      <c r="E2049" s="4"/>
      <c r="F2049" s="2"/>
      <c r="G2049" s="2"/>
      <c r="H2049" s="2"/>
      <c r="I2049" s="2"/>
      <c r="J2049" s="2"/>
      <c r="K2049" s="2"/>
      <c r="L2049" s="2"/>
      <c r="M2049" s="2"/>
    </row>
    <row r="2050" spans="1:13" x14ac:dyDescent="0.3">
      <c r="A2050" s="2"/>
      <c r="B2050" s="2"/>
      <c r="C2050" s="2"/>
      <c r="D2050" s="2"/>
      <c r="E2050" s="4"/>
      <c r="F2050" s="2"/>
      <c r="G2050" s="2"/>
      <c r="H2050" s="2"/>
      <c r="I2050" s="2"/>
      <c r="J2050" s="2"/>
      <c r="K2050" s="2"/>
      <c r="L2050" s="2"/>
      <c r="M2050" s="2"/>
    </row>
    <row r="2051" spans="1:13" x14ac:dyDescent="0.3">
      <c r="A2051" s="2"/>
      <c r="B2051" s="2"/>
      <c r="C2051" s="2"/>
      <c r="D2051" s="2"/>
      <c r="E2051" s="4"/>
      <c r="F2051" s="2"/>
      <c r="G2051" s="2"/>
      <c r="H2051" s="2"/>
      <c r="I2051" s="2"/>
      <c r="J2051" s="2"/>
      <c r="K2051" s="2"/>
      <c r="L2051" s="2"/>
      <c r="M2051" s="2"/>
    </row>
    <row r="2052" spans="1:13" x14ac:dyDescent="0.3">
      <c r="A2052" s="2"/>
      <c r="B2052" s="2"/>
      <c r="C2052" s="2"/>
      <c r="D2052" s="2"/>
      <c r="E2052" s="4"/>
      <c r="F2052" s="2"/>
      <c r="G2052" s="2"/>
      <c r="H2052" s="2"/>
      <c r="I2052" s="2"/>
      <c r="J2052" s="2"/>
      <c r="K2052" s="2"/>
      <c r="L2052" s="2"/>
      <c r="M2052" s="2"/>
    </row>
    <row r="2053" spans="1:13" x14ac:dyDescent="0.3">
      <c r="A2053" s="2"/>
      <c r="B2053" s="2"/>
      <c r="C2053" s="2"/>
      <c r="D2053" s="2"/>
      <c r="E2053" s="4"/>
      <c r="F2053" s="2"/>
      <c r="G2053" s="2"/>
      <c r="H2053" s="2"/>
      <c r="I2053" s="2"/>
      <c r="J2053" s="2"/>
      <c r="K2053" s="2"/>
      <c r="L2053" s="2"/>
      <c r="M2053" s="2"/>
    </row>
    <row r="2054" spans="1:13" x14ac:dyDescent="0.3">
      <c r="A2054" s="2"/>
      <c r="B2054" s="2"/>
      <c r="C2054" s="2"/>
      <c r="D2054" s="2"/>
      <c r="E2054" s="4"/>
      <c r="F2054" s="2"/>
      <c r="G2054" s="2"/>
      <c r="H2054" s="2"/>
      <c r="I2054" s="2"/>
      <c r="J2054" s="2"/>
      <c r="K2054" s="2"/>
      <c r="L2054" s="2"/>
      <c r="M2054" s="2"/>
    </row>
    <row r="2055" spans="1:13" x14ac:dyDescent="0.3">
      <c r="A2055" s="2"/>
      <c r="B2055" s="2"/>
      <c r="C2055" s="2"/>
      <c r="D2055" s="2"/>
      <c r="E2055" s="4"/>
      <c r="F2055" s="2"/>
      <c r="G2055" s="2"/>
      <c r="H2055" s="2"/>
      <c r="I2055" s="2"/>
      <c r="J2055" s="2"/>
      <c r="K2055" s="2"/>
      <c r="L2055" s="2"/>
      <c r="M2055" s="2"/>
    </row>
    <row r="2056" spans="1:13" x14ac:dyDescent="0.3">
      <c r="A2056" s="2"/>
      <c r="B2056" s="2"/>
      <c r="C2056" s="2"/>
      <c r="D2056" s="2"/>
      <c r="E2056" s="4"/>
      <c r="F2056" s="2"/>
      <c r="G2056" s="2"/>
      <c r="H2056" s="2"/>
      <c r="I2056" s="2"/>
      <c r="J2056" s="2"/>
      <c r="K2056" s="2"/>
      <c r="L2056" s="2"/>
      <c r="M2056" s="2"/>
    </row>
    <row r="2057" spans="1:13" x14ac:dyDescent="0.3">
      <c r="A2057" s="2"/>
      <c r="B2057" s="2"/>
      <c r="C2057" s="2"/>
      <c r="D2057" s="2"/>
      <c r="E2057" s="4"/>
      <c r="F2057" s="2"/>
      <c r="G2057" s="2"/>
      <c r="H2057" s="2"/>
      <c r="I2057" s="2"/>
      <c r="J2057" s="2"/>
      <c r="K2057" s="2"/>
      <c r="L2057" s="2"/>
      <c r="M2057" s="2"/>
    </row>
    <row r="2058" spans="1:13" x14ac:dyDescent="0.3">
      <c r="A2058" s="2"/>
      <c r="B2058" s="2"/>
      <c r="C2058" s="2"/>
      <c r="D2058" s="2"/>
      <c r="E2058" s="4"/>
      <c r="F2058" s="2"/>
      <c r="G2058" s="2"/>
      <c r="H2058" s="2"/>
      <c r="I2058" s="2"/>
      <c r="J2058" s="2"/>
      <c r="K2058" s="2"/>
      <c r="L2058" s="2"/>
      <c r="M2058" s="2"/>
    </row>
    <row r="2059" spans="1:13" x14ac:dyDescent="0.3">
      <c r="A2059" s="2"/>
      <c r="B2059" s="2"/>
      <c r="C2059" s="2"/>
      <c r="D2059" s="2"/>
      <c r="E2059" s="4"/>
      <c r="F2059" s="2"/>
      <c r="G2059" s="2"/>
      <c r="H2059" s="2"/>
      <c r="I2059" s="2"/>
      <c r="J2059" s="2"/>
      <c r="K2059" s="2"/>
      <c r="L2059" s="2"/>
      <c r="M2059" s="2"/>
    </row>
    <row r="2060" spans="1:13" x14ac:dyDescent="0.3">
      <c r="A2060" s="2"/>
      <c r="B2060" s="2"/>
      <c r="C2060" s="2"/>
      <c r="D2060" s="2"/>
      <c r="E2060" s="4"/>
      <c r="F2060" s="2"/>
      <c r="G2060" s="2"/>
      <c r="H2060" s="2"/>
      <c r="I2060" s="2"/>
      <c r="J2060" s="2"/>
      <c r="K2060" s="2"/>
      <c r="L2060" s="2"/>
      <c r="M2060" s="2"/>
    </row>
    <row r="2061" spans="1:13" x14ac:dyDescent="0.3">
      <c r="A2061" s="2"/>
      <c r="B2061" s="2"/>
      <c r="C2061" s="2"/>
      <c r="D2061" s="2"/>
      <c r="E2061" s="4"/>
      <c r="F2061" s="2"/>
      <c r="G2061" s="2"/>
      <c r="H2061" s="2"/>
      <c r="I2061" s="2"/>
      <c r="J2061" s="2"/>
      <c r="K2061" s="2"/>
      <c r="L2061" s="2"/>
      <c r="M2061" s="2"/>
    </row>
    <row r="2062" spans="1:13" x14ac:dyDescent="0.3">
      <c r="A2062" s="2"/>
      <c r="B2062" s="2"/>
      <c r="C2062" s="2"/>
      <c r="D2062" s="2"/>
      <c r="E2062" s="4"/>
      <c r="F2062" s="2"/>
      <c r="G2062" s="2"/>
      <c r="H2062" s="2"/>
      <c r="I2062" s="2"/>
      <c r="J2062" s="2"/>
      <c r="K2062" s="2"/>
      <c r="L2062" s="2"/>
      <c r="M2062" s="2"/>
    </row>
    <row r="2063" spans="1:13" x14ac:dyDescent="0.3">
      <c r="A2063" s="2"/>
      <c r="B2063" s="2"/>
      <c r="C2063" s="2"/>
      <c r="D2063" s="2"/>
      <c r="E2063" s="4"/>
      <c r="F2063" s="2"/>
      <c r="G2063" s="2"/>
      <c r="H2063" s="2"/>
      <c r="I2063" s="2"/>
      <c r="J2063" s="2"/>
      <c r="K2063" s="2"/>
      <c r="L2063" s="2"/>
      <c r="M2063" s="2"/>
    </row>
    <row r="2064" spans="1:13" x14ac:dyDescent="0.3">
      <c r="A2064" s="2"/>
      <c r="B2064" s="2"/>
      <c r="C2064" s="2"/>
      <c r="D2064" s="2"/>
      <c r="E2064" s="4"/>
      <c r="F2064" s="2"/>
      <c r="G2064" s="2"/>
      <c r="H2064" s="2"/>
      <c r="I2064" s="2"/>
      <c r="J2064" s="2"/>
      <c r="K2064" s="2"/>
      <c r="L2064" s="2"/>
      <c r="M2064" s="2"/>
    </row>
    <row r="2065" spans="1:13" x14ac:dyDescent="0.3">
      <c r="A2065" s="2"/>
      <c r="B2065" s="2"/>
      <c r="C2065" s="2"/>
      <c r="D2065" s="2"/>
      <c r="E2065" s="4"/>
      <c r="F2065" s="2"/>
      <c r="G2065" s="2"/>
      <c r="H2065" s="2"/>
      <c r="I2065" s="2"/>
      <c r="J2065" s="2"/>
      <c r="K2065" s="2"/>
      <c r="L2065" s="2"/>
      <c r="M2065" s="2"/>
    </row>
    <row r="2066" spans="1:13" x14ac:dyDescent="0.3">
      <c r="A2066" s="2"/>
      <c r="B2066" s="2"/>
      <c r="C2066" s="2"/>
      <c r="D2066" s="2"/>
      <c r="E2066" s="4"/>
      <c r="F2066" s="2"/>
      <c r="G2066" s="2"/>
      <c r="H2066" s="2"/>
      <c r="I2066" s="2"/>
      <c r="J2066" s="2"/>
      <c r="K2066" s="2"/>
      <c r="L2066" s="2"/>
      <c r="M2066" s="2"/>
    </row>
    <row r="2067" spans="1:13" x14ac:dyDescent="0.3">
      <c r="A2067" s="2"/>
      <c r="B2067" s="2"/>
      <c r="C2067" s="2"/>
      <c r="D2067" s="2"/>
      <c r="E2067" s="4"/>
      <c r="F2067" s="2"/>
      <c r="G2067" s="2"/>
      <c r="H2067" s="2"/>
      <c r="I2067" s="2"/>
      <c r="J2067" s="2"/>
      <c r="K2067" s="2"/>
      <c r="L2067" s="2"/>
      <c r="M2067" s="2"/>
    </row>
    <row r="2068" spans="1:13" x14ac:dyDescent="0.3">
      <c r="A2068" s="2"/>
      <c r="B2068" s="2"/>
      <c r="C2068" s="2"/>
      <c r="D2068" s="2"/>
      <c r="E2068" s="4"/>
      <c r="F2068" s="2"/>
      <c r="G2068" s="2"/>
      <c r="H2068" s="2"/>
      <c r="I2068" s="2"/>
      <c r="J2068" s="2"/>
      <c r="K2068" s="2"/>
      <c r="L2068" s="2"/>
      <c r="M2068" s="2"/>
    </row>
    <row r="2069" spans="1:13" x14ac:dyDescent="0.3">
      <c r="A2069" s="2"/>
      <c r="B2069" s="2"/>
      <c r="C2069" s="2"/>
      <c r="D2069" s="2"/>
      <c r="E2069" s="4"/>
      <c r="F2069" s="2"/>
      <c r="G2069" s="2"/>
      <c r="H2069" s="2"/>
      <c r="I2069" s="2"/>
      <c r="J2069" s="2"/>
      <c r="K2069" s="2"/>
      <c r="L2069" s="2"/>
      <c r="M2069" s="2"/>
    </row>
    <row r="2070" spans="1:13" x14ac:dyDescent="0.3">
      <c r="A2070" s="2"/>
      <c r="B2070" s="2"/>
      <c r="C2070" s="2"/>
      <c r="D2070" s="2"/>
      <c r="E2070" s="4"/>
      <c r="F2070" s="2"/>
      <c r="G2070" s="2"/>
      <c r="H2070" s="2"/>
      <c r="I2070" s="2"/>
      <c r="J2070" s="2"/>
      <c r="K2070" s="2"/>
      <c r="L2070" s="2"/>
      <c r="M2070" s="2"/>
    </row>
    <row r="2071" spans="1:13" x14ac:dyDescent="0.3">
      <c r="A2071" s="2"/>
      <c r="B2071" s="2"/>
      <c r="C2071" s="2"/>
      <c r="D2071" s="2"/>
      <c r="E2071" s="4"/>
      <c r="F2071" s="2"/>
      <c r="G2071" s="2"/>
      <c r="H2071" s="2"/>
      <c r="I2071" s="2"/>
      <c r="J2071" s="2"/>
      <c r="K2071" s="2"/>
      <c r="L2071" s="2"/>
      <c r="M2071" s="2"/>
    </row>
    <row r="2072" spans="1:13" x14ac:dyDescent="0.3">
      <c r="A2072" s="2"/>
      <c r="B2072" s="2"/>
      <c r="C2072" s="2"/>
      <c r="D2072" s="2"/>
      <c r="E2072" s="4"/>
      <c r="F2072" s="2"/>
      <c r="G2072" s="2"/>
      <c r="H2072" s="2"/>
      <c r="I2072" s="2"/>
      <c r="J2072" s="2"/>
      <c r="K2072" s="2"/>
      <c r="L2072" s="2"/>
      <c r="M2072" s="2"/>
    </row>
    <row r="2073" spans="1:13" x14ac:dyDescent="0.3">
      <c r="A2073" s="2"/>
      <c r="B2073" s="2"/>
      <c r="C2073" s="2"/>
      <c r="D2073" s="2"/>
      <c r="E2073" s="4"/>
      <c r="F2073" s="2"/>
      <c r="G2073" s="2"/>
      <c r="H2073" s="2"/>
      <c r="I2073" s="2"/>
      <c r="J2073" s="2"/>
      <c r="K2073" s="2"/>
      <c r="L2073" s="2"/>
      <c r="M2073" s="2"/>
    </row>
    <row r="2074" spans="1:13" x14ac:dyDescent="0.3">
      <c r="A2074" s="2"/>
      <c r="B2074" s="2"/>
      <c r="C2074" s="2"/>
      <c r="D2074" s="2"/>
      <c r="E2074" s="4"/>
      <c r="F2074" s="2"/>
      <c r="G2074" s="2"/>
      <c r="H2074" s="2"/>
      <c r="I2074" s="2"/>
      <c r="J2074" s="2"/>
      <c r="K2074" s="2"/>
      <c r="L2074" s="2"/>
      <c r="M2074" s="2"/>
    </row>
    <row r="2075" spans="1:13" x14ac:dyDescent="0.3">
      <c r="A2075" s="2"/>
      <c r="B2075" s="2"/>
      <c r="C2075" s="2"/>
      <c r="D2075" s="2"/>
      <c r="E2075" s="4"/>
      <c r="F2075" s="2"/>
      <c r="G2075" s="2"/>
      <c r="H2075" s="2"/>
      <c r="I2075" s="2"/>
      <c r="J2075" s="2"/>
      <c r="K2075" s="2"/>
      <c r="L2075" s="2"/>
      <c r="M2075" s="2"/>
    </row>
    <row r="2076" spans="1:13" x14ac:dyDescent="0.3">
      <c r="A2076" s="2"/>
      <c r="B2076" s="2"/>
      <c r="C2076" s="2"/>
      <c r="D2076" s="2"/>
      <c r="E2076" s="4"/>
      <c r="F2076" s="2"/>
      <c r="G2076" s="2"/>
      <c r="H2076" s="2"/>
      <c r="I2076" s="2"/>
      <c r="J2076" s="2"/>
      <c r="K2076" s="2"/>
      <c r="L2076" s="2"/>
      <c r="M2076" s="2"/>
    </row>
    <row r="2077" spans="1:13" x14ac:dyDescent="0.3">
      <c r="A2077" s="2"/>
      <c r="B2077" s="2"/>
      <c r="C2077" s="2"/>
      <c r="D2077" s="2"/>
      <c r="E2077" s="4"/>
      <c r="F2077" s="2"/>
      <c r="G2077" s="2"/>
      <c r="H2077" s="2"/>
      <c r="I2077" s="2"/>
      <c r="J2077" s="2"/>
      <c r="K2077" s="2"/>
      <c r="L2077" s="2"/>
      <c r="M2077" s="2"/>
    </row>
    <row r="2078" spans="1:13" x14ac:dyDescent="0.3">
      <c r="A2078" s="2"/>
      <c r="B2078" s="2"/>
      <c r="C2078" s="2"/>
      <c r="D2078" s="2"/>
      <c r="E2078" s="4"/>
      <c r="F2078" s="2"/>
      <c r="G2078" s="2"/>
      <c r="H2078" s="2"/>
      <c r="I2078" s="2"/>
      <c r="J2078" s="2"/>
      <c r="K2078" s="2"/>
      <c r="L2078" s="2"/>
      <c r="M2078" s="2"/>
    </row>
    <row r="2079" spans="1:13" x14ac:dyDescent="0.3">
      <c r="A2079" s="2"/>
      <c r="B2079" s="2"/>
      <c r="C2079" s="2"/>
      <c r="D2079" s="2"/>
      <c r="E2079" s="4"/>
      <c r="F2079" s="2"/>
      <c r="G2079" s="2"/>
      <c r="H2079" s="2"/>
      <c r="I2079" s="2"/>
      <c r="J2079" s="2"/>
      <c r="K2079" s="2"/>
      <c r="L2079" s="2"/>
      <c r="M2079" s="2"/>
    </row>
    <row r="2080" spans="1:13" x14ac:dyDescent="0.3">
      <c r="A2080" s="2"/>
      <c r="B2080" s="2"/>
      <c r="C2080" s="2"/>
      <c r="D2080" s="2"/>
      <c r="E2080" s="4"/>
      <c r="F2080" s="2"/>
      <c r="G2080" s="2"/>
      <c r="H2080" s="2"/>
      <c r="I2080" s="2"/>
      <c r="J2080" s="2"/>
      <c r="K2080" s="2"/>
      <c r="L2080" s="2"/>
      <c r="M2080" s="2"/>
    </row>
    <row r="2081" spans="1:13" x14ac:dyDescent="0.3">
      <c r="A2081" s="2"/>
      <c r="B2081" s="2"/>
      <c r="C2081" s="2"/>
      <c r="D2081" s="2"/>
      <c r="E2081" s="4"/>
      <c r="F2081" s="2"/>
      <c r="G2081" s="2"/>
      <c r="H2081" s="2"/>
      <c r="I2081" s="2"/>
      <c r="J2081" s="2"/>
      <c r="K2081" s="2"/>
      <c r="L2081" s="2"/>
      <c r="M2081" s="2"/>
    </row>
    <row r="2082" spans="1:13" x14ac:dyDescent="0.3">
      <c r="A2082" s="2"/>
      <c r="B2082" s="2"/>
      <c r="C2082" s="2"/>
      <c r="D2082" s="2"/>
      <c r="E2082" s="4"/>
      <c r="F2082" s="2"/>
      <c r="G2082" s="2"/>
      <c r="H2082" s="2"/>
      <c r="I2082" s="2"/>
      <c r="J2082" s="2"/>
      <c r="K2082" s="2"/>
      <c r="L2082" s="2"/>
      <c r="M2082" s="2"/>
    </row>
    <row r="2083" spans="1:13" x14ac:dyDescent="0.3">
      <c r="A2083" s="2"/>
      <c r="B2083" s="2"/>
      <c r="C2083" s="2"/>
      <c r="D2083" s="2"/>
      <c r="E2083" s="4"/>
      <c r="F2083" s="2"/>
      <c r="G2083" s="2"/>
      <c r="H2083" s="2"/>
      <c r="I2083" s="2"/>
      <c r="J2083" s="2"/>
      <c r="K2083" s="2"/>
      <c r="L2083" s="2"/>
      <c r="M2083" s="2"/>
    </row>
    <row r="2084" spans="1:13" x14ac:dyDescent="0.3">
      <c r="A2084" s="2"/>
      <c r="B2084" s="2"/>
      <c r="C2084" s="2"/>
      <c r="D2084" s="2"/>
      <c r="E2084" s="4"/>
      <c r="F2084" s="2"/>
      <c r="G2084" s="2"/>
      <c r="H2084" s="2"/>
      <c r="I2084" s="2"/>
      <c r="J2084" s="2"/>
      <c r="K2084" s="2"/>
      <c r="L2084" s="2"/>
      <c r="M2084" s="2"/>
    </row>
    <row r="2085" spans="1:13" x14ac:dyDescent="0.3">
      <c r="A2085" s="2"/>
      <c r="B2085" s="2"/>
      <c r="C2085" s="2"/>
      <c r="D2085" s="2"/>
      <c r="E2085" s="4"/>
      <c r="F2085" s="2"/>
      <c r="G2085" s="2"/>
      <c r="H2085" s="2"/>
      <c r="I2085" s="2"/>
      <c r="J2085" s="2"/>
      <c r="K2085" s="2"/>
      <c r="L2085" s="2"/>
      <c r="M2085" s="2"/>
    </row>
    <row r="2086" spans="1:13" x14ac:dyDescent="0.3">
      <c r="A2086" s="2"/>
      <c r="B2086" s="2"/>
      <c r="C2086" s="2"/>
      <c r="D2086" s="2"/>
      <c r="E2086" s="4"/>
      <c r="F2086" s="2"/>
      <c r="G2086" s="2"/>
      <c r="H2086" s="2"/>
      <c r="I2086" s="2"/>
      <c r="J2086" s="2"/>
      <c r="K2086" s="2"/>
      <c r="L2086" s="2"/>
      <c r="M2086" s="2"/>
    </row>
    <row r="2087" spans="1:13" x14ac:dyDescent="0.3">
      <c r="A2087" s="2"/>
      <c r="B2087" s="2"/>
      <c r="C2087" s="2"/>
      <c r="D2087" s="2"/>
      <c r="E2087" s="4"/>
      <c r="F2087" s="2"/>
      <c r="G2087" s="2"/>
      <c r="H2087" s="2"/>
      <c r="I2087" s="2"/>
      <c r="J2087" s="2"/>
      <c r="K2087" s="2"/>
      <c r="L2087" s="2"/>
      <c r="M2087" s="2"/>
    </row>
    <row r="2088" spans="1:13" x14ac:dyDescent="0.3">
      <c r="A2088" s="2"/>
      <c r="B2088" s="2"/>
      <c r="C2088" s="2"/>
      <c r="D2088" s="2"/>
      <c r="E2088" s="4"/>
      <c r="F2088" s="2"/>
      <c r="G2088" s="2"/>
      <c r="H2088" s="2"/>
      <c r="I2088" s="2"/>
      <c r="J2088" s="2"/>
      <c r="K2088" s="2"/>
      <c r="L2088" s="2"/>
      <c r="M2088" s="2"/>
    </row>
    <row r="2089" spans="1:13" x14ac:dyDescent="0.3">
      <c r="A2089" s="2"/>
      <c r="B2089" s="2"/>
      <c r="C2089" s="2"/>
      <c r="D2089" s="2"/>
      <c r="E2089" s="4"/>
      <c r="F2089" s="2"/>
      <c r="G2089" s="2"/>
      <c r="H2089" s="2"/>
      <c r="I2089" s="2"/>
      <c r="J2089" s="2"/>
      <c r="K2089" s="2"/>
      <c r="L2089" s="2"/>
      <c r="M2089" s="2"/>
    </row>
    <row r="2090" spans="1:13" x14ac:dyDescent="0.3">
      <c r="A2090" s="2"/>
      <c r="B2090" s="2"/>
      <c r="C2090" s="2"/>
      <c r="D2090" s="2"/>
      <c r="E2090" s="4"/>
      <c r="F2090" s="2"/>
      <c r="G2090" s="2"/>
      <c r="H2090" s="2"/>
      <c r="I2090" s="2"/>
      <c r="J2090" s="2"/>
      <c r="K2090" s="2"/>
      <c r="L2090" s="2"/>
      <c r="M2090" s="2"/>
    </row>
    <row r="2091" spans="1:13" x14ac:dyDescent="0.3">
      <c r="A2091" s="2"/>
      <c r="B2091" s="2"/>
      <c r="C2091" s="2"/>
      <c r="D2091" s="2"/>
      <c r="E2091" s="4"/>
      <c r="F2091" s="2"/>
      <c r="G2091" s="2"/>
      <c r="H2091" s="2"/>
      <c r="I2091" s="2"/>
      <c r="J2091" s="2"/>
      <c r="K2091" s="2"/>
      <c r="L2091" s="2"/>
      <c r="M2091" s="2"/>
    </row>
    <row r="2092" spans="1:13" x14ac:dyDescent="0.3">
      <c r="A2092" s="2"/>
      <c r="B2092" s="2"/>
      <c r="C2092" s="2"/>
      <c r="D2092" s="2"/>
      <c r="E2092" s="4"/>
      <c r="F2092" s="2"/>
      <c r="G2092" s="2"/>
      <c r="H2092" s="2"/>
      <c r="I2092" s="2"/>
      <c r="J2092" s="2"/>
      <c r="K2092" s="2"/>
      <c r="L2092" s="2"/>
      <c r="M2092" s="2"/>
    </row>
    <row r="2093" spans="1:13" x14ac:dyDescent="0.3">
      <c r="A2093" s="2"/>
      <c r="B2093" s="2"/>
      <c r="C2093" s="2"/>
      <c r="D2093" s="2"/>
      <c r="E2093" s="4"/>
      <c r="F2093" s="2"/>
      <c r="G2093" s="2"/>
      <c r="H2093" s="2"/>
      <c r="I2093" s="2"/>
      <c r="J2093" s="2"/>
      <c r="K2093" s="2"/>
      <c r="L2093" s="2"/>
      <c r="M2093" s="2"/>
    </row>
    <row r="2094" spans="1:13" x14ac:dyDescent="0.3">
      <c r="A2094" s="2"/>
      <c r="B2094" s="2"/>
      <c r="C2094" s="2"/>
      <c r="D2094" s="2"/>
      <c r="E2094" s="4"/>
      <c r="F2094" s="2"/>
      <c r="G2094" s="2"/>
      <c r="H2094" s="2"/>
      <c r="I2094" s="2"/>
      <c r="J2094" s="2"/>
      <c r="K2094" s="2"/>
      <c r="L2094" s="2"/>
      <c r="M2094" s="2"/>
    </row>
    <row r="2095" spans="1:13" x14ac:dyDescent="0.3">
      <c r="A2095" s="2"/>
      <c r="B2095" s="2"/>
      <c r="C2095" s="2"/>
      <c r="D2095" s="2"/>
      <c r="E2095" s="4"/>
      <c r="F2095" s="2"/>
      <c r="G2095" s="2"/>
      <c r="H2095" s="2"/>
      <c r="I2095" s="2"/>
      <c r="J2095" s="2"/>
      <c r="K2095" s="2"/>
      <c r="L2095" s="2"/>
      <c r="M2095" s="2"/>
    </row>
    <row r="2096" spans="1:13" x14ac:dyDescent="0.3">
      <c r="A2096" s="2"/>
      <c r="B2096" s="2"/>
      <c r="C2096" s="2"/>
      <c r="D2096" s="2"/>
      <c r="E2096" s="4"/>
      <c r="F2096" s="2"/>
      <c r="G2096" s="2"/>
      <c r="H2096" s="2"/>
      <c r="I2096" s="2"/>
      <c r="J2096" s="2"/>
      <c r="K2096" s="2"/>
      <c r="L2096" s="2"/>
      <c r="M2096" s="2"/>
    </row>
    <row r="2097" spans="1:13" x14ac:dyDescent="0.3">
      <c r="A2097" s="2"/>
      <c r="B2097" s="2"/>
      <c r="C2097" s="2"/>
      <c r="D2097" s="2"/>
      <c r="E2097" s="4"/>
      <c r="F2097" s="2"/>
      <c r="G2097" s="2"/>
      <c r="H2097" s="2"/>
      <c r="I2097" s="2"/>
      <c r="J2097" s="2"/>
      <c r="K2097" s="2"/>
      <c r="L2097" s="2"/>
      <c r="M2097" s="2"/>
    </row>
    <row r="2098" spans="1:13" x14ac:dyDescent="0.3">
      <c r="A2098" s="2"/>
      <c r="B2098" s="2"/>
      <c r="C2098" s="2"/>
      <c r="D2098" s="2"/>
      <c r="E2098" s="4"/>
      <c r="F2098" s="2"/>
      <c r="G2098" s="2"/>
      <c r="H2098" s="2"/>
      <c r="I2098" s="2"/>
      <c r="J2098" s="2"/>
      <c r="K2098" s="2"/>
      <c r="L2098" s="2"/>
      <c r="M2098" s="2"/>
    </row>
    <row r="2099" spans="1:13" x14ac:dyDescent="0.3">
      <c r="A2099" s="2"/>
      <c r="B2099" s="2"/>
      <c r="C2099" s="2"/>
      <c r="D2099" s="2"/>
      <c r="E2099" s="4"/>
      <c r="F2099" s="2"/>
      <c r="G2099" s="2"/>
      <c r="H2099" s="2"/>
      <c r="I2099" s="2"/>
      <c r="J2099" s="2"/>
      <c r="K2099" s="2"/>
      <c r="L2099" s="2"/>
      <c r="M2099" s="2"/>
    </row>
    <row r="2100" spans="1:13" x14ac:dyDescent="0.3">
      <c r="A2100" s="2"/>
      <c r="B2100" s="2"/>
      <c r="C2100" s="2"/>
      <c r="D2100" s="2"/>
      <c r="E2100" s="4"/>
      <c r="F2100" s="2"/>
      <c r="G2100" s="2"/>
      <c r="H2100" s="2"/>
      <c r="I2100" s="2"/>
      <c r="J2100" s="2"/>
      <c r="K2100" s="2"/>
      <c r="L2100" s="2"/>
      <c r="M2100" s="2"/>
    </row>
    <row r="2101" spans="1:13" x14ac:dyDescent="0.3">
      <c r="A2101" s="2"/>
      <c r="B2101" s="2"/>
      <c r="C2101" s="2"/>
      <c r="D2101" s="2"/>
      <c r="E2101" s="4"/>
      <c r="F2101" s="2"/>
      <c r="G2101" s="2"/>
      <c r="H2101" s="2"/>
      <c r="I2101" s="2"/>
      <c r="J2101" s="2"/>
      <c r="K2101" s="2"/>
      <c r="L2101" s="2"/>
      <c r="M2101" s="2"/>
    </row>
    <row r="2102" spans="1:13" x14ac:dyDescent="0.3">
      <c r="A2102" s="2"/>
      <c r="B2102" s="2"/>
      <c r="C2102" s="2"/>
      <c r="D2102" s="2"/>
      <c r="E2102" s="4"/>
      <c r="F2102" s="2"/>
      <c r="G2102" s="2"/>
      <c r="H2102" s="2"/>
      <c r="I2102" s="2"/>
      <c r="J2102" s="2"/>
      <c r="K2102" s="2"/>
      <c r="L2102" s="2"/>
      <c r="M2102" s="2"/>
    </row>
    <row r="2103" spans="1:13" x14ac:dyDescent="0.3">
      <c r="A2103" s="2"/>
      <c r="B2103" s="2"/>
      <c r="C2103" s="2"/>
      <c r="D2103" s="2"/>
      <c r="E2103" s="4"/>
      <c r="F2103" s="2"/>
      <c r="G2103" s="2"/>
      <c r="H2103" s="2"/>
      <c r="I2103" s="2"/>
      <c r="J2103" s="2"/>
      <c r="K2103" s="2"/>
      <c r="L2103" s="2"/>
      <c r="M2103" s="2"/>
    </row>
    <row r="2104" spans="1:13" x14ac:dyDescent="0.3">
      <c r="A2104" s="2"/>
      <c r="B2104" s="2"/>
      <c r="C2104" s="2"/>
      <c r="D2104" s="2"/>
      <c r="E2104" s="4"/>
      <c r="F2104" s="2"/>
      <c r="G2104" s="2"/>
      <c r="H2104" s="2"/>
      <c r="I2104" s="2"/>
      <c r="J2104" s="2"/>
      <c r="K2104" s="2"/>
      <c r="L2104" s="2"/>
      <c r="M2104" s="2"/>
    </row>
    <row r="2105" spans="1:13" x14ac:dyDescent="0.3">
      <c r="A2105" s="2"/>
      <c r="B2105" s="2"/>
      <c r="C2105" s="2"/>
      <c r="D2105" s="2"/>
      <c r="E2105" s="4"/>
      <c r="F2105" s="2"/>
      <c r="G2105" s="2"/>
      <c r="H2105" s="2"/>
      <c r="I2105" s="2"/>
      <c r="J2105" s="2"/>
      <c r="K2105" s="2"/>
      <c r="L2105" s="2"/>
      <c r="M2105" s="2"/>
    </row>
    <row r="2106" spans="1:13" x14ac:dyDescent="0.3">
      <c r="A2106" s="2"/>
      <c r="B2106" s="2"/>
      <c r="C2106" s="2"/>
      <c r="D2106" s="2"/>
      <c r="E2106" s="4"/>
      <c r="F2106" s="2"/>
      <c r="G2106" s="2"/>
      <c r="H2106" s="2"/>
      <c r="I2106" s="2"/>
      <c r="J2106" s="2"/>
      <c r="K2106" s="2"/>
      <c r="L2106" s="2"/>
      <c r="M2106" s="2"/>
    </row>
    <row r="2107" spans="1:13" x14ac:dyDescent="0.3">
      <c r="A2107" s="2"/>
      <c r="B2107" s="2"/>
      <c r="C2107" s="2"/>
      <c r="D2107" s="2"/>
      <c r="E2107" s="4"/>
      <c r="F2107" s="2"/>
      <c r="G2107" s="2"/>
      <c r="H2107" s="2"/>
      <c r="I2107" s="2"/>
      <c r="J2107" s="2"/>
      <c r="K2107" s="2"/>
      <c r="L2107" s="2"/>
      <c r="M2107" s="2"/>
    </row>
    <row r="2108" spans="1:13" x14ac:dyDescent="0.3">
      <c r="A2108" s="2"/>
      <c r="B2108" s="2"/>
      <c r="C2108" s="2"/>
      <c r="D2108" s="2"/>
      <c r="E2108" s="4"/>
      <c r="F2108" s="2"/>
      <c r="G2108" s="2"/>
      <c r="H2108" s="2"/>
      <c r="I2108" s="2"/>
      <c r="J2108" s="2"/>
      <c r="K2108" s="2"/>
      <c r="L2108" s="2"/>
      <c r="M2108" s="2"/>
    </row>
    <row r="2109" spans="1:13" x14ac:dyDescent="0.3">
      <c r="A2109" s="2"/>
      <c r="B2109" s="2"/>
      <c r="C2109" s="2"/>
      <c r="D2109" s="2"/>
      <c r="E2109" s="4"/>
      <c r="F2109" s="2"/>
      <c r="G2109" s="2"/>
      <c r="H2109" s="2"/>
      <c r="I2109" s="2"/>
      <c r="J2109" s="2"/>
      <c r="K2109" s="2"/>
      <c r="L2109" s="2"/>
      <c r="M2109" s="2"/>
    </row>
    <row r="2110" spans="1:13" x14ac:dyDescent="0.3">
      <c r="A2110" s="2"/>
      <c r="B2110" s="2"/>
      <c r="C2110" s="2"/>
      <c r="D2110" s="2"/>
      <c r="E2110" s="4"/>
      <c r="F2110" s="2"/>
      <c r="G2110" s="2"/>
      <c r="H2110" s="2"/>
      <c r="I2110" s="2"/>
      <c r="J2110" s="2"/>
      <c r="K2110" s="2"/>
      <c r="L2110" s="2"/>
      <c r="M2110" s="2"/>
    </row>
    <row r="2111" spans="1:13" x14ac:dyDescent="0.3">
      <c r="A2111" s="2"/>
      <c r="B2111" s="2"/>
      <c r="C2111" s="2"/>
      <c r="D2111" s="2"/>
      <c r="E2111" s="4"/>
      <c r="F2111" s="2"/>
      <c r="G2111" s="2"/>
      <c r="H2111" s="2"/>
      <c r="I2111" s="2"/>
      <c r="J2111" s="2"/>
      <c r="K2111" s="2"/>
      <c r="L2111" s="2"/>
      <c r="M2111" s="2"/>
    </row>
    <row r="2112" spans="1:13" x14ac:dyDescent="0.3">
      <c r="A2112" s="2"/>
      <c r="B2112" s="2"/>
      <c r="C2112" s="2"/>
      <c r="D2112" s="2"/>
      <c r="E2112" s="4"/>
      <c r="F2112" s="2"/>
      <c r="G2112" s="2"/>
      <c r="H2112" s="2"/>
      <c r="I2112" s="2"/>
      <c r="J2112" s="2"/>
      <c r="K2112" s="2"/>
      <c r="L2112" s="2"/>
      <c r="M2112" s="2"/>
    </row>
    <row r="2113" spans="1:13" x14ac:dyDescent="0.3">
      <c r="A2113" s="2"/>
      <c r="B2113" s="2"/>
      <c r="C2113" s="2"/>
      <c r="D2113" s="2"/>
      <c r="E2113" s="4"/>
      <c r="F2113" s="2"/>
      <c r="G2113" s="2"/>
      <c r="H2113" s="2"/>
      <c r="I2113" s="2"/>
      <c r="J2113" s="2"/>
      <c r="K2113" s="2"/>
      <c r="L2113" s="2"/>
      <c r="M2113" s="2"/>
    </row>
    <row r="2114" spans="1:13" x14ac:dyDescent="0.3">
      <c r="A2114" s="2"/>
      <c r="B2114" s="2"/>
      <c r="C2114" s="2"/>
      <c r="D2114" s="2"/>
      <c r="E2114" s="4"/>
      <c r="F2114" s="2"/>
      <c r="G2114" s="2"/>
      <c r="H2114" s="2"/>
      <c r="I2114" s="2"/>
      <c r="J2114" s="2"/>
      <c r="K2114" s="2"/>
      <c r="L2114" s="2"/>
      <c r="M2114" s="2"/>
    </row>
    <row r="2115" spans="1:13" x14ac:dyDescent="0.3">
      <c r="A2115" s="2"/>
      <c r="B2115" s="2"/>
      <c r="C2115" s="2"/>
      <c r="D2115" s="2"/>
      <c r="E2115" s="4"/>
      <c r="F2115" s="2"/>
      <c r="G2115" s="2"/>
      <c r="H2115" s="2"/>
      <c r="I2115" s="2"/>
      <c r="J2115" s="2"/>
      <c r="K2115" s="2"/>
      <c r="L2115" s="2"/>
      <c r="M2115" s="2"/>
    </row>
    <row r="2116" spans="1:13" x14ac:dyDescent="0.3">
      <c r="A2116" s="2"/>
      <c r="B2116" s="2"/>
      <c r="C2116" s="2"/>
      <c r="D2116" s="2"/>
      <c r="E2116" s="4"/>
      <c r="F2116" s="2"/>
      <c r="G2116" s="2"/>
      <c r="H2116" s="2"/>
      <c r="I2116" s="2"/>
      <c r="J2116" s="2"/>
      <c r="K2116" s="2"/>
      <c r="L2116" s="2"/>
      <c r="M2116" s="2"/>
    </row>
    <row r="2117" spans="1:13" x14ac:dyDescent="0.3">
      <c r="A2117" s="2"/>
      <c r="B2117" s="2"/>
      <c r="C2117" s="2"/>
      <c r="D2117" s="2"/>
      <c r="E2117" s="4"/>
      <c r="F2117" s="2"/>
      <c r="G2117" s="2"/>
      <c r="H2117" s="2"/>
      <c r="I2117" s="2"/>
      <c r="J2117" s="2"/>
      <c r="K2117" s="2"/>
      <c r="L2117" s="2"/>
      <c r="M2117" s="2"/>
    </row>
    <row r="2118" spans="1:13" x14ac:dyDescent="0.3">
      <c r="A2118" s="2"/>
      <c r="B2118" s="2"/>
      <c r="C2118" s="2"/>
      <c r="D2118" s="2"/>
      <c r="E2118" s="4"/>
      <c r="F2118" s="2"/>
      <c r="G2118" s="2"/>
      <c r="H2118" s="2"/>
      <c r="I2118" s="2"/>
      <c r="J2118" s="2"/>
      <c r="K2118" s="2"/>
      <c r="L2118" s="2"/>
      <c r="M2118" s="2"/>
    </row>
    <row r="2119" spans="1:13" x14ac:dyDescent="0.3">
      <c r="A2119" s="2"/>
      <c r="B2119" s="2"/>
      <c r="C2119" s="2"/>
      <c r="D2119" s="2"/>
      <c r="E2119" s="4"/>
      <c r="F2119" s="2"/>
      <c r="G2119" s="2"/>
      <c r="H2119" s="2"/>
      <c r="I2119" s="2"/>
      <c r="J2119" s="2"/>
      <c r="K2119" s="2"/>
      <c r="L2119" s="2"/>
      <c r="M2119" s="2"/>
    </row>
    <row r="2120" spans="1:13" x14ac:dyDescent="0.3">
      <c r="A2120" s="2"/>
      <c r="B2120" s="2"/>
      <c r="C2120" s="2"/>
      <c r="D2120" s="2"/>
      <c r="E2120" s="4"/>
      <c r="F2120" s="2"/>
      <c r="G2120" s="2"/>
      <c r="H2120" s="2"/>
      <c r="I2120" s="2"/>
      <c r="J2120" s="2"/>
      <c r="K2120" s="2"/>
      <c r="L2120" s="2"/>
      <c r="M2120" s="2"/>
    </row>
    <row r="2121" spans="1:13" x14ac:dyDescent="0.3">
      <c r="A2121" s="2"/>
      <c r="B2121" s="2"/>
      <c r="C2121" s="2"/>
      <c r="D2121" s="2"/>
      <c r="E2121" s="4"/>
      <c r="F2121" s="2"/>
      <c r="G2121" s="2"/>
      <c r="H2121" s="2"/>
      <c r="I2121" s="2"/>
      <c r="J2121" s="2"/>
      <c r="K2121" s="2"/>
      <c r="L2121" s="2"/>
      <c r="M2121" s="2"/>
    </row>
    <row r="2122" spans="1:13" x14ac:dyDescent="0.3">
      <c r="A2122" s="2"/>
      <c r="B2122" s="2"/>
      <c r="C2122" s="2"/>
      <c r="D2122" s="2"/>
      <c r="E2122" s="4"/>
      <c r="F2122" s="2"/>
      <c r="G2122" s="2"/>
      <c r="H2122" s="2"/>
      <c r="I2122" s="2"/>
      <c r="J2122" s="2"/>
      <c r="K2122" s="2"/>
      <c r="L2122" s="2"/>
      <c r="M2122" s="2"/>
    </row>
    <row r="2123" spans="1:13" x14ac:dyDescent="0.3">
      <c r="A2123" s="2"/>
      <c r="B2123" s="2"/>
      <c r="C2123" s="2"/>
      <c r="D2123" s="2"/>
      <c r="E2123" s="4"/>
      <c r="F2123" s="2"/>
      <c r="G2123" s="2"/>
      <c r="H2123" s="2"/>
      <c r="I2123" s="2"/>
      <c r="J2123" s="2"/>
      <c r="K2123" s="2"/>
      <c r="L2123" s="2"/>
      <c r="M2123" s="2"/>
    </row>
    <row r="2124" spans="1:13" x14ac:dyDescent="0.3">
      <c r="A2124" s="2"/>
      <c r="B2124" s="2"/>
      <c r="C2124" s="2"/>
      <c r="D2124" s="2"/>
      <c r="E2124" s="4"/>
      <c r="F2124" s="2"/>
      <c r="G2124" s="2"/>
      <c r="H2124" s="2"/>
      <c r="I2124" s="2"/>
      <c r="J2124" s="2"/>
      <c r="K2124" s="2"/>
      <c r="L2124" s="2"/>
      <c r="M2124" s="2"/>
    </row>
    <row r="2125" spans="1:13" x14ac:dyDescent="0.3">
      <c r="A2125" s="2"/>
      <c r="B2125" s="2"/>
      <c r="C2125" s="2"/>
      <c r="D2125" s="2"/>
      <c r="E2125" s="4"/>
      <c r="F2125" s="2"/>
      <c r="G2125" s="2"/>
      <c r="H2125" s="2"/>
      <c r="I2125" s="2"/>
      <c r="J2125" s="2"/>
      <c r="K2125" s="2"/>
      <c r="L2125" s="2"/>
      <c r="M2125" s="2"/>
    </row>
    <row r="2126" spans="1:13" x14ac:dyDescent="0.3">
      <c r="A2126" s="2"/>
      <c r="B2126" s="2"/>
      <c r="C2126" s="2"/>
      <c r="D2126" s="2"/>
      <c r="E2126" s="4"/>
      <c r="F2126" s="2"/>
      <c r="G2126" s="2"/>
      <c r="H2126" s="2"/>
      <c r="I2126" s="2"/>
      <c r="J2126" s="2"/>
      <c r="K2126" s="2"/>
      <c r="L2126" s="2"/>
      <c r="M2126" s="2"/>
    </row>
    <row r="2127" spans="1:13" x14ac:dyDescent="0.3">
      <c r="A2127" s="2"/>
      <c r="B2127" s="2"/>
      <c r="C2127" s="2"/>
      <c r="D2127" s="2"/>
      <c r="E2127" s="4"/>
      <c r="F2127" s="2"/>
      <c r="G2127" s="2"/>
      <c r="H2127" s="2"/>
      <c r="I2127" s="2"/>
      <c r="J2127" s="2"/>
      <c r="K2127" s="2"/>
      <c r="L2127" s="2"/>
      <c r="M2127" s="2"/>
    </row>
    <row r="2128" spans="1:13" x14ac:dyDescent="0.3">
      <c r="A2128" s="2"/>
      <c r="B2128" s="2"/>
      <c r="C2128" s="2"/>
      <c r="D2128" s="2"/>
      <c r="E2128" s="4"/>
      <c r="F2128" s="2"/>
      <c r="G2128" s="2"/>
      <c r="H2128" s="2"/>
      <c r="I2128" s="2"/>
      <c r="J2128" s="2"/>
      <c r="K2128" s="2"/>
      <c r="L2128" s="2"/>
      <c r="M2128" s="2"/>
    </row>
    <row r="2129" spans="1:13" x14ac:dyDescent="0.3">
      <c r="A2129" s="2"/>
      <c r="B2129" s="2"/>
      <c r="C2129" s="2"/>
      <c r="D2129" s="2"/>
      <c r="E2129" s="4"/>
      <c r="F2129" s="2"/>
      <c r="G2129" s="2"/>
      <c r="H2129" s="2"/>
      <c r="I2129" s="2"/>
      <c r="J2129" s="2"/>
      <c r="K2129" s="2"/>
      <c r="L2129" s="2"/>
      <c r="M2129" s="2"/>
    </row>
    <row r="2130" spans="1:13" x14ac:dyDescent="0.3">
      <c r="A2130" s="2"/>
      <c r="B2130" s="2"/>
      <c r="C2130" s="2"/>
      <c r="D2130" s="2"/>
      <c r="E2130" s="4"/>
      <c r="F2130" s="2"/>
      <c r="G2130" s="2"/>
      <c r="H2130" s="2"/>
      <c r="I2130" s="2"/>
      <c r="J2130" s="2"/>
      <c r="K2130" s="2"/>
      <c r="L2130" s="2"/>
      <c r="M2130" s="2"/>
    </row>
    <row r="2131" spans="1:13" x14ac:dyDescent="0.3">
      <c r="A2131" s="2"/>
      <c r="B2131" s="2"/>
      <c r="C2131" s="2"/>
      <c r="D2131" s="2"/>
      <c r="E2131" s="4"/>
      <c r="F2131" s="2"/>
      <c r="G2131" s="2"/>
      <c r="H2131" s="2"/>
      <c r="I2131" s="2"/>
      <c r="J2131" s="2"/>
      <c r="K2131" s="2"/>
      <c r="L2131" s="2"/>
      <c r="M2131" s="2"/>
    </row>
    <row r="2132" spans="1:13" x14ac:dyDescent="0.3">
      <c r="A2132" s="2"/>
      <c r="B2132" s="2"/>
      <c r="C2132" s="2"/>
      <c r="D2132" s="2"/>
      <c r="E2132" s="4"/>
      <c r="F2132" s="2"/>
      <c r="G2132" s="2"/>
      <c r="H2132" s="2"/>
      <c r="I2132" s="2"/>
      <c r="J2132" s="2"/>
      <c r="K2132" s="2"/>
      <c r="L2132" s="2"/>
      <c r="M2132" s="2"/>
    </row>
    <row r="2133" spans="1:13" x14ac:dyDescent="0.3">
      <c r="A2133" s="2"/>
      <c r="B2133" s="2"/>
      <c r="C2133" s="2"/>
      <c r="D2133" s="2"/>
      <c r="E2133" s="4"/>
      <c r="F2133" s="2"/>
      <c r="G2133" s="2"/>
      <c r="H2133" s="2"/>
      <c r="I2133" s="2"/>
      <c r="J2133" s="2"/>
      <c r="K2133" s="2"/>
      <c r="L2133" s="2"/>
      <c r="M2133" s="2"/>
    </row>
    <row r="2134" spans="1:13" x14ac:dyDescent="0.3">
      <c r="A2134" s="2"/>
      <c r="B2134" s="2"/>
      <c r="C2134" s="2"/>
      <c r="D2134" s="2"/>
      <c r="E2134" s="4"/>
      <c r="F2134" s="2"/>
      <c r="G2134" s="2"/>
      <c r="H2134" s="2"/>
      <c r="I2134" s="2"/>
      <c r="J2134" s="2"/>
      <c r="K2134" s="2"/>
      <c r="L2134" s="2"/>
      <c r="M2134" s="2"/>
    </row>
    <row r="2135" spans="1:13" x14ac:dyDescent="0.3">
      <c r="A2135" s="2"/>
      <c r="B2135" s="2"/>
      <c r="C2135" s="2"/>
      <c r="D2135" s="2"/>
      <c r="E2135" s="4"/>
      <c r="F2135" s="2"/>
      <c r="G2135" s="2"/>
      <c r="H2135" s="2"/>
      <c r="I2135" s="2"/>
      <c r="J2135" s="2"/>
      <c r="K2135" s="2"/>
      <c r="L2135" s="2"/>
      <c r="M2135" s="2"/>
    </row>
    <row r="2136" spans="1:13" x14ac:dyDescent="0.3">
      <c r="A2136" s="2"/>
      <c r="B2136" s="2"/>
      <c r="C2136" s="2"/>
      <c r="D2136" s="2"/>
      <c r="E2136" s="4"/>
      <c r="F2136" s="2"/>
      <c r="G2136" s="2"/>
      <c r="H2136" s="2"/>
      <c r="I2136" s="2"/>
      <c r="J2136" s="2"/>
      <c r="K2136" s="2"/>
      <c r="L2136" s="2"/>
      <c r="M2136" s="2"/>
    </row>
    <row r="2137" spans="1:13" x14ac:dyDescent="0.3">
      <c r="A2137" s="2"/>
      <c r="B2137" s="2"/>
      <c r="C2137" s="2"/>
      <c r="D2137" s="2"/>
      <c r="E2137" s="4"/>
      <c r="F2137" s="2"/>
      <c r="G2137" s="2"/>
      <c r="H2137" s="2"/>
      <c r="I2137" s="2"/>
      <c r="J2137" s="2"/>
      <c r="K2137" s="2"/>
      <c r="L2137" s="2"/>
      <c r="M2137" s="2"/>
    </row>
    <row r="2138" spans="1:13" x14ac:dyDescent="0.3">
      <c r="A2138" s="2"/>
      <c r="B2138" s="2"/>
      <c r="C2138" s="2"/>
      <c r="D2138" s="2"/>
      <c r="E2138" s="4"/>
      <c r="F2138" s="2"/>
      <c r="G2138" s="2"/>
      <c r="H2138" s="2"/>
      <c r="I2138" s="2"/>
      <c r="J2138" s="2"/>
      <c r="K2138" s="2"/>
      <c r="L2138" s="2"/>
      <c r="M2138" s="2"/>
    </row>
    <row r="2139" spans="1:13" x14ac:dyDescent="0.3">
      <c r="A2139" s="2"/>
      <c r="B2139" s="2"/>
      <c r="C2139" s="2"/>
      <c r="D2139" s="2"/>
      <c r="E2139" s="4"/>
      <c r="F2139" s="2"/>
      <c r="G2139" s="2"/>
      <c r="H2139" s="2"/>
      <c r="I2139" s="2"/>
      <c r="J2139" s="2"/>
      <c r="K2139" s="2"/>
      <c r="L2139" s="2"/>
      <c r="M2139" s="2"/>
    </row>
    <row r="2140" spans="1:13" x14ac:dyDescent="0.3">
      <c r="A2140" s="2"/>
      <c r="B2140" s="2"/>
      <c r="C2140" s="2"/>
      <c r="D2140" s="2"/>
      <c r="E2140" s="4"/>
      <c r="F2140" s="2"/>
      <c r="G2140" s="2"/>
      <c r="H2140" s="2"/>
      <c r="I2140" s="2"/>
      <c r="J2140" s="2"/>
      <c r="K2140" s="2"/>
      <c r="L2140" s="2"/>
      <c r="M2140" s="2"/>
    </row>
    <row r="2141" spans="1:13" x14ac:dyDescent="0.3">
      <c r="A2141" s="2"/>
      <c r="B2141" s="2"/>
      <c r="C2141" s="2"/>
      <c r="D2141" s="2"/>
      <c r="E2141" s="4"/>
      <c r="F2141" s="2"/>
      <c r="G2141" s="2"/>
      <c r="H2141" s="2"/>
      <c r="I2141" s="2"/>
      <c r="J2141" s="2"/>
      <c r="K2141" s="2"/>
      <c r="L2141" s="2"/>
      <c r="M2141" s="2"/>
    </row>
    <row r="2142" spans="1:13" x14ac:dyDescent="0.3">
      <c r="A2142" s="2"/>
      <c r="B2142" s="2"/>
      <c r="C2142" s="2"/>
      <c r="D2142" s="2"/>
      <c r="E2142" s="4"/>
      <c r="F2142" s="2"/>
      <c r="G2142" s="2"/>
      <c r="H2142" s="2"/>
      <c r="I2142" s="2"/>
      <c r="J2142" s="2"/>
      <c r="K2142" s="2"/>
      <c r="L2142" s="2"/>
      <c r="M2142" s="2"/>
    </row>
    <row r="2143" spans="1:13" x14ac:dyDescent="0.3">
      <c r="A2143" s="2"/>
      <c r="B2143" s="2"/>
      <c r="C2143" s="2"/>
      <c r="D2143" s="2"/>
      <c r="E2143" s="4"/>
      <c r="F2143" s="2"/>
      <c r="G2143" s="2"/>
      <c r="H2143" s="2"/>
      <c r="I2143" s="2"/>
      <c r="J2143" s="2"/>
      <c r="K2143" s="2"/>
      <c r="L2143" s="2"/>
      <c r="M2143" s="2"/>
    </row>
    <row r="2144" spans="1:13" x14ac:dyDescent="0.3">
      <c r="A2144" s="2"/>
      <c r="B2144" s="2"/>
      <c r="C2144" s="2"/>
      <c r="D2144" s="2"/>
      <c r="E2144" s="4"/>
      <c r="F2144" s="2"/>
      <c r="G2144" s="2"/>
      <c r="H2144" s="2"/>
      <c r="I2144" s="2"/>
      <c r="J2144" s="2"/>
      <c r="K2144" s="2"/>
      <c r="L2144" s="2"/>
      <c r="M2144" s="2"/>
    </row>
    <row r="2145" spans="1:13" x14ac:dyDescent="0.3">
      <c r="A2145" s="2"/>
      <c r="B2145" s="2"/>
      <c r="C2145" s="2"/>
      <c r="D2145" s="2"/>
      <c r="E2145" s="4"/>
      <c r="F2145" s="2"/>
      <c r="G2145" s="2"/>
      <c r="H2145" s="2"/>
      <c r="I2145" s="2"/>
      <c r="J2145" s="2"/>
      <c r="K2145" s="2"/>
      <c r="L2145" s="2"/>
      <c r="M2145" s="2"/>
    </row>
    <row r="2146" spans="1:13" x14ac:dyDescent="0.3">
      <c r="A2146" s="2"/>
      <c r="B2146" s="2"/>
      <c r="C2146" s="2"/>
      <c r="D2146" s="2"/>
      <c r="E2146" s="4"/>
      <c r="F2146" s="2"/>
      <c r="G2146" s="2"/>
      <c r="H2146" s="2"/>
      <c r="I2146" s="2"/>
      <c r="J2146" s="2"/>
      <c r="K2146" s="2"/>
      <c r="L2146" s="2"/>
      <c r="M2146" s="2"/>
    </row>
    <row r="2147" spans="1:13" x14ac:dyDescent="0.3">
      <c r="A2147" s="2"/>
      <c r="B2147" s="2"/>
      <c r="C2147" s="2"/>
      <c r="D2147" s="2"/>
      <c r="E2147" s="4"/>
      <c r="F2147" s="2"/>
      <c r="G2147" s="2"/>
      <c r="H2147" s="2"/>
      <c r="I2147" s="2"/>
      <c r="J2147" s="2"/>
      <c r="K2147" s="2"/>
      <c r="L2147" s="2"/>
      <c r="M2147" s="2"/>
    </row>
    <row r="2148" spans="1:13" x14ac:dyDescent="0.3">
      <c r="A2148" s="2"/>
      <c r="B2148" s="2"/>
      <c r="C2148" s="2"/>
      <c r="D2148" s="2"/>
      <c r="E2148" s="4"/>
      <c r="F2148" s="2"/>
      <c r="G2148" s="2"/>
      <c r="H2148" s="2"/>
      <c r="I2148" s="2"/>
      <c r="J2148" s="2"/>
      <c r="K2148" s="2"/>
      <c r="L2148" s="2"/>
      <c r="M2148" s="2"/>
    </row>
    <row r="2149" spans="1:13" x14ac:dyDescent="0.3">
      <c r="A2149" s="2"/>
      <c r="B2149" s="2"/>
      <c r="C2149" s="2"/>
      <c r="D2149" s="2"/>
      <c r="E2149" s="4"/>
      <c r="F2149" s="2"/>
      <c r="G2149" s="2"/>
      <c r="H2149" s="2"/>
      <c r="I2149" s="2"/>
      <c r="J2149" s="2"/>
      <c r="K2149" s="2"/>
      <c r="L2149" s="2"/>
      <c r="M2149" s="2"/>
    </row>
    <row r="2150" spans="1:13" x14ac:dyDescent="0.3">
      <c r="A2150" s="2"/>
      <c r="B2150" s="2"/>
      <c r="C2150" s="2"/>
      <c r="D2150" s="2"/>
      <c r="E2150" s="4"/>
      <c r="F2150" s="2"/>
      <c r="G2150" s="2"/>
      <c r="H2150" s="2"/>
      <c r="I2150" s="2"/>
      <c r="J2150" s="2"/>
      <c r="K2150" s="2"/>
      <c r="L2150" s="2"/>
      <c r="M2150" s="2"/>
    </row>
    <row r="2151" spans="1:13" x14ac:dyDescent="0.3">
      <c r="A2151" s="2"/>
      <c r="B2151" s="2"/>
      <c r="C2151" s="2"/>
      <c r="D2151" s="2"/>
      <c r="E2151" s="4"/>
      <c r="F2151" s="2"/>
      <c r="G2151" s="2"/>
      <c r="H2151" s="2"/>
      <c r="I2151" s="2"/>
      <c r="J2151" s="2"/>
      <c r="K2151" s="2"/>
      <c r="L2151" s="2"/>
      <c r="M2151" s="2"/>
    </row>
    <row r="2152" spans="1:13" x14ac:dyDescent="0.3">
      <c r="A2152" s="2"/>
      <c r="B2152" s="2"/>
      <c r="C2152" s="2"/>
      <c r="D2152" s="2"/>
      <c r="E2152" s="4"/>
      <c r="F2152" s="2"/>
      <c r="G2152" s="2"/>
      <c r="H2152" s="2"/>
      <c r="I2152" s="2"/>
      <c r="J2152" s="2"/>
      <c r="K2152" s="2"/>
      <c r="L2152" s="2"/>
      <c r="M2152" s="2"/>
    </row>
    <row r="2153" spans="1:13" x14ac:dyDescent="0.3">
      <c r="A2153" s="2"/>
      <c r="B2153" s="2"/>
      <c r="C2153" s="2"/>
      <c r="D2153" s="2"/>
      <c r="E2153" s="4"/>
      <c r="F2153" s="2"/>
      <c r="G2153" s="2"/>
      <c r="H2153" s="2"/>
      <c r="I2153" s="2"/>
      <c r="J2153" s="2"/>
      <c r="K2153" s="2"/>
      <c r="L2153" s="2"/>
      <c r="M2153" s="2"/>
    </row>
    <row r="2154" spans="1:13" x14ac:dyDescent="0.3">
      <c r="A2154" s="2"/>
      <c r="B2154" s="2"/>
      <c r="C2154" s="2"/>
      <c r="D2154" s="2"/>
      <c r="E2154" s="4"/>
      <c r="F2154" s="2"/>
      <c r="G2154" s="2"/>
      <c r="H2154" s="2"/>
      <c r="I2154" s="2"/>
      <c r="J2154" s="2"/>
      <c r="K2154" s="2"/>
      <c r="L2154" s="2"/>
      <c r="M2154" s="2"/>
    </row>
    <row r="2155" spans="1:13" x14ac:dyDescent="0.3">
      <c r="A2155" s="2"/>
      <c r="B2155" s="2"/>
      <c r="C2155" s="2"/>
      <c r="D2155" s="2"/>
      <c r="E2155" s="4"/>
      <c r="F2155" s="2"/>
      <c r="G2155" s="2"/>
      <c r="H2155" s="2"/>
      <c r="I2155" s="2"/>
      <c r="J2155" s="2"/>
      <c r="K2155" s="2"/>
      <c r="L2155" s="2"/>
      <c r="M2155" s="2"/>
    </row>
    <row r="2156" spans="1:13" x14ac:dyDescent="0.3">
      <c r="A2156" s="2"/>
      <c r="B2156" s="2"/>
      <c r="C2156" s="2"/>
      <c r="D2156" s="2"/>
      <c r="E2156" s="4"/>
      <c r="F2156" s="2"/>
      <c r="G2156" s="2"/>
      <c r="H2156" s="2"/>
      <c r="I2156" s="2"/>
      <c r="J2156" s="2"/>
      <c r="K2156" s="2"/>
      <c r="L2156" s="2"/>
      <c r="M2156" s="2"/>
    </row>
    <row r="2157" spans="1:13" x14ac:dyDescent="0.3">
      <c r="A2157" s="2"/>
      <c r="B2157" s="2"/>
      <c r="C2157" s="2"/>
      <c r="D2157" s="2"/>
      <c r="E2157" s="4"/>
      <c r="F2157" s="2"/>
      <c r="G2157" s="2"/>
      <c r="H2157" s="2"/>
      <c r="I2157" s="2"/>
      <c r="J2157" s="2"/>
      <c r="K2157" s="2"/>
      <c r="L2157" s="2"/>
      <c r="M2157" s="2"/>
    </row>
    <row r="2158" spans="1:13" x14ac:dyDescent="0.3">
      <c r="A2158" s="2"/>
      <c r="B2158" s="2"/>
      <c r="C2158" s="2"/>
      <c r="D2158" s="2"/>
      <c r="E2158" s="4"/>
      <c r="F2158" s="2"/>
      <c r="G2158" s="2"/>
      <c r="H2158" s="2"/>
      <c r="I2158" s="2"/>
      <c r="J2158" s="2"/>
      <c r="K2158" s="2"/>
      <c r="L2158" s="2"/>
      <c r="M2158" s="2"/>
    </row>
    <row r="2159" spans="1:13" x14ac:dyDescent="0.3">
      <c r="A2159" s="2"/>
      <c r="B2159" s="2"/>
      <c r="C2159" s="2"/>
      <c r="D2159" s="2"/>
      <c r="E2159" s="4"/>
      <c r="F2159" s="2"/>
      <c r="G2159" s="2"/>
      <c r="H2159" s="2"/>
      <c r="I2159" s="2"/>
      <c r="J2159" s="2"/>
      <c r="K2159" s="2"/>
      <c r="L2159" s="2"/>
      <c r="M2159" s="2"/>
    </row>
    <row r="2160" spans="1:13" x14ac:dyDescent="0.3">
      <c r="A2160" s="2"/>
      <c r="B2160" s="2"/>
      <c r="C2160" s="2"/>
      <c r="D2160" s="2"/>
      <c r="E2160" s="4"/>
      <c r="F2160" s="2"/>
      <c r="G2160" s="2"/>
      <c r="H2160" s="2"/>
      <c r="I2160" s="2"/>
      <c r="J2160" s="2"/>
      <c r="K2160" s="2"/>
      <c r="L2160" s="2"/>
      <c r="M2160" s="2"/>
    </row>
    <row r="2161" spans="1:13" x14ac:dyDescent="0.3">
      <c r="A2161" s="2"/>
      <c r="B2161" s="2"/>
      <c r="C2161" s="2"/>
      <c r="D2161" s="2"/>
      <c r="E2161" s="4"/>
      <c r="F2161" s="2"/>
      <c r="G2161" s="2"/>
      <c r="H2161" s="2"/>
      <c r="I2161" s="2"/>
      <c r="J2161" s="2"/>
      <c r="K2161" s="2"/>
      <c r="L2161" s="2"/>
      <c r="M2161" s="2"/>
    </row>
    <row r="2162" spans="1:13" x14ac:dyDescent="0.3">
      <c r="A2162" s="2"/>
      <c r="B2162" s="2"/>
      <c r="C2162" s="2"/>
      <c r="D2162" s="2"/>
      <c r="E2162" s="4"/>
      <c r="F2162" s="2"/>
      <c r="G2162" s="2"/>
      <c r="H2162" s="2"/>
      <c r="I2162" s="2"/>
      <c r="J2162" s="2"/>
      <c r="K2162" s="2"/>
      <c r="L2162" s="2"/>
      <c r="M2162" s="2"/>
    </row>
    <row r="2163" spans="1:13" x14ac:dyDescent="0.3">
      <c r="A2163" s="2"/>
      <c r="B2163" s="2"/>
      <c r="C2163" s="2"/>
      <c r="D2163" s="2"/>
      <c r="E2163" s="4"/>
      <c r="F2163" s="2"/>
      <c r="G2163" s="2"/>
      <c r="H2163" s="2"/>
      <c r="I2163" s="2"/>
      <c r="J2163" s="2"/>
      <c r="K2163" s="2"/>
      <c r="L2163" s="2"/>
      <c r="M2163" s="2"/>
    </row>
    <row r="2164" spans="1:13" x14ac:dyDescent="0.3">
      <c r="A2164" s="2"/>
      <c r="B2164" s="2"/>
      <c r="C2164" s="2"/>
      <c r="D2164" s="2"/>
      <c r="E2164" s="4"/>
      <c r="F2164" s="2"/>
      <c r="G2164" s="2"/>
      <c r="H2164" s="2"/>
      <c r="I2164" s="2"/>
      <c r="J2164" s="2"/>
      <c r="K2164" s="2"/>
      <c r="L2164" s="2"/>
      <c r="M2164" s="2"/>
    </row>
    <row r="2165" spans="1:13" x14ac:dyDescent="0.3">
      <c r="A2165" s="2"/>
      <c r="B2165" s="2"/>
      <c r="C2165" s="2"/>
      <c r="D2165" s="2"/>
      <c r="E2165" s="4"/>
      <c r="F2165" s="2"/>
      <c r="G2165" s="2"/>
      <c r="H2165" s="2"/>
      <c r="I2165" s="2"/>
      <c r="J2165" s="2"/>
      <c r="K2165" s="2"/>
      <c r="L2165" s="2"/>
      <c r="M2165" s="2"/>
    </row>
    <row r="2166" spans="1:13" x14ac:dyDescent="0.3">
      <c r="A2166" s="2"/>
      <c r="B2166" s="2"/>
      <c r="C2166" s="2"/>
      <c r="D2166" s="2"/>
      <c r="E2166" s="4"/>
      <c r="F2166" s="2"/>
      <c r="G2166" s="2"/>
      <c r="H2166" s="2"/>
      <c r="I2166" s="2"/>
      <c r="J2166" s="2"/>
      <c r="K2166" s="2"/>
      <c r="L2166" s="2"/>
      <c r="M2166" s="2"/>
    </row>
    <row r="2167" spans="1:13" x14ac:dyDescent="0.3">
      <c r="A2167" s="2"/>
      <c r="B2167" s="2"/>
      <c r="C2167" s="2"/>
      <c r="D2167" s="2"/>
      <c r="E2167" s="4"/>
      <c r="F2167" s="2"/>
      <c r="G2167" s="2"/>
      <c r="H2167" s="2"/>
      <c r="I2167" s="2"/>
      <c r="J2167" s="2"/>
      <c r="K2167" s="2"/>
      <c r="L2167" s="2"/>
      <c r="M2167" s="2"/>
    </row>
    <row r="2168" spans="1:13" x14ac:dyDescent="0.3">
      <c r="A2168" s="2"/>
      <c r="B2168" s="2"/>
      <c r="C2168" s="2"/>
      <c r="D2168" s="2"/>
      <c r="E2168" s="4"/>
      <c r="F2168" s="2"/>
      <c r="G2168" s="2"/>
      <c r="H2168" s="2"/>
      <c r="I2168" s="2"/>
      <c r="J2168" s="2"/>
      <c r="K2168" s="2"/>
      <c r="L2168" s="2"/>
      <c r="M2168" s="2"/>
    </row>
    <row r="2169" spans="1:13" x14ac:dyDescent="0.3">
      <c r="A2169" s="2"/>
      <c r="B2169" s="2"/>
      <c r="C2169" s="2"/>
      <c r="D2169" s="2"/>
      <c r="E2169" s="4"/>
      <c r="F2169" s="2"/>
      <c r="G2169" s="2"/>
      <c r="H2169" s="2"/>
      <c r="I2169" s="2"/>
      <c r="J2169" s="2"/>
      <c r="K2169" s="2"/>
      <c r="L2169" s="2"/>
      <c r="M2169" s="2"/>
    </row>
    <row r="2170" spans="1:13" x14ac:dyDescent="0.3">
      <c r="A2170" s="2"/>
      <c r="B2170" s="2"/>
      <c r="C2170" s="2"/>
      <c r="D2170" s="2"/>
      <c r="E2170" s="4"/>
      <c r="F2170" s="2"/>
      <c r="G2170" s="2"/>
      <c r="H2170" s="2"/>
      <c r="I2170" s="2"/>
      <c r="J2170" s="2"/>
      <c r="K2170" s="2"/>
      <c r="L2170" s="2"/>
      <c r="M2170" s="2"/>
    </row>
    <row r="2171" spans="1:13" x14ac:dyDescent="0.3">
      <c r="A2171" s="2"/>
      <c r="B2171" s="2"/>
      <c r="C2171" s="2"/>
      <c r="D2171" s="2"/>
      <c r="E2171" s="4"/>
      <c r="F2171" s="2"/>
      <c r="G2171" s="2"/>
      <c r="H2171" s="2"/>
      <c r="I2171" s="2"/>
      <c r="J2171" s="2"/>
      <c r="K2171" s="2"/>
      <c r="L2171" s="2"/>
      <c r="M2171" s="2"/>
    </row>
    <row r="2172" spans="1:13" x14ac:dyDescent="0.3">
      <c r="A2172" s="2"/>
      <c r="B2172" s="2"/>
      <c r="C2172" s="2"/>
      <c r="D2172" s="2"/>
      <c r="E2172" s="4"/>
      <c r="F2172" s="2"/>
      <c r="G2172" s="2"/>
      <c r="H2172" s="2"/>
      <c r="I2172" s="2"/>
      <c r="J2172" s="2"/>
      <c r="K2172" s="2"/>
      <c r="L2172" s="2"/>
      <c r="M2172" s="2"/>
    </row>
    <row r="2173" spans="1:13" x14ac:dyDescent="0.3">
      <c r="A2173" s="2"/>
      <c r="B2173" s="2"/>
      <c r="C2173" s="2"/>
      <c r="D2173" s="2"/>
      <c r="E2173" s="4"/>
      <c r="F2173" s="2"/>
      <c r="G2173" s="2"/>
      <c r="H2173" s="2"/>
      <c r="I2173" s="2"/>
      <c r="J2173" s="2"/>
      <c r="K2173" s="2"/>
      <c r="L2173" s="2"/>
      <c r="M2173" s="2"/>
    </row>
    <row r="2174" spans="1:13" x14ac:dyDescent="0.3">
      <c r="A2174" s="2"/>
      <c r="B2174" s="2"/>
      <c r="C2174" s="2"/>
      <c r="D2174" s="2"/>
      <c r="E2174" s="4"/>
      <c r="F2174" s="2"/>
      <c r="G2174" s="2"/>
      <c r="H2174" s="2"/>
      <c r="I2174" s="2"/>
      <c r="J2174" s="2"/>
      <c r="K2174" s="2"/>
      <c r="L2174" s="2"/>
      <c r="M2174" s="2"/>
    </row>
    <row r="2175" spans="1:13" x14ac:dyDescent="0.3">
      <c r="A2175" s="2"/>
      <c r="B2175" s="2"/>
      <c r="C2175" s="2"/>
      <c r="D2175" s="2"/>
      <c r="E2175" s="4"/>
      <c r="F2175" s="2"/>
      <c r="G2175" s="2"/>
      <c r="H2175" s="2"/>
      <c r="I2175" s="2"/>
      <c r="J2175" s="2"/>
      <c r="K2175" s="2"/>
      <c r="L2175" s="2"/>
      <c r="M2175" s="2"/>
    </row>
    <row r="2176" spans="1:13" x14ac:dyDescent="0.3">
      <c r="A2176" s="2"/>
      <c r="B2176" s="2"/>
      <c r="C2176" s="2"/>
      <c r="D2176" s="2"/>
      <c r="E2176" s="4"/>
      <c r="F2176" s="2"/>
      <c r="G2176" s="2"/>
      <c r="H2176" s="2"/>
      <c r="I2176" s="2"/>
      <c r="J2176" s="2"/>
      <c r="K2176" s="2"/>
      <c r="L2176" s="2"/>
      <c r="M2176" s="2"/>
    </row>
    <row r="2177" spans="1:13" x14ac:dyDescent="0.3">
      <c r="A2177" s="2"/>
      <c r="B2177" s="2"/>
      <c r="C2177" s="2"/>
      <c r="D2177" s="2"/>
      <c r="E2177" s="4"/>
      <c r="F2177" s="2"/>
      <c r="G2177" s="2"/>
      <c r="H2177" s="2"/>
      <c r="I2177" s="2"/>
      <c r="J2177" s="2"/>
      <c r="K2177" s="2"/>
      <c r="L2177" s="2"/>
      <c r="M2177" s="2"/>
    </row>
    <row r="2178" spans="1:13" x14ac:dyDescent="0.3">
      <c r="A2178" s="2"/>
      <c r="B2178" s="2"/>
      <c r="C2178" s="2"/>
      <c r="D2178" s="2"/>
      <c r="E2178" s="4"/>
      <c r="F2178" s="2"/>
      <c r="G2178" s="2"/>
      <c r="H2178" s="2"/>
      <c r="I2178" s="2"/>
      <c r="J2178" s="2"/>
      <c r="K2178" s="2"/>
      <c r="L2178" s="2"/>
      <c r="M2178" s="2"/>
    </row>
    <row r="2179" spans="1:13" x14ac:dyDescent="0.3">
      <c r="A2179" s="2"/>
      <c r="B2179" s="2"/>
      <c r="C2179" s="2"/>
      <c r="D2179" s="2"/>
      <c r="E2179" s="4"/>
      <c r="F2179" s="2"/>
      <c r="G2179" s="2"/>
      <c r="H2179" s="2"/>
      <c r="I2179" s="2"/>
      <c r="J2179" s="2"/>
      <c r="K2179" s="2"/>
      <c r="L2179" s="2"/>
      <c r="M2179" s="2"/>
    </row>
    <row r="2180" spans="1:13" x14ac:dyDescent="0.3">
      <c r="A2180" s="2"/>
      <c r="B2180" s="2"/>
      <c r="C2180" s="2"/>
      <c r="D2180" s="2"/>
      <c r="E2180" s="4"/>
      <c r="F2180" s="2"/>
      <c r="G2180" s="2"/>
      <c r="H2180" s="2"/>
      <c r="I2180" s="2"/>
      <c r="J2180" s="2"/>
      <c r="K2180" s="2"/>
      <c r="L2180" s="2"/>
      <c r="M2180" s="2"/>
    </row>
    <row r="2181" spans="1:13" x14ac:dyDescent="0.3">
      <c r="A2181" s="2"/>
      <c r="B2181" s="2"/>
      <c r="C2181" s="2"/>
      <c r="D2181" s="2"/>
      <c r="E2181" s="4"/>
      <c r="F2181" s="2"/>
      <c r="G2181" s="2"/>
      <c r="H2181" s="2"/>
      <c r="I2181" s="2"/>
      <c r="J2181" s="2"/>
      <c r="K2181" s="2"/>
      <c r="L2181" s="2"/>
      <c r="M2181" s="2"/>
    </row>
    <row r="2182" spans="1:13" x14ac:dyDescent="0.3">
      <c r="A2182" s="2"/>
      <c r="B2182" s="2"/>
      <c r="C2182" s="2"/>
      <c r="D2182" s="2"/>
      <c r="E2182" s="4"/>
      <c r="F2182" s="2"/>
      <c r="G2182" s="2"/>
      <c r="H2182" s="2"/>
      <c r="I2182" s="2"/>
      <c r="J2182" s="2"/>
      <c r="K2182" s="2"/>
      <c r="L2182" s="2"/>
      <c r="M2182" s="2"/>
    </row>
    <row r="2183" spans="1:13" x14ac:dyDescent="0.3">
      <c r="A2183" s="2"/>
      <c r="B2183" s="2"/>
      <c r="C2183" s="2"/>
      <c r="D2183" s="2"/>
      <c r="E2183" s="4"/>
      <c r="F2183" s="2"/>
      <c r="G2183" s="2"/>
      <c r="H2183" s="2"/>
      <c r="I2183" s="2"/>
      <c r="J2183" s="2"/>
      <c r="K2183" s="2"/>
      <c r="L2183" s="2"/>
      <c r="M2183" s="2"/>
    </row>
    <row r="2184" spans="1:13" x14ac:dyDescent="0.3">
      <c r="A2184" s="2"/>
      <c r="B2184" s="2"/>
      <c r="C2184" s="2"/>
      <c r="D2184" s="2"/>
      <c r="E2184" s="4"/>
      <c r="F2184" s="2"/>
      <c r="G2184" s="2"/>
      <c r="H2184" s="2"/>
      <c r="I2184" s="2"/>
      <c r="J2184" s="2"/>
      <c r="K2184" s="2"/>
      <c r="L2184" s="2"/>
      <c r="M2184" s="2"/>
    </row>
    <row r="2185" spans="1:13" x14ac:dyDescent="0.3">
      <c r="A2185" s="2"/>
      <c r="B2185" s="2"/>
      <c r="C2185" s="2"/>
      <c r="D2185" s="2"/>
      <c r="E2185" s="4"/>
      <c r="F2185" s="2"/>
      <c r="G2185" s="2"/>
      <c r="H2185" s="2"/>
      <c r="I2185" s="2"/>
      <c r="J2185" s="2"/>
      <c r="K2185" s="2"/>
      <c r="L2185" s="2"/>
      <c r="M2185" s="2"/>
    </row>
    <row r="2186" spans="1:13" x14ac:dyDescent="0.3">
      <c r="A2186" s="2"/>
      <c r="B2186" s="2"/>
      <c r="C2186" s="2"/>
      <c r="D2186" s="2"/>
      <c r="E2186" s="4"/>
      <c r="F2186" s="2"/>
      <c r="G2186" s="2"/>
      <c r="H2186" s="2"/>
      <c r="I2186" s="2"/>
      <c r="J2186" s="2"/>
      <c r="K2186" s="2"/>
      <c r="L2186" s="2"/>
      <c r="M2186" s="2"/>
    </row>
    <row r="2187" spans="1:13" x14ac:dyDescent="0.3">
      <c r="A2187" s="2"/>
      <c r="B2187" s="2"/>
      <c r="C2187" s="2"/>
      <c r="D2187" s="2"/>
      <c r="E2187" s="4"/>
      <c r="F2187" s="2"/>
      <c r="G2187" s="2"/>
      <c r="H2187" s="2"/>
      <c r="I2187" s="2"/>
      <c r="J2187" s="2"/>
      <c r="K2187" s="2"/>
      <c r="L2187" s="2"/>
      <c r="M2187" s="2"/>
    </row>
    <row r="2188" spans="1:13" x14ac:dyDescent="0.3">
      <c r="A2188" s="2"/>
      <c r="B2188" s="2"/>
      <c r="C2188" s="2"/>
      <c r="D2188" s="2"/>
      <c r="E2188" s="4"/>
      <c r="F2188" s="2"/>
      <c r="G2188" s="2"/>
      <c r="H2188" s="2"/>
      <c r="I2188" s="2"/>
      <c r="J2188" s="2"/>
      <c r="K2188" s="2"/>
      <c r="L2188" s="2"/>
      <c r="M2188" s="2"/>
    </row>
    <row r="2189" spans="1:13" x14ac:dyDescent="0.3">
      <c r="A2189" s="2"/>
      <c r="B2189" s="2"/>
      <c r="C2189" s="2"/>
      <c r="D2189" s="2"/>
      <c r="E2189" s="4"/>
      <c r="F2189" s="2"/>
      <c r="G2189" s="2"/>
      <c r="H2189" s="2"/>
      <c r="I2189" s="2"/>
      <c r="J2189" s="2"/>
      <c r="K2189" s="2"/>
      <c r="L2189" s="2"/>
      <c r="M2189" s="2"/>
    </row>
    <row r="2190" spans="1:13" x14ac:dyDescent="0.3">
      <c r="A2190" s="2"/>
      <c r="B2190" s="2"/>
      <c r="C2190" s="2"/>
      <c r="D2190" s="2"/>
      <c r="E2190" s="4"/>
      <c r="F2190" s="2"/>
      <c r="G2190" s="2"/>
      <c r="H2190" s="2"/>
      <c r="I2190" s="2"/>
      <c r="J2190" s="2"/>
      <c r="K2190" s="2"/>
      <c r="L2190" s="2"/>
      <c r="M2190" s="2"/>
    </row>
    <row r="2191" spans="1:13" x14ac:dyDescent="0.3">
      <c r="A2191" s="2"/>
      <c r="B2191" s="2"/>
      <c r="C2191" s="2"/>
      <c r="D2191" s="2"/>
      <c r="E2191" s="4"/>
      <c r="F2191" s="2"/>
      <c r="G2191" s="2"/>
      <c r="H2191" s="2"/>
      <c r="I2191" s="2"/>
      <c r="J2191" s="2"/>
      <c r="K2191" s="2"/>
      <c r="L2191" s="2"/>
      <c r="M2191" s="2"/>
    </row>
    <row r="2192" spans="1:13" x14ac:dyDescent="0.3">
      <c r="A2192" s="2"/>
      <c r="B2192" s="2"/>
      <c r="C2192" s="2"/>
      <c r="D2192" s="2"/>
      <c r="E2192" s="4"/>
      <c r="F2192" s="2"/>
      <c r="G2192" s="2"/>
      <c r="H2192" s="2"/>
      <c r="I2192" s="2"/>
      <c r="J2192" s="2"/>
      <c r="K2192" s="2"/>
      <c r="L2192" s="2"/>
      <c r="M2192" s="2"/>
    </row>
    <row r="2193" spans="1:13" x14ac:dyDescent="0.3">
      <c r="A2193" s="2"/>
      <c r="B2193" s="2"/>
      <c r="C2193" s="2"/>
      <c r="D2193" s="2"/>
      <c r="E2193" s="4"/>
      <c r="F2193" s="2"/>
      <c r="G2193" s="2"/>
      <c r="H2193" s="2"/>
      <c r="I2193" s="2"/>
      <c r="J2193" s="2"/>
      <c r="K2193" s="2"/>
      <c r="L2193" s="2"/>
      <c r="M2193" s="2"/>
    </row>
    <row r="2194" spans="1:13" x14ac:dyDescent="0.3">
      <c r="A2194" s="2"/>
      <c r="B2194" s="2"/>
      <c r="C2194" s="2"/>
      <c r="D2194" s="2"/>
      <c r="E2194" s="4"/>
      <c r="F2194" s="2"/>
      <c r="G2194" s="2"/>
      <c r="H2194" s="2"/>
      <c r="I2194" s="2"/>
      <c r="J2194" s="2"/>
      <c r="K2194" s="2"/>
      <c r="L2194" s="2"/>
      <c r="M2194" s="2"/>
    </row>
    <row r="2195" spans="1:13" x14ac:dyDescent="0.3">
      <c r="A2195" s="2"/>
      <c r="B2195" s="2"/>
      <c r="C2195" s="2"/>
      <c r="D2195" s="2"/>
      <c r="E2195" s="4"/>
      <c r="F2195" s="2"/>
      <c r="G2195" s="2"/>
      <c r="H2195" s="2"/>
      <c r="I2195" s="2"/>
      <c r="J2195" s="2"/>
      <c r="K2195" s="2"/>
      <c r="L2195" s="2"/>
      <c r="M2195" s="2"/>
    </row>
    <row r="2196" spans="1:13" x14ac:dyDescent="0.3">
      <c r="A2196" s="2"/>
      <c r="B2196" s="2"/>
      <c r="C2196" s="2"/>
      <c r="D2196" s="2"/>
      <c r="E2196" s="4"/>
      <c r="F2196" s="2"/>
      <c r="G2196" s="2"/>
      <c r="H2196" s="2"/>
      <c r="I2196" s="2"/>
      <c r="J2196" s="2"/>
      <c r="K2196" s="2"/>
      <c r="L2196" s="2"/>
      <c r="M2196" s="2"/>
    </row>
    <row r="2197" spans="1:13" x14ac:dyDescent="0.3">
      <c r="A2197" s="2"/>
      <c r="B2197" s="2"/>
      <c r="C2197" s="2"/>
      <c r="D2197" s="2"/>
      <c r="E2197" s="4"/>
      <c r="F2197" s="2"/>
      <c r="G2197" s="2"/>
      <c r="H2197" s="2"/>
      <c r="I2197" s="2"/>
      <c r="J2197" s="2"/>
      <c r="K2197" s="2"/>
      <c r="L2197" s="2"/>
      <c r="M2197" s="2"/>
    </row>
    <row r="2198" spans="1:13" x14ac:dyDescent="0.3">
      <c r="A2198" s="2"/>
      <c r="B2198" s="2"/>
      <c r="C2198" s="2"/>
      <c r="D2198" s="2"/>
      <c r="E2198" s="4"/>
      <c r="F2198" s="2"/>
      <c r="G2198" s="2"/>
      <c r="H2198" s="2"/>
      <c r="I2198" s="2"/>
      <c r="J2198" s="2"/>
      <c r="K2198" s="2"/>
      <c r="L2198" s="2"/>
      <c r="M2198" s="2"/>
    </row>
    <row r="2199" spans="1:13" x14ac:dyDescent="0.3">
      <c r="A2199" s="2"/>
      <c r="B2199" s="2"/>
      <c r="C2199" s="2"/>
      <c r="D2199" s="2"/>
      <c r="E2199" s="4"/>
      <c r="F2199" s="2"/>
      <c r="G2199" s="2"/>
      <c r="H2199" s="2"/>
      <c r="I2199" s="2"/>
      <c r="J2199" s="2"/>
      <c r="K2199" s="2"/>
      <c r="L2199" s="2"/>
      <c r="M2199" s="2"/>
    </row>
    <row r="2200" spans="1:13" x14ac:dyDescent="0.3">
      <c r="A2200" s="2"/>
      <c r="B2200" s="2"/>
      <c r="C2200" s="2"/>
      <c r="D2200" s="2"/>
      <c r="E2200" s="4"/>
      <c r="F2200" s="2"/>
      <c r="G2200" s="2"/>
      <c r="H2200" s="2"/>
      <c r="I2200" s="2"/>
      <c r="J2200" s="2"/>
      <c r="K2200" s="2"/>
      <c r="L2200" s="2"/>
      <c r="M2200" s="2"/>
    </row>
    <row r="2201" spans="1:13" x14ac:dyDescent="0.3">
      <c r="A2201" s="2"/>
      <c r="B2201" s="2"/>
      <c r="C2201" s="2"/>
      <c r="D2201" s="2"/>
      <c r="E2201" s="4"/>
      <c r="F2201" s="2"/>
      <c r="G2201" s="2"/>
      <c r="H2201" s="2"/>
      <c r="I2201" s="2"/>
      <c r="J2201" s="2"/>
      <c r="K2201" s="2"/>
      <c r="L2201" s="2"/>
      <c r="M2201" s="2"/>
    </row>
    <row r="2202" spans="1:13" x14ac:dyDescent="0.3">
      <c r="A2202" s="2"/>
      <c r="B2202" s="2"/>
      <c r="C2202" s="2"/>
      <c r="D2202" s="2"/>
      <c r="E2202" s="4"/>
      <c r="F2202" s="2"/>
      <c r="G2202" s="2"/>
      <c r="H2202" s="2"/>
      <c r="I2202" s="2"/>
      <c r="J2202" s="2"/>
      <c r="K2202" s="2"/>
      <c r="L2202" s="2"/>
      <c r="M2202" s="2"/>
    </row>
    <row r="2203" spans="1:13" x14ac:dyDescent="0.3">
      <c r="A2203" s="2"/>
      <c r="B2203" s="2"/>
      <c r="C2203" s="2"/>
      <c r="D2203" s="2"/>
      <c r="E2203" s="4"/>
      <c r="F2203" s="2"/>
      <c r="G2203" s="2"/>
      <c r="H2203" s="2"/>
      <c r="I2203" s="2"/>
      <c r="J2203" s="2"/>
      <c r="K2203" s="2"/>
      <c r="L2203" s="2"/>
      <c r="M2203" s="2"/>
    </row>
    <row r="2204" spans="1:13" x14ac:dyDescent="0.3">
      <c r="A2204" s="2"/>
      <c r="B2204" s="2"/>
      <c r="C2204" s="2"/>
      <c r="D2204" s="2"/>
      <c r="E2204" s="4"/>
      <c r="F2204" s="2"/>
      <c r="G2204" s="2"/>
      <c r="H2204" s="2"/>
      <c r="I2204" s="2"/>
      <c r="J2204" s="2"/>
      <c r="K2204" s="2"/>
      <c r="L2204" s="2"/>
      <c r="M2204" s="2"/>
    </row>
    <row r="2205" spans="1:13" x14ac:dyDescent="0.3">
      <c r="A2205" s="2"/>
      <c r="B2205" s="2"/>
      <c r="C2205" s="2"/>
      <c r="D2205" s="2"/>
      <c r="E2205" s="4"/>
      <c r="F2205" s="2"/>
      <c r="G2205" s="2"/>
      <c r="H2205" s="2"/>
      <c r="I2205" s="2"/>
      <c r="J2205" s="2"/>
      <c r="K2205" s="2"/>
      <c r="L2205" s="2"/>
      <c r="M2205" s="2"/>
    </row>
    <row r="2206" spans="1:13" x14ac:dyDescent="0.3">
      <c r="A2206" s="2"/>
      <c r="B2206" s="2"/>
      <c r="C2206" s="2"/>
      <c r="D2206" s="2"/>
      <c r="E2206" s="4"/>
      <c r="F2206" s="2"/>
      <c r="G2206" s="2"/>
      <c r="H2206" s="2"/>
      <c r="I2206" s="2"/>
      <c r="J2206" s="2"/>
      <c r="K2206" s="2"/>
      <c r="L2206" s="2"/>
      <c r="M2206" s="2"/>
    </row>
    <row r="2207" spans="1:13" x14ac:dyDescent="0.3">
      <c r="A2207" s="2"/>
      <c r="B2207" s="2"/>
      <c r="C2207" s="2"/>
      <c r="D2207" s="2"/>
      <c r="E2207" s="4"/>
      <c r="F2207" s="2"/>
      <c r="G2207" s="2"/>
      <c r="H2207" s="2"/>
      <c r="I2207" s="2"/>
      <c r="J2207" s="2"/>
      <c r="K2207" s="2"/>
      <c r="L2207" s="2"/>
      <c r="M2207" s="2"/>
    </row>
    <row r="2208" spans="1:13" x14ac:dyDescent="0.3">
      <c r="A2208" s="2"/>
      <c r="B2208" s="2"/>
      <c r="C2208" s="2"/>
      <c r="D2208" s="2"/>
      <c r="E2208" s="4"/>
      <c r="F2208" s="2"/>
      <c r="G2208" s="2"/>
      <c r="H2208" s="2"/>
      <c r="I2208" s="2"/>
      <c r="J2208" s="2"/>
      <c r="K2208" s="2"/>
      <c r="L2208" s="2"/>
      <c r="M2208" s="2"/>
    </row>
    <row r="2209" spans="1:13" x14ac:dyDescent="0.3">
      <c r="A2209" s="2"/>
      <c r="B2209" s="2"/>
      <c r="C2209" s="2"/>
      <c r="D2209" s="2"/>
      <c r="E2209" s="4"/>
      <c r="F2209" s="2"/>
      <c r="G2209" s="2"/>
      <c r="H2209" s="2"/>
      <c r="I2209" s="2"/>
      <c r="J2209" s="2"/>
      <c r="K2209" s="2"/>
      <c r="L2209" s="2"/>
      <c r="M2209" s="2"/>
    </row>
    <row r="2210" spans="1:13" x14ac:dyDescent="0.3">
      <c r="A2210" s="2"/>
      <c r="B2210" s="2"/>
      <c r="C2210" s="2"/>
      <c r="D2210" s="2"/>
      <c r="E2210" s="4"/>
      <c r="F2210" s="2"/>
      <c r="G2210" s="2"/>
      <c r="H2210" s="2"/>
      <c r="I2210" s="2"/>
      <c r="J2210" s="2"/>
      <c r="K2210" s="2"/>
      <c r="L2210" s="2"/>
      <c r="M2210" s="2"/>
    </row>
    <row r="2211" spans="1:13" x14ac:dyDescent="0.3">
      <c r="A2211" s="2"/>
      <c r="B2211" s="2"/>
      <c r="C2211" s="2"/>
      <c r="D2211" s="2"/>
      <c r="E2211" s="4"/>
      <c r="F2211" s="2"/>
      <c r="G2211" s="2"/>
      <c r="H2211" s="2"/>
      <c r="I2211" s="2"/>
      <c r="J2211" s="2"/>
      <c r="K2211" s="2"/>
      <c r="L2211" s="2"/>
      <c r="M2211" s="2"/>
    </row>
    <row r="2212" spans="1:13" x14ac:dyDescent="0.3">
      <c r="A2212" s="2"/>
      <c r="B2212" s="2"/>
      <c r="C2212" s="2"/>
      <c r="D2212" s="2"/>
      <c r="E2212" s="4"/>
      <c r="F2212" s="2"/>
      <c r="G2212" s="2"/>
      <c r="H2212" s="2"/>
      <c r="I2212" s="2"/>
      <c r="J2212" s="2"/>
      <c r="K2212" s="2"/>
      <c r="L2212" s="2"/>
      <c r="M2212" s="2"/>
    </row>
    <row r="2213" spans="1:13" x14ac:dyDescent="0.3">
      <c r="A2213" s="2"/>
      <c r="B2213" s="2"/>
      <c r="C2213" s="2"/>
      <c r="D2213" s="2"/>
      <c r="E2213" s="4"/>
      <c r="F2213" s="2"/>
      <c r="G2213" s="2"/>
      <c r="H2213" s="2"/>
      <c r="I2213" s="2"/>
      <c r="J2213" s="2"/>
      <c r="K2213" s="2"/>
      <c r="L2213" s="2"/>
      <c r="M2213" s="2"/>
    </row>
    <row r="2214" spans="1:13" x14ac:dyDescent="0.3">
      <c r="A2214" s="2"/>
      <c r="B2214" s="2"/>
      <c r="C2214" s="2"/>
      <c r="D2214" s="2"/>
      <c r="E2214" s="4"/>
      <c r="F2214" s="2"/>
      <c r="G2214" s="2"/>
      <c r="H2214" s="2"/>
      <c r="I2214" s="2"/>
      <c r="J2214" s="2"/>
      <c r="K2214" s="2"/>
      <c r="L2214" s="2"/>
      <c r="M2214" s="2"/>
    </row>
    <row r="2215" spans="1:13" x14ac:dyDescent="0.3">
      <c r="A2215" s="2"/>
      <c r="B2215" s="2"/>
      <c r="C2215" s="2"/>
      <c r="D2215" s="2"/>
      <c r="E2215" s="4"/>
      <c r="F2215" s="2"/>
      <c r="G2215" s="2"/>
      <c r="H2215" s="2"/>
      <c r="I2215" s="2"/>
      <c r="J2215" s="2"/>
      <c r="K2215" s="2"/>
      <c r="L2215" s="2"/>
      <c r="M2215" s="2"/>
    </row>
    <row r="2216" spans="1:13" x14ac:dyDescent="0.3">
      <c r="A2216" s="2"/>
      <c r="B2216" s="2"/>
      <c r="C2216" s="2"/>
      <c r="D2216" s="2"/>
      <c r="E2216" s="4"/>
      <c r="F2216" s="2"/>
      <c r="G2216" s="2"/>
      <c r="H2216" s="2"/>
      <c r="I2216" s="2"/>
      <c r="J2216" s="2"/>
      <c r="K2216" s="2"/>
      <c r="L2216" s="2"/>
      <c r="M2216" s="2"/>
    </row>
    <row r="2217" spans="1:13" x14ac:dyDescent="0.3">
      <c r="A2217" s="2"/>
      <c r="B2217" s="2"/>
      <c r="C2217" s="2"/>
      <c r="D2217" s="2"/>
      <c r="E2217" s="4"/>
      <c r="F2217" s="2"/>
      <c r="G2217" s="2"/>
      <c r="H2217" s="2"/>
      <c r="I2217" s="2"/>
      <c r="J2217" s="2"/>
      <c r="K2217" s="2"/>
      <c r="L2217" s="2"/>
      <c r="M2217" s="2"/>
    </row>
    <row r="2218" spans="1:13" x14ac:dyDescent="0.3">
      <c r="A2218" s="2"/>
      <c r="B2218" s="2"/>
      <c r="C2218" s="2"/>
      <c r="D2218" s="2"/>
      <c r="E2218" s="4"/>
      <c r="F2218" s="2"/>
      <c r="G2218" s="2"/>
      <c r="H2218" s="2"/>
      <c r="I2218" s="2"/>
      <c r="J2218" s="2"/>
      <c r="K2218" s="2"/>
      <c r="L2218" s="2"/>
      <c r="M2218" s="2"/>
    </row>
    <row r="2219" spans="1:13" x14ac:dyDescent="0.3">
      <c r="A2219" s="2"/>
      <c r="B2219" s="2"/>
      <c r="C2219" s="2"/>
      <c r="D2219" s="2"/>
      <c r="E2219" s="4"/>
      <c r="F2219" s="2"/>
      <c r="G2219" s="2"/>
      <c r="H2219" s="2"/>
      <c r="I2219" s="2"/>
      <c r="J2219" s="2"/>
      <c r="K2219" s="2"/>
      <c r="L2219" s="2"/>
      <c r="M2219" s="2"/>
    </row>
    <row r="2220" spans="1:13" x14ac:dyDescent="0.3">
      <c r="A2220" s="2"/>
      <c r="B2220" s="2"/>
      <c r="C2220" s="2"/>
      <c r="D2220" s="2"/>
      <c r="E2220" s="4"/>
      <c r="F2220" s="2"/>
      <c r="G2220" s="2"/>
      <c r="H2220" s="2"/>
      <c r="I2220" s="2"/>
      <c r="J2220" s="2"/>
      <c r="K2220" s="2"/>
      <c r="L2220" s="2"/>
      <c r="M2220" s="2"/>
    </row>
    <row r="2221" spans="1:13" x14ac:dyDescent="0.3">
      <c r="A2221" s="2"/>
      <c r="B2221" s="2"/>
      <c r="C2221" s="2"/>
      <c r="D2221" s="2"/>
      <c r="E2221" s="4"/>
      <c r="F2221" s="2"/>
      <c r="G2221" s="2"/>
      <c r="H2221" s="2"/>
      <c r="I2221" s="2"/>
      <c r="J2221" s="2"/>
      <c r="K2221" s="2"/>
      <c r="L2221" s="2"/>
      <c r="M2221" s="2"/>
    </row>
    <row r="2222" spans="1:13" x14ac:dyDescent="0.3">
      <c r="A2222" s="2"/>
      <c r="B2222" s="2"/>
      <c r="C2222" s="2"/>
      <c r="D2222" s="2"/>
      <c r="E2222" s="4"/>
      <c r="F2222" s="2"/>
      <c r="G2222" s="2"/>
      <c r="H2222" s="2"/>
      <c r="I2222" s="2"/>
      <c r="J2222" s="2"/>
      <c r="K2222" s="2"/>
      <c r="L2222" s="2"/>
      <c r="M2222" s="2"/>
    </row>
    <row r="2223" spans="1:13" x14ac:dyDescent="0.3">
      <c r="A2223" s="2"/>
      <c r="B2223" s="2"/>
      <c r="C2223" s="2"/>
      <c r="D2223" s="2"/>
      <c r="E2223" s="4"/>
      <c r="F2223" s="2"/>
      <c r="G2223" s="2"/>
      <c r="H2223" s="2"/>
      <c r="I2223" s="2"/>
      <c r="J2223" s="2"/>
      <c r="K2223" s="2"/>
      <c r="L2223" s="2"/>
      <c r="M2223" s="2"/>
    </row>
    <row r="2224" spans="1:13" x14ac:dyDescent="0.3">
      <c r="A2224" s="2"/>
      <c r="B2224" s="2"/>
      <c r="C2224" s="2"/>
      <c r="D2224" s="2"/>
      <c r="E2224" s="4"/>
      <c r="F2224" s="2"/>
      <c r="G2224" s="2"/>
      <c r="H2224" s="2"/>
      <c r="I2224" s="2"/>
      <c r="J2224" s="2"/>
      <c r="K2224" s="2"/>
      <c r="L2224" s="2"/>
      <c r="M2224" s="2"/>
    </row>
    <row r="2225" spans="1:13" x14ac:dyDescent="0.3">
      <c r="A2225" s="2"/>
      <c r="B2225" s="2"/>
      <c r="C2225" s="2"/>
      <c r="D2225" s="2"/>
      <c r="E2225" s="4"/>
      <c r="F2225" s="2"/>
      <c r="G2225" s="2"/>
      <c r="H2225" s="2"/>
      <c r="I2225" s="2"/>
      <c r="J2225" s="2"/>
      <c r="K2225" s="2"/>
      <c r="L2225" s="2"/>
      <c r="M2225" s="2"/>
    </row>
    <row r="2226" spans="1:13" x14ac:dyDescent="0.3">
      <c r="A2226" s="2"/>
      <c r="B2226" s="2"/>
      <c r="C2226" s="2"/>
      <c r="D2226" s="2"/>
      <c r="E2226" s="4"/>
      <c r="F2226" s="2"/>
      <c r="G2226" s="2"/>
      <c r="H2226" s="2"/>
      <c r="I2226" s="2"/>
      <c r="J2226" s="2"/>
      <c r="K2226" s="2"/>
      <c r="L2226" s="2"/>
      <c r="M2226" s="2"/>
    </row>
    <row r="2227" spans="1:13" x14ac:dyDescent="0.3">
      <c r="A2227" s="2"/>
      <c r="B2227" s="2"/>
      <c r="C2227" s="2"/>
      <c r="D2227" s="2"/>
      <c r="E2227" s="4"/>
      <c r="F2227" s="2"/>
      <c r="G2227" s="2"/>
      <c r="H2227" s="2"/>
      <c r="I2227" s="2"/>
      <c r="J2227" s="2"/>
      <c r="K2227" s="2"/>
      <c r="L2227" s="2"/>
      <c r="M2227" s="2"/>
    </row>
    <row r="2228" spans="1:13" x14ac:dyDescent="0.3">
      <c r="A2228" s="2"/>
      <c r="B2228" s="2"/>
      <c r="C2228" s="2"/>
      <c r="D2228" s="2"/>
      <c r="E2228" s="4"/>
      <c r="F2228" s="2"/>
      <c r="G2228" s="2"/>
      <c r="H2228" s="2"/>
      <c r="I2228" s="2"/>
      <c r="J2228" s="2"/>
      <c r="K2228" s="2"/>
      <c r="L2228" s="2"/>
      <c r="M2228" s="2"/>
    </row>
    <row r="2229" spans="1:13" x14ac:dyDescent="0.3">
      <c r="A2229" s="2"/>
      <c r="B2229" s="2"/>
      <c r="C2229" s="2"/>
      <c r="D2229" s="2"/>
      <c r="E2229" s="4"/>
      <c r="F2229" s="2"/>
      <c r="G2229" s="2"/>
      <c r="H2229" s="2"/>
      <c r="I2229" s="2"/>
      <c r="J2229" s="2"/>
      <c r="K2229" s="2"/>
      <c r="L2229" s="2"/>
      <c r="M2229" s="2"/>
    </row>
    <row r="2230" spans="1:13" x14ac:dyDescent="0.3">
      <c r="A2230" s="2"/>
      <c r="B2230" s="2"/>
      <c r="C2230" s="2"/>
      <c r="D2230" s="2"/>
      <c r="E2230" s="4"/>
      <c r="F2230" s="2"/>
      <c r="G2230" s="2"/>
      <c r="H2230" s="2"/>
      <c r="I2230" s="2"/>
      <c r="J2230" s="2"/>
      <c r="K2230" s="2"/>
      <c r="L2230" s="2"/>
      <c r="M2230" s="2"/>
    </row>
    <row r="2231" spans="1:13" x14ac:dyDescent="0.3">
      <c r="A2231" s="2"/>
      <c r="B2231" s="2"/>
      <c r="C2231" s="2"/>
      <c r="D2231" s="2"/>
      <c r="E2231" s="4"/>
      <c r="F2231" s="2"/>
      <c r="G2231" s="2"/>
      <c r="H2231" s="2"/>
      <c r="I2231" s="2"/>
      <c r="J2231" s="2"/>
      <c r="K2231" s="2"/>
      <c r="L2231" s="2"/>
      <c r="M2231" s="2"/>
    </row>
    <row r="2232" spans="1:13" x14ac:dyDescent="0.3">
      <c r="A2232" s="2"/>
      <c r="B2232" s="2"/>
      <c r="C2232" s="2"/>
      <c r="D2232" s="2"/>
      <c r="E2232" s="4"/>
      <c r="F2232" s="2"/>
      <c r="G2232" s="2"/>
      <c r="H2232" s="2"/>
      <c r="I2232" s="2"/>
      <c r="J2232" s="2"/>
      <c r="K2232" s="2"/>
      <c r="L2232" s="2"/>
      <c r="M2232" s="2"/>
    </row>
    <row r="2233" spans="1:13" x14ac:dyDescent="0.3">
      <c r="A2233" s="2"/>
      <c r="B2233" s="2"/>
      <c r="C2233" s="2"/>
      <c r="D2233" s="2"/>
      <c r="E2233" s="4"/>
      <c r="F2233" s="2"/>
      <c r="G2233" s="2"/>
      <c r="H2233" s="2"/>
      <c r="I2233" s="2"/>
      <c r="J2233" s="2"/>
      <c r="K2233" s="2"/>
      <c r="L2233" s="2"/>
      <c r="M2233" s="2"/>
    </row>
    <row r="2234" spans="1:13" x14ac:dyDescent="0.3">
      <c r="A2234" s="2"/>
      <c r="B2234" s="2"/>
      <c r="C2234" s="2"/>
      <c r="D2234" s="2"/>
      <c r="E2234" s="4"/>
      <c r="F2234" s="2"/>
      <c r="G2234" s="2"/>
      <c r="H2234" s="2"/>
      <c r="I2234" s="2"/>
      <c r="J2234" s="2"/>
      <c r="K2234" s="2"/>
      <c r="L2234" s="2"/>
      <c r="M2234" s="2"/>
    </row>
    <row r="2235" spans="1:13" x14ac:dyDescent="0.3">
      <c r="A2235" s="2"/>
      <c r="B2235" s="2"/>
      <c r="C2235" s="2"/>
      <c r="D2235" s="2"/>
      <c r="E2235" s="4"/>
      <c r="F2235" s="2"/>
      <c r="G2235" s="2"/>
      <c r="H2235" s="2"/>
      <c r="I2235" s="2"/>
      <c r="J2235" s="2"/>
      <c r="K2235" s="2"/>
      <c r="L2235" s="2"/>
      <c r="M2235" s="2"/>
    </row>
    <row r="2236" spans="1:13" x14ac:dyDescent="0.3">
      <c r="A2236" s="2"/>
      <c r="B2236" s="2"/>
      <c r="C2236" s="2"/>
      <c r="D2236" s="2"/>
      <c r="E2236" s="4"/>
      <c r="F2236" s="2"/>
      <c r="G2236" s="2"/>
      <c r="H2236" s="2"/>
      <c r="I2236" s="2"/>
      <c r="J2236" s="2"/>
      <c r="K2236" s="2"/>
      <c r="L2236" s="2"/>
      <c r="M2236" s="2"/>
    </row>
    <row r="2237" spans="1:13" x14ac:dyDescent="0.3">
      <c r="A2237" s="2"/>
      <c r="B2237" s="2"/>
      <c r="C2237" s="2"/>
      <c r="D2237" s="2"/>
      <c r="E2237" s="4"/>
      <c r="F2237" s="2"/>
      <c r="G2237" s="2"/>
      <c r="H2237" s="2"/>
      <c r="I2237" s="2"/>
      <c r="J2237" s="2"/>
      <c r="K2237" s="2"/>
      <c r="L2237" s="2"/>
      <c r="M2237" s="2"/>
    </row>
    <row r="2238" spans="1:13" x14ac:dyDescent="0.3">
      <c r="A2238" s="2"/>
      <c r="B2238" s="2"/>
      <c r="C2238" s="2"/>
      <c r="D2238" s="2"/>
      <c r="E2238" s="4"/>
      <c r="F2238" s="2"/>
      <c r="G2238" s="2"/>
      <c r="H2238" s="2"/>
      <c r="I2238" s="2"/>
      <c r="J2238" s="2"/>
      <c r="K2238" s="2"/>
      <c r="L2238" s="2"/>
      <c r="M2238" s="2"/>
    </row>
    <row r="2239" spans="1:13" x14ac:dyDescent="0.3">
      <c r="A2239" s="2"/>
      <c r="B2239" s="2"/>
      <c r="C2239" s="2"/>
      <c r="D2239" s="2"/>
      <c r="E2239" s="4"/>
      <c r="F2239" s="2"/>
      <c r="G2239" s="2"/>
      <c r="H2239" s="2"/>
      <c r="I2239" s="2"/>
      <c r="J2239" s="2"/>
      <c r="K2239" s="2"/>
      <c r="L2239" s="2"/>
      <c r="M2239" s="2"/>
    </row>
    <row r="2240" spans="1:13" x14ac:dyDescent="0.3">
      <c r="A2240" s="2"/>
      <c r="B2240" s="2"/>
      <c r="C2240" s="2"/>
      <c r="D2240" s="2"/>
      <c r="E2240" s="4"/>
      <c r="F2240" s="2"/>
      <c r="G2240" s="2"/>
      <c r="H2240" s="2"/>
      <c r="I2240" s="2"/>
      <c r="J2240" s="2"/>
      <c r="K2240" s="2"/>
      <c r="L2240" s="2"/>
      <c r="M2240" s="2"/>
    </row>
    <row r="2241" spans="1:13" x14ac:dyDescent="0.3">
      <c r="A2241" s="2"/>
      <c r="B2241" s="2"/>
      <c r="C2241" s="2"/>
      <c r="D2241" s="2"/>
      <c r="E2241" s="4"/>
      <c r="F2241" s="2"/>
      <c r="G2241" s="2"/>
      <c r="H2241" s="2"/>
      <c r="I2241" s="2"/>
      <c r="J2241" s="2"/>
      <c r="K2241" s="2"/>
      <c r="L2241" s="2"/>
      <c r="M2241" s="2"/>
    </row>
    <row r="2242" spans="1:13" x14ac:dyDescent="0.3">
      <c r="A2242" s="2"/>
      <c r="B2242" s="2"/>
      <c r="C2242" s="2"/>
      <c r="D2242" s="2"/>
      <c r="E2242" s="4"/>
      <c r="F2242" s="2"/>
      <c r="G2242" s="2"/>
      <c r="H2242" s="2"/>
      <c r="I2242" s="2"/>
      <c r="J2242" s="2"/>
      <c r="K2242" s="2"/>
      <c r="L2242" s="2"/>
      <c r="M2242" s="2"/>
    </row>
    <row r="2243" spans="1:13" x14ac:dyDescent="0.3">
      <c r="A2243" s="2"/>
      <c r="B2243" s="2"/>
      <c r="C2243" s="2"/>
      <c r="D2243" s="2"/>
      <c r="E2243" s="4"/>
      <c r="F2243" s="2"/>
      <c r="G2243" s="2"/>
      <c r="H2243" s="2"/>
      <c r="I2243" s="2"/>
      <c r="J2243" s="2"/>
      <c r="K2243" s="2"/>
      <c r="L2243" s="2"/>
      <c r="M2243" s="2"/>
    </row>
    <row r="2244" spans="1:13" x14ac:dyDescent="0.3">
      <c r="A2244" s="2"/>
      <c r="B2244" s="2"/>
      <c r="C2244" s="2"/>
      <c r="D2244" s="2"/>
      <c r="E2244" s="4"/>
      <c r="F2244" s="2"/>
      <c r="G2244" s="2"/>
      <c r="H2244" s="2"/>
      <c r="I2244" s="2"/>
      <c r="J2244" s="2"/>
      <c r="K2244" s="2"/>
      <c r="L2244" s="2"/>
      <c r="M2244" s="2"/>
    </row>
    <row r="2245" spans="1:13" x14ac:dyDescent="0.3">
      <c r="A2245" s="2"/>
      <c r="B2245" s="2"/>
      <c r="C2245" s="2"/>
      <c r="D2245" s="2"/>
      <c r="E2245" s="4"/>
      <c r="F2245" s="2"/>
      <c r="G2245" s="2"/>
      <c r="H2245" s="2"/>
      <c r="I2245" s="2"/>
      <c r="J2245" s="2"/>
      <c r="K2245" s="2"/>
      <c r="L2245" s="2"/>
      <c r="M2245" s="2"/>
    </row>
    <row r="2246" spans="1:13" x14ac:dyDescent="0.3">
      <c r="A2246" s="2"/>
      <c r="B2246" s="2"/>
      <c r="C2246" s="2"/>
      <c r="D2246" s="2"/>
      <c r="E2246" s="4"/>
      <c r="F2246" s="2"/>
      <c r="G2246" s="2"/>
      <c r="H2246" s="2"/>
      <c r="I2246" s="2"/>
      <c r="J2246" s="2"/>
      <c r="K2246" s="2"/>
      <c r="L2246" s="2"/>
      <c r="M2246" s="2"/>
    </row>
    <row r="2247" spans="1:13" x14ac:dyDescent="0.3">
      <c r="A2247" s="2"/>
      <c r="B2247" s="2"/>
      <c r="C2247" s="2"/>
      <c r="D2247" s="2"/>
      <c r="E2247" s="4"/>
      <c r="F2247" s="2"/>
      <c r="G2247" s="2"/>
      <c r="H2247" s="2"/>
      <c r="I2247" s="2"/>
      <c r="J2247" s="2"/>
      <c r="K2247" s="2"/>
      <c r="L2247" s="2"/>
      <c r="M2247" s="2"/>
    </row>
    <row r="2248" spans="1:13" x14ac:dyDescent="0.3">
      <c r="A2248" s="2"/>
      <c r="B2248" s="2"/>
      <c r="C2248" s="2"/>
      <c r="D2248" s="2"/>
      <c r="E2248" s="4"/>
      <c r="F2248" s="2"/>
      <c r="G2248" s="2"/>
      <c r="H2248" s="2"/>
      <c r="I2248" s="2"/>
      <c r="J2248" s="2"/>
      <c r="K2248" s="2"/>
      <c r="L2248" s="2"/>
      <c r="M2248" s="2"/>
    </row>
    <row r="2249" spans="1:13" x14ac:dyDescent="0.3">
      <c r="A2249" s="2"/>
      <c r="B2249" s="2"/>
      <c r="C2249" s="2"/>
      <c r="D2249" s="2"/>
      <c r="E2249" s="4"/>
      <c r="F2249" s="2"/>
      <c r="G2249" s="2"/>
      <c r="H2249" s="2"/>
      <c r="I2249" s="2"/>
      <c r="J2249" s="2"/>
      <c r="K2249" s="2"/>
      <c r="L2249" s="2"/>
      <c r="M2249" s="2"/>
    </row>
    <row r="2250" spans="1:13" x14ac:dyDescent="0.3">
      <c r="A2250" s="2"/>
      <c r="B2250" s="2"/>
      <c r="C2250" s="2"/>
      <c r="D2250" s="2"/>
      <c r="E2250" s="4"/>
      <c r="F2250" s="2"/>
      <c r="G2250" s="2"/>
      <c r="H2250" s="2"/>
      <c r="I2250" s="2"/>
      <c r="J2250" s="2"/>
      <c r="K2250" s="2"/>
      <c r="L2250" s="2"/>
      <c r="M2250" s="2"/>
    </row>
    <row r="2251" spans="1:13" x14ac:dyDescent="0.3">
      <c r="A2251" s="2"/>
      <c r="B2251" s="2"/>
      <c r="C2251" s="2"/>
      <c r="D2251" s="2"/>
      <c r="E2251" s="4"/>
      <c r="F2251" s="2"/>
      <c r="G2251" s="2"/>
      <c r="H2251" s="2"/>
      <c r="I2251" s="2"/>
      <c r="J2251" s="2"/>
      <c r="K2251" s="2"/>
      <c r="L2251" s="2"/>
      <c r="M2251" s="2"/>
    </row>
    <row r="2252" spans="1:13" x14ac:dyDescent="0.3">
      <c r="A2252" s="2"/>
      <c r="B2252" s="2"/>
      <c r="C2252" s="2"/>
      <c r="D2252" s="2"/>
      <c r="E2252" s="4"/>
      <c r="F2252" s="2"/>
      <c r="G2252" s="2"/>
      <c r="H2252" s="2"/>
      <c r="I2252" s="2"/>
      <c r="J2252" s="2"/>
      <c r="K2252" s="2"/>
      <c r="L2252" s="2"/>
      <c r="M2252" s="2"/>
    </row>
    <row r="2253" spans="1:13" x14ac:dyDescent="0.3">
      <c r="A2253" s="2"/>
      <c r="B2253" s="2"/>
      <c r="C2253" s="2"/>
      <c r="D2253" s="2"/>
      <c r="E2253" s="4"/>
      <c r="F2253" s="2"/>
      <c r="G2253" s="2"/>
      <c r="H2253" s="2"/>
      <c r="I2253" s="2"/>
      <c r="J2253" s="2"/>
      <c r="K2253" s="2"/>
      <c r="L2253" s="2"/>
      <c r="M2253" s="2"/>
    </row>
    <row r="2254" spans="1:13" x14ac:dyDescent="0.3">
      <c r="A2254" s="2"/>
      <c r="B2254" s="2"/>
      <c r="C2254" s="2"/>
      <c r="D2254" s="2"/>
      <c r="E2254" s="4"/>
      <c r="F2254" s="2"/>
      <c r="G2254" s="2"/>
      <c r="H2254" s="2"/>
      <c r="I2254" s="2"/>
      <c r="J2254" s="2"/>
      <c r="K2254" s="2"/>
      <c r="L2254" s="2"/>
      <c r="M2254" s="2"/>
    </row>
    <row r="2255" spans="1:13" x14ac:dyDescent="0.3">
      <c r="A2255" s="2"/>
      <c r="B2255" s="2"/>
      <c r="C2255" s="2"/>
      <c r="D2255" s="2"/>
      <c r="E2255" s="4"/>
      <c r="F2255" s="2"/>
      <c r="G2255" s="2"/>
      <c r="H2255" s="2"/>
      <c r="I2255" s="2"/>
      <c r="J2255" s="2"/>
      <c r="K2255" s="2"/>
      <c r="L2255" s="2"/>
      <c r="M2255" s="2"/>
    </row>
    <row r="2256" spans="1:13" x14ac:dyDescent="0.3">
      <c r="A2256" s="2"/>
      <c r="B2256" s="2"/>
      <c r="C2256" s="2"/>
      <c r="D2256" s="2"/>
      <c r="E2256" s="4"/>
      <c r="F2256" s="2"/>
      <c r="G2256" s="2"/>
      <c r="H2256" s="2"/>
      <c r="I2256" s="2"/>
      <c r="J2256" s="2"/>
      <c r="K2256" s="2"/>
      <c r="L2256" s="2"/>
      <c r="M2256" s="2"/>
    </row>
    <row r="2257" spans="1:13" x14ac:dyDescent="0.3">
      <c r="A2257" s="2"/>
      <c r="B2257" s="2"/>
      <c r="C2257" s="2"/>
      <c r="D2257" s="2"/>
      <c r="E2257" s="4"/>
      <c r="F2257" s="2"/>
      <c r="G2257" s="2"/>
      <c r="H2257" s="2"/>
      <c r="I2257" s="2"/>
      <c r="J2257" s="2"/>
      <c r="K2257" s="2"/>
      <c r="L2257" s="2"/>
      <c r="M2257" s="2"/>
    </row>
    <row r="2258" spans="1:13" x14ac:dyDescent="0.3">
      <c r="A2258" s="2"/>
      <c r="B2258" s="2"/>
      <c r="C2258" s="2"/>
      <c r="D2258" s="2"/>
      <c r="E2258" s="4"/>
      <c r="F2258" s="2"/>
      <c r="G2258" s="2"/>
      <c r="H2258" s="2"/>
      <c r="I2258" s="2"/>
      <c r="J2258" s="2"/>
      <c r="K2258" s="2"/>
      <c r="L2258" s="2"/>
      <c r="M2258" s="2"/>
    </row>
    <row r="2259" spans="1:13" x14ac:dyDescent="0.3">
      <c r="A2259" s="2"/>
      <c r="B2259" s="2"/>
      <c r="C2259" s="2"/>
      <c r="D2259" s="2"/>
      <c r="E2259" s="4"/>
      <c r="F2259" s="2"/>
      <c r="G2259" s="2"/>
      <c r="H2259" s="2"/>
      <c r="I2259" s="2"/>
      <c r="J2259" s="2"/>
      <c r="K2259" s="2"/>
      <c r="L2259" s="2"/>
      <c r="M2259" s="2"/>
    </row>
    <row r="2260" spans="1:13" x14ac:dyDescent="0.3">
      <c r="A2260" s="2"/>
      <c r="B2260" s="2"/>
      <c r="C2260" s="2"/>
      <c r="D2260" s="2"/>
      <c r="E2260" s="4"/>
      <c r="F2260" s="2"/>
      <c r="G2260" s="2"/>
      <c r="H2260" s="2"/>
      <c r="I2260" s="2"/>
      <c r="J2260" s="2"/>
      <c r="K2260" s="2"/>
      <c r="L2260" s="2"/>
      <c r="M2260" s="2"/>
    </row>
    <row r="2261" spans="1:13" x14ac:dyDescent="0.3">
      <c r="A2261" s="2"/>
      <c r="B2261" s="2"/>
      <c r="C2261" s="2"/>
      <c r="D2261" s="2"/>
      <c r="E2261" s="4"/>
      <c r="F2261" s="2"/>
      <c r="G2261" s="2"/>
      <c r="H2261" s="2"/>
      <c r="I2261" s="2"/>
      <c r="J2261" s="2"/>
      <c r="K2261" s="2"/>
      <c r="L2261" s="2"/>
      <c r="M2261" s="2"/>
    </row>
    <row r="2262" spans="1:13" x14ac:dyDescent="0.3">
      <c r="A2262" s="2"/>
      <c r="B2262" s="2"/>
      <c r="C2262" s="2"/>
      <c r="D2262" s="2"/>
      <c r="E2262" s="4"/>
      <c r="F2262" s="2"/>
      <c r="G2262" s="2"/>
      <c r="H2262" s="2"/>
      <c r="I2262" s="2"/>
      <c r="J2262" s="2"/>
      <c r="K2262" s="2"/>
      <c r="L2262" s="2"/>
      <c r="M2262" s="2"/>
    </row>
    <row r="2263" spans="1:13" x14ac:dyDescent="0.3">
      <c r="A2263" s="2"/>
      <c r="B2263" s="2"/>
      <c r="C2263" s="2"/>
      <c r="D2263" s="2"/>
      <c r="E2263" s="4"/>
      <c r="F2263" s="2"/>
      <c r="G2263" s="2"/>
      <c r="H2263" s="2"/>
      <c r="I2263" s="2"/>
      <c r="J2263" s="2"/>
      <c r="K2263" s="2"/>
      <c r="L2263" s="2"/>
      <c r="M2263" s="2"/>
    </row>
    <row r="2264" spans="1:13" x14ac:dyDescent="0.3">
      <c r="A2264" s="2"/>
      <c r="B2264" s="2"/>
      <c r="C2264" s="2"/>
      <c r="D2264" s="2"/>
      <c r="E2264" s="4"/>
      <c r="F2264" s="2"/>
      <c r="G2264" s="2"/>
      <c r="H2264" s="2"/>
      <c r="I2264" s="2"/>
      <c r="J2264" s="2"/>
      <c r="K2264" s="2"/>
      <c r="L2264" s="2"/>
      <c r="M2264" s="2"/>
    </row>
    <row r="2265" spans="1:13" x14ac:dyDescent="0.3">
      <c r="A2265" s="2"/>
      <c r="B2265" s="2"/>
      <c r="C2265" s="2"/>
      <c r="D2265" s="2"/>
      <c r="E2265" s="4"/>
      <c r="F2265" s="2"/>
      <c r="G2265" s="2"/>
      <c r="H2265" s="2"/>
      <c r="I2265" s="2"/>
      <c r="J2265" s="2"/>
      <c r="K2265" s="2"/>
      <c r="L2265" s="2"/>
      <c r="M2265" s="2"/>
    </row>
    <row r="2266" spans="1:13" x14ac:dyDescent="0.3">
      <c r="A2266" s="2"/>
      <c r="B2266" s="2"/>
      <c r="C2266" s="2"/>
      <c r="D2266" s="2"/>
      <c r="E2266" s="4"/>
      <c r="F2266" s="2"/>
      <c r="G2266" s="2"/>
      <c r="H2266" s="2"/>
      <c r="I2266" s="2"/>
      <c r="J2266" s="2"/>
      <c r="K2266" s="2"/>
      <c r="L2266" s="2"/>
      <c r="M2266" s="2"/>
    </row>
    <row r="2267" spans="1:13" x14ac:dyDescent="0.3">
      <c r="A2267" s="2"/>
      <c r="B2267" s="2"/>
      <c r="C2267" s="2"/>
      <c r="D2267" s="2"/>
      <c r="E2267" s="4"/>
      <c r="F2267" s="2"/>
      <c r="G2267" s="2"/>
      <c r="H2267" s="2"/>
      <c r="I2267" s="2"/>
      <c r="J2267" s="2"/>
      <c r="K2267" s="2"/>
      <c r="L2267" s="2"/>
      <c r="M2267" s="2"/>
    </row>
    <row r="2268" spans="1:13" x14ac:dyDescent="0.3">
      <c r="A2268" s="2"/>
      <c r="B2268" s="2"/>
      <c r="C2268" s="2"/>
      <c r="D2268" s="2"/>
      <c r="E2268" s="4"/>
      <c r="F2268" s="2"/>
      <c r="G2268" s="2"/>
      <c r="H2268" s="2"/>
      <c r="I2268" s="2"/>
      <c r="J2268" s="2"/>
      <c r="K2268" s="2"/>
      <c r="L2268" s="2"/>
      <c r="M2268" s="2"/>
    </row>
    <row r="2269" spans="1:13" x14ac:dyDescent="0.3">
      <c r="A2269" s="2"/>
      <c r="B2269" s="2"/>
      <c r="C2269" s="2"/>
      <c r="D2269" s="2"/>
      <c r="E2269" s="4"/>
      <c r="F2269" s="2"/>
      <c r="G2269" s="2"/>
      <c r="H2269" s="2"/>
      <c r="I2269" s="2"/>
      <c r="J2269" s="2"/>
      <c r="K2269" s="2"/>
      <c r="L2269" s="2"/>
      <c r="M2269" s="2"/>
    </row>
    <row r="2270" spans="1:13" x14ac:dyDescent="0.3">
      <c r="A2270" s="2"/>
      <c r="B2270" s="2"/>
      <c r="C2270" s="2"/>
      <c r="D2270" s="2"/>
      <c r="E2270" s="4"/>
      <c r="F2270" s="2"/>
      <c r="G2270" s="2"/>
      <c r="H2270" s="2"/>
      <c r="I2270" s="2"/>
      <c r="J2270" s="2"/>
      <c r="K2270" s="2"/>
      <c r="L2270" s="2"/>
      <c r="M2270" s="2"/>
    </row>
    <row r="2271" spans="1:13" x14ac:dyDescent="0.3">
      <c r="A2271" s="2"/>
      <c r="B2271" s="2"/>
      <c r="C2271" s="2"/>
      <c r="D2271" s="2"/>
      <c r="E2271" s="4"/>
      <c r="F2271" s="2"/>
      <c r="G2271" s="2"/>
      <c r="H2271" s="2"/>
      <c r="I2271" s="2"/>
      <c r="J2271" s="2"/>
      <c r="K2271" s="2"/>
      <c r="L2271" s="2"/>
      <c r="M2271" s="2"/>
    </row>
    <row r="2272" spans="1:13" x14ac:dyDescent="0.3">
      <c r="A2272" s="2"/>
      <c r="B2272" s="2"/>
      <c r="C2272" s="2"/>
      <c r="D2272" s="2"/>
      <c r="E2272" s="4"/>
      <c r="F2272" s="2"/>
      <c r="G2272" s="2"/>
      <c r="H2272" s="2"/>
      <c r="I2272" s="2"/>
      <c r="J2272" s="2"/>
      <c r="K2272" s="2"/>
      <c r="L2272" s="2"/>
      <c r="M2272" s="2"/>
    </row>
    <row r="2273" spans="1:13" x14ac:dyDescent="0.3">
      <c r="A2273" s="2"/>
      <c r="B2273" s="2"/>
      <c r="C2273" s="2"/>
      <c r="D2273" s="2"/>
      <c r="E2273" s="4"/>
      <c r="F2273" s="2"/>
      <c r="G2273" s="2"/>
      <c r="H2273" s="2"/>
      <c r="I2273" s="2"/>
      <c r="J2273" s="2"/>
      <c r="K2273" s="2"/>
      <c r="L2273" s="2"/>
      <c r="M2273" s="2"/>
    </row>
    <row r="2274" spans="1:13" x14ac:dyDescent="0.3">
      <c r="A2274" s="2"/>
      <c r="B2274" s="2"/>
      <c r="C2274" s="2"/>
      <c r="D2274" s="2"/>
      <c r="E2274" s="4"/>
      <c r="F2274" s="2"/>
      <c r="G2274" s="2"/>
      <c r="H2274" s="2"/>
      <c r="I2274" s="2"/>
      <c r="J2274" s="2"/>
      <c r="K2274" s="2"/>
      <c r="L2274" s="2"/>
      <c r="M2274" s="2"/>
    </row>
    <row r="2275" spans="1:13" x14ac:dyDescent="0.3">
      <c r="A2275" s="2"/>
      <c r="B2275" s="2"/>
      <c r="C2275" s="2"/>
      <c r="D2275" s="2"/>
      <c r="E2275" s="4"/>
      <c r="F2275" s="2"/>
      <c r="G2275" s="2"/>
      <c r="H2275" s="2"/>
      <c r="I2275" s="2"/>
      <c r="J2275" s="2"/>
      <c r="K2275" s="2"/>
      <c r="L2275" s="2"/>
      <c r="M2275" s="2"/>
    </row>
    <row r="2276" spans="1:13" x14ac:dyDescent="0.3">
      <c r="A2276" s="2"/>
      <c r="B2276" s="2"/>
      <c r="C2276" s="2"/>
      <c r="D2276" s="2"/>
      <c r="E2276" s="4"/>
      <c r="F2276" s="2"/>
      <c r="G2276" s="2"/>
      <c r="H2276" s="2"/>
      <c r="I2276" s="2"/>
      <c r="J2276" s="2"/>
      <c r="K2276" s="2"/>
      <c r="L2276" s="2"/>
      <c r="M2276" s="2"/>
    </row>
    <row r="2277" spans="1:13" x14ac:dyDescent="0.3">
      <c r="A2277" s="2"/>
      <c r="B2277" s="2"/>
      <c r="C2277" s="2"/>
      <c r="D2277" s="2"/>
      <c r="E2277" s="4"/>
      <c r="F2277" s="2"/>
      <c r="G2277" s="2"/>
      <c r="H2277" s="2"/>
      <c r="I2277" s="2"/>
      <c r="J2277" s="2"/>
      <c r="K2277" s="2"/>
      <c r="L2277" s="2"/>
      <c r="M2277" s="2"/>
    </row>
    <row r="2278" spans="1:13" x14ac:dyDescent="0.3">
      <c r="A2278" s="2"/>
      <c r="B2278" s="2"/>
      <c r="C2278" s="2"/>
      <c r="D2278" s="2"/>
      <c r="E2278" s="4"/>
      <c r="F2278" s="2"/>
      <c r="G2278" s="2"/>
      <c r="H2278" s="2"/>
      <c r="I2278" s="2"/>
      <c r="J2278" s="2"/>
      <c r="K2278" s="2"/>
      <c r="L2278" s="2"/>
      <c r="M2278" s="2"/>
    </row>
    <row r="2279" spans="1:13" x14ac:dyDescent="0.3">
      <c r="A2279" s="2"/>
      <c r="B2279" s="2"/>
      <c r="C2279" s="2"/>
      <c r="D2279" s="2"/>
      <c r="E2279" s="4"/>
      <c r="F2279" s="2"/>
      <c r="G2279" s="2"/>
      <c r="H2279" s="2"/>
      <c r="I2279" s="2"/>
      <c r="J2279" s="2"/>
      <c r="K2279" s="2"/>
      <c r="L2279" s="2"/>
      <c r="M2279" s="2"/>
    </row>
    <row r="2280" spans="1:13" x14ac:dyDescent="0.3">
      <c r="A2280" s="2"/>
      <c r="B2280" s="2"/>
      <c r="C2280" s="2"/>
      <c r="D2280" s="2"/>
      <c r="E2280" s="4"/>
      <c r="F2280" s="2"/>
      <c r="G2280" s="2"/>
      <c r="H2280" s="2"/>
      <c r="I2280" s="2"/>
      <c r="J2280" s="2"/>
      <c r="K2280" s="2"/>
      <c r="L2280" s="2"/>
      <c r="M2280" s="2"/>
    </row>
    <row r="2281" spans="1:13" x14ac:dyDescent="0.3">
      <c r="A2281" s="2"/>
      <c r="B2281" s="2"/>
      <c r="C2281" s="2"/>
      <c r="D2281" s="2"/>
      <c r="E2281" s="4"/>
      <c r="F2281" s="2"/>
      <c r="G2281" s="2"/>
      <c r="H2281" s="2"/>
      <c r="I2281" s="2"/>
      <c r="J2281" s="2"/>
      <c r="K2281" s="2"/>
      <c r="L2281" s="2"/>
      <c r="M2281" s="2"/>
    </row>
    <row r="2282" spans="1:13" x14ac:dyDescent="0.3">
      <c r="A2282" s="2"/>
      <c r="B2282" s="2"/>
      <c r="C2282" s="2"/>
      <c r="D2282" s="2"/>
      <c r="E2282" s="4"/>
      <c r="F2282" s="2"/>
      <c r="G2282" s="2"/>
      <c r="H2282" s="2"/>
      <c r="I2282" s="2"/>
      <c r="J2282" s="2"/>
      <c r="K2282" s="2"/>
      <c r="L2282" s="2"/>
      <c r="M2282" s="2"/>
    </row>
    <row r="2283" spans="1:13" x14ac:dyDescent="0.3">
      <c r="A2283" s="2"/>
      <c r="B2283" s="2"/>
      <c r="C2283" s="2"/>
      <c r="D2283" s="2"/>
      <c r="E2283" s="4"/>
      <c r="F2283" s="2"/>
      <c r="G2283" s="2"/>
      <c r="H2283" s="2"/>
      <c r="I2283" s="2"/>
      <c r="J2283" s="2"/>
      <c r="K2283" s="2"/>
      <c r="L2283" s="2"/>
      <c r="M2283" s="2"/>
    </row>
    <row r="2284" spans="1:13" x14ac:dyDescent="0.3">
      <c r="A2284" s="2"/>
      <c r="B2284" s="2"/>
      <c r="C2284" s="2"/>
      <c r="D2284" s="2"/>
      <c r="E2284" s="4"/>
      <c r="F2284" s="2"/>
      <c r="G2284" s="2"/>
      <c r="H2284" s="2"/>
      <c r="I2284" s="2"/>
      <c r="J2284" s="2"/>
      <c r="K2284" s="2"/>
      <c r="L2284" s="2"/>
      <c r="M2284" s="2"/>
    </row>
    <row r="2285" spans="1:13" x14ac:dyDescent="0.3">
      <c r="A2285" s="2"/>
      <c r="B2285" s="2"/>
      <c r="C2285" s="2"/>
      <c r="D2285" s="2"/>
      <c r="E2285" s="4"/>
      <c r="F2285" s="2"/>
      <c r="G2285" s="2"/>
      <c r="H2285" s="2"/>
      <c r="I2285" s="2"/>
      <c r="J2285" s="2"/>
      <c r="K2285" s="2"/>
      <c r="L2285" s="2"/>
      <c r="M2285" s="2"/>
    </row>
    <row r="2286" spans="1:13" x14ac:dyDescent="0.3">
      <c r="A2286" s="2"/>
      <c r="B2286" s="2"/>
      <c r="C2286" s="2"/>
      <c r="D2286" s="2"/>
      <c r="E2286" s="4"/>
      <c r="F2286" s="2"/>
      <c r="G2286" s="2"/>
      <c r="H2286" s="2"/>
      <c r="I2286" s="2"/>
      <c r="J2286" s="2"/>
      <c r="K2286" s="2"/>
      <c r="L2286" s="2"/>
      <c r="M2286" s="2"/>
    </row>
    <row r="2287" spans="1:13" x14ac:dyDescent="0.3">
      <c r="A2287" s="2"/>
      <c r="B2287" s="2"/>
      <c r="C2287" s="2"/>
      <c r="D2287" s="2"/>
      <c r="E2287" s="4"/>
      <c r="F2287" s="2"/>
      <c r="G2287" s="2"/>
      <c r="H2287" s="2"/>
      <c r="I2287" s="2"/>
      <c r="J2287" s="2"/>
      <c r="K2287" s="2"/>
      <c r="L2287" s="2"/>
      <c r="M2287" s="2"/>
    </row>
    <row r="2288" spans="1:13" x14ac:dyDescent="0.3">
      <c r="A2288" s="2"/>
      <c r="B2288" s="2"/>
      <c r="C2288" s="2"/>
      <c r="D2288" s="2"/>
      <c r="E2288" s="4"/>
      <c r="F2288" s="2"/>
      <c r="G2288" s="2"/>
      <c r="H2288" s="2"/>
      <c r="I2288" s="2"/>
      <c r="J2288" s="2"/>
      <c r="K2288" s="2"/>
      <c r="L2288" s="2"/>
      <c r="M2288" s="2"/>
    </row>
    <row r="2289" spans="1:13" x14ac:dyDescent="0.3">
      <c r="A2289" s="2"/>
      <c r="B2289" s="2"/>
      <c r="C2289" s="2"/>
      <c r="D2289" s="2"/>
      <c r="E2289" s="4"/>
      <c r="F2289" s="2"/>
      <c r="G2289" s="2"/>
      <c r="H2289" s="2"/>
      <c r="I2289" s="2"/>
      <c r="J2289" s="2"/>
      <c r="K2289" s="2"/>
      <c r="L2289" s="2"/>
      <c r="M2289" s="2"/>
    </row>
    <row r="2290" spans="1:13" x14ac:dyDescent="0.3">
      <c r="A2290" s="2"/>
      <c r="B2290" s="2"/>
      <c r="C2290" s="2"/>
      <c r="D2290" s="2"/>
      <c r="E2290" s="4"/>
      <c r="F2290" s="2"/>
      <c r="G2290" s="2"/>
      <c r="H2290" s="2"/>
      <c r="I2290" s="2"/>
      <c r="J2290" s="2"/>
      <c r="K2290" s="2"/>
      <c r="L2290" s="2"/>
      <c r="M2290" s="2"/>
    </row>
    <row r="2291" spans="1:13" x14ac:dyDescent="0.3">
      <c r="A2291" s="2"/>
      <c r="B2291" s="2"/>
      <c r="C2291" s="2"/>
      <c r="D2291" s="2"/>
      <c r="E2291" s="4"/>
      <c r="F2291" s="2"/>
      <c r="G2291" s="2"/>
      <c r="H2291" s="2"/>
      <c r="I2291" s="2"/>
      <c r="J2291" s="2"/>
      <c r="K2291" s="2"/>
      <c r="L2291" s="2"/>
      <c r="M2291" s="2"/>
    </row>
    <row r="2292" spans="1:13" x14ac:dyDescent="0.3">
      <c r="A2292" s="2"/>
      <c r="B2292" s="2"/>
      <c r="C2292" s="2"/>
      <c r="D2292" s="2"/>
      <c r="E2292" s="4"/>
      <c r="F2292" s="2"/>
      <c r="G2292" s="2"/>
      <c r="H2292" s="2"/>
      <c r="I2292" s="2"/>
      <c r="J2292" s="2"/>
      <c r="K2292" s="2"/>
      <c r="L2292" s="2"/>
      <c r="M2292" s="2"/>
    </row>
    <row r="2293" spans="1:13" x14ac:dyDescent="0.3">
      <c r="A2293" s="2"/>
      <c r="B2293" s="2"/>
      <c r="C2293" s="2"/>
      <c r="D2293" s="2"/>
      <c r="E2293" s="4"/>
      <c r="F2293" s="2"/>
      <c r="G2293" s="2"/>
      <c r="H2293" s="2"/>
      <c r="I2293" s="2"/>
      <c r="J2293" s="2"/>
      <c r="K2293" s="2"/>
      <c r="L2293" s="2"/>
      <c r="M2293" s="2"/>
    </row>
    <row r="2294" spans="1:13" x14ac:dyDescent="0.3">
      <c r="A2294" s="2"/>
      <c r="B2294" s="2"/>
      <c r="C2294" s="2"/>
      <c r="D2294" s="2"/>
      <c r="E2294" s="4"/>
      <c r="F2294" s="2"/>
      <c r="G2294" s="2"/>
      <c r="H2294" s="2"/>
      <c r="I2294" s="2"/>
      <c r="J2294" s="2"/>
      <c r="K2294" s="2"/>
      <c r="L2294" s="2"/>
      <c r="M2294" s="2"/>
    </row>
    <row r="2295" spans="1:13" x14ac:dyDescent="0.3">
      <c r="A2295" s="2"/>
      <c r="B2295" s="2"/>
      <c r="C2295" s="2"/>
      <c r="D2295" s="2"/>
      <c r="E2295" s="4"/>
      <c r="F2295" s="2"/>
      <c r="G2295" s="2"/>
      <c r="H2295" s="2"/>
      <c r="I2295" s="2"/>
      <c r="J2295" s="2"/>
      <c r="K2295" s="2"/>
      <c r="L2295" s="2"/>
      <c r="M2295" s="2"/>
    </row>
    <row r="2296" spans="1:13" x14ac:dyDescent="0.3">
      <c r="A2296" s="2"/>
      <c r="B2296" s="2"/>
      <c r="C2296" s="2"/>
      <c r="D2296" s="2"/>
      <c r="E2296" s="4"/>
      <c r="F2296" s="2"/>
      <c r="G2296" s="2"/>
      <c r="H2296" s="2"/>
      <c r="I2296" s="2"/>
      <c r="J2296" s="2"/>
      <c r="K2296" s="2"/>
      <c r="L2296" s="2"/>
      <c r="M2296" s="2"/>
    </row>
    <row r="2297" spans="1:13" x14ac:dyDescent="0.3">
      <c r="A2297" s="2"/>
      <c r="B2297" s="2"/>
      <c r="C2297" s="2"/>
      <c r="D2297" s="2"/>
      <c r="E2297" s="4"/>
      <c r="F2297" s="2"/>
      <c r="G2297" s="2"/>
      <c r="H2297" s="2"/>
      <c r="I2297" s="2"/>
      <c r="J2297" s="2"/>
      <c r="K2297" s="2"/>
      <c r="L2297" s="2"/>
      <c r="M2297" s="2"/>
    </row>
    <row r="2298" spans="1:13" x14ac:dyDescent="0.3">
      <c r="A2298" s="2"/>
      <c r="B2298" s="2"/>
      <c r="C2298" s="2"/>
      <c r="D2298" s="2"/>
      <c r="E2298" s="4"/>
      <c r="F2298" s="2"/>
      <c r="G2298" s="2"/>
      <c r="H2298" s="2"/>
      <c r="I2298" s="2"/>
      <c r="J2298" s="2"/>
      <c r="K2298" s="2"/>
      <c r="L2298" s="2"/>
      <c r="M2298" s="2"/>
    </row>
    <row r="2299" spans="1:13" x14ac:dyDescent="0.3">
      <c r="A2299" s="2"/>
      <c r="B2299" s="2"/>
      <c r="C2299" s="2"/>
      <c r="D2299" s="2"/>
      <c r="E2299" s="4"/>
      <c r="F2299" s="2"/>
      <c r="G2299" s="2"/>
      <c r="H2299" s="2"/>
      <c r="I2299" s="2"/>
      <c r="J2299" s="2"/>
      <c r="K2299" s="2"/>
      <c r="L2299" s="2"/>
      <c r="M2299" s="2"/>
    </row>
    <row r="2300" spans="1:13" x14ac:dyDescent="0.3">
      <c r="A2300" s="2"/>
      <c r="B2300" s="2"/>
      <c r="C2300" s="2"/>
      <c r="D2300" s="2"/>
      <c r="E2300" s="4"/>
      <c r="F2300" s="2"/>
      <c r="G2300" s="2"/>
      <c r="H2300" s="2"/>
      <c r="I2300" s="2"/>
      <c r="J2300" s="2"/>
      <c r="K2300" s="2"/>
      <c r="L2300" s="2"/>
      <c r="M2300" s="2"/>
    </row>
    <row r="2301" spans="1:13" x14ac:dyDescent="0.3">
      <c r="A2301" s="2"/>
      <c r="B2301" s="2"/>
      <c r="C2301" s="2"/>
      <c r="D2301" s="2"/>
      <c r="E2301" s="4"/>
      <c r="F2301" s="2"/>
      <c r="G2301" s="2"/>
      <c r="H2301" s="2"/>
      <c r="I2301" s="2"/>
      <c r="J2301" s="2"/>
      <c r="K2301" s="2"/>
      <c r="L2301" s="2"/>
      <c r="M2301" s="2"/>
    </row>
    <row r="2302" spans="1:13" x14ac:dyDescent="0.3">
      <c r="A2302" s="2"/>
      <c r="B2302" s="2"/>
      <c r="C2302" s="2"/>
      <c r="D2302" s="2"/>
      <c r="E2302" s="4"/>
      <c r="F2302" s="2"/>
      <c r="G2302" s="2"/>
      <c r="H2302" s="2"/>
      <c r="I2302" s="2"/>
      <c r="J2302" s="2"/>
      <c r="K2302" s="2"/>
      <c r="L2302" s="2"/>
      <c r="M2302" s="2"/>
    </row>
    <row r="2303" spans="1:13" x14ac:dyDescent="0.3">
      <c r="A2303" s="2"/>
      <c r="B2303" s="2"/>
      <c r="C2303" s="2"/>
      <c r="D2303" s="2"/>
      <c r="E2303" s="4"/>
      <c r="F2303" s="2"/>
      <c r="G2303" s="2"/>
      <c r="H2303" s="2"/>
      <c r="I2303" s="2"/>
      <c r="J2303" s="2"/>
      <c r="K2303" s="2"/>
      <c r="L2303" s="2"/>
      <c r="M2303" s="2"/>
    </row>
    <row r="2304" spans="1:13" x14ac:dyDescent="0.3">
      <c r="A2304" s="2"/>
      <c r="B2304" s="2"/>
      <c r="C2304" s="2"/>
      <c r="D2304" s="2"/>
      <c r="E2304" s="4"/>
      <c r="F2304" s="2"/>
      <c r="G2304" s="2"/>
      <c r="H2304" s="2"/>
      <c r="I2304" s="2"/>
      <c r="J2304" s="2"/>
      <c r="K2304" s="2"/>
      <c r="L2304" s="2"/>
      <c r="M2304" s="2"/>
    </row>
    <row r="2305" spans="1:13" x14ac:dyDescent="0.3">
      <c r="A2305" s="2"/>
      <c r="B2305" s="2"/>
      <c r="C2305" s="2"/>
      <c r="D2305" s="2"/>
      <c r="E2305" s="4"/>
      <c r="F2305" s="2"/>
      <c r="G2305" s="2"/>
      <c r="H2305" s="2"/>
      <c r="I2305" s="2"/>
      <c r="J2305" s="2"/>
      <c r="K2305" s="2"/>
      <c r="L2305" s="2"/>
      <c r="M2305" s="2"/>
    </row>
    <row r="2306" spans="1:13" x14ac:dyDescent="0.3">
      <c r="A2306" s="2"/>
      <c r="B2306" s="2"/>
      <c r="C2306" s="2"/>
      <c r="D2306" s="2"/>
      <c r="E2306" s="4"/>
      <c r="F2306" s="2"/>
      <c r="G2306" s="2"/>
      <c r="H2306" s="2"/>
      <c r="I2306" s="2"/>
      <c r="J2306" s="2"/>
      <c r="K2306" s="2"/>
      <c r="L2306" s="2"/>
      <c r="M2306" s="2"/>
    </row>
    <row r="2307" spans="1:13" x14ac:dyDescent="0.3">
      <c r="A2307" s="2"/>
      <c r="B2307" s="2"/>
      <c r="C2307" s="2"/>
      <c r="D2307" s="2"/>
      <c r="E2307" s="4"/>
      <c r="F2307" s="2"/>
      <c r="G2307" s="2"/>
      <c r="H2307" s="2"/>
      <c r="I2307" s="2"/>
      <c r="J2307" s="2"/>
      <c r="K2307" s="2"/>
      <c r="L2307" s="2"/>
      <c r="M2307" s="2"/>
    </row>
    <row r="2308" spans="1:13" x14ac:dyDescent="0.3">
      <c r="A2308" s="2"/>
      <c r="B2308" s="2"/>
      <c r="C2308" s="2"/>
      <c r="D2308" s="2"/>
      <c r="E2308" s="4"/>
      <c r="F2308" s="2"/>
      <c r="G2308" s="2"/>
      <c r="H2308" s="2"/>
      <c r="I2308" s="2"/>
      <c r="J2308" s="2"/>
      <c r="K2308" s="2"/>
      <c r="L2308" s="2"/>
      <c r="M2308" s="2"/>
    </row>
    <row r="2309" spans="1:13" x14ac:dyDescent="0.3">
      <c r="A2309" s="2"/>
      <c r="B2309" s="2"/>
      <c r="C2309" s="2"/>
      <c r="D2309" s="2"/>
      <c r="E2309" s="4"/>
      <c r="F2309" s="2"/>
      <c r="G2309" s="2"/>
      <c r="H2309" s="2"/>
      <c r="I2309" s="2"/>
      <c r="J2309" s="2"/>
      <c r="K2309" s="2"/>
      <c r="L2309" s="2"/>
      <c r="M2309" s="2"/>
    </row>
    <row r="2310" spans="1:13" x14ac:dyDescent="0.3">
      <c r="A2310" s="2"/>
      <c r="B2310" s="2"/>
      <c r="C2310" s="2"/>
      <c r="D2310" s="2"/>
      <c r="E2310" s="4"/>
      <c r="F2310" s="2"/>
      <c r="G2310" s="2"/>
      <c r="H2310" s="2"/>
      <c r="I2310" s="2"/>
      <c r="J2310" s="2"/>
      <c r="K2310" s="2"/>
      <c r="L2310" s="2"/>
      <c r="M2310" s="2"/>
    </row>
    <row r="2311" spans="1:13" x14ac:dyDescent="0.3">
      <c r="A2311" s="2"/>
      <c r="B2311" s="2"/>
      <c r="C2311" s="2"/>
      <c r="D2311" s="2"/>
      <c r="E2311" s="4"/>
      <c r="F2311" s="2"/>
      <c r="G2311" s="2"/>
      <c r="H2311" s="2"/>
      <c r="I2311" s="2"/>
      <c r="J2311" s="2"/>
      <c r="K2311" s="2"/>
      <c r="L2311" s="2"/>
      <c r="M2311" s="2"/>
    </row>
    <row r="2312" spans="1:13" x14ac:dyDescent="0.3">
      <c r="A2312" s="2"/>
      <c r="B2312" s="2"/>
      <c r="C2312" s="2"/>
      <c r="D2312" s="2"/>
      <c r="E2312" s="4"/>
      <c r="F2312" s="2"/>
      <c r="G2312" s="2"/>
      <c r="H2312" s="2"/>
      <c r="I2312" s="2"/>
      <c r="J2312" s="2"/>
      <c r="K2312" s="2"/>
      <c r="L2312" s="2"/>
      <c r="M2312" s="2"/>
    </row>
    <row r="2313" spans="1:13" x14ac:dyDescent="0.3">
      <c r="A2313" s="2"/>
      <c r="B2313" s="2"/>
      <c r="C2313" s="2"/>
      <c r="D2313" s="2"/>
      <c r="E2313" s="4"/>
      <c r="F2313" s="2"/>
      <c r="G2313" s="2"/>
      <c r="H2313" s="2"/>
      <c r="I2313" s="2"/>
      <c r="J2313" s="2"/>
      <c r="K2313" s="2"/>
      <c r="L2313" s="2"/>
      <c r="M2313" s="2"/>
    </row>
    <row r="2314" spans="1:13" x14ac:dyDescent="0.3">
      <c r="A2314" s="2"/>
      <c r="B2314" s="2"/>
      <c r="C2314" s="2"/>
      <c r="D2314" s="2"/>
      <c r="E2314" s="4"/>
      <c r="F2314" s="2"/>
      <c r="G2314" s="2"/>
      <c r="H2314" s="2"/>
      <c r="I2314" s="2"/>
      <c r="J2314" s="2"/>
      <c r="K2314" s="2"/>
      <c r="L2314" s="2"/>
      <c r="M2314" s="2"/>
    </row>
    <row r="2315" spans="1:13" x14ac:dyDescent="0.3">
      <c r="A2315" s="2"/>
      <c r="B2315" s="2"/>
      <c r="C2315" s="2"/>
      <c r="D2315" s="2"/>
      <c r="E2315" s="4"/>
      <c r="F2315" s="2"/>
      <c r="G2315" s="2"/>
      <c r="H2315" s="2"/>
      <c r="I2315" s="2"/>
      <c r="J2315" s="2"/>
      <c r="K2315" s="2"/>
      <c r="L2315" s="2"/>
      <c r="M2315" s="2"/>
    </row>
    <row r="2316" spans="1:13" x14ac:dyDescent="0.3">
      <c r="A2316" s="2"/>
      <c r="B2316" s="2"/>
      <c r="C2316" s="2"/>
      <c r="D2316" s="2"/>
      <c r="E2316" s="4"/>
      <c r="F2316" s="2"/>
      <c r="G2316" s="2"/>
      <c r="H2316" s="2"/>
      <c r="I2316" s="2"/>
      <c r="J2316" s="2"/>
      <c r="K2316" s="2"/>
      <c r="L2316" s="2"/>
      <c r="M2316" s="2"/>
    </row>
    <row r="2317" spans="1:13" x14ac:dyDescent="0.3">
      <c r="A2317" s="2"/>
      <c r="B2317" s="2"/>
      <c r="C2317" s="2"/>
      <c r="D2317" s="2"/>
      <c r="E2317" s="4"/>
      <c r="F2317" s="2"/>
      <c r="G2317" s="2"/>
      <c r="H2317" s="2"/>
      <c r="I2317" s="2"/>
      <c r="J2317" s="2"/>
      <c r="K2317" s="2"/>
      <c r="L2317" s="2"/>
      <c r="M2317" s="2"/>
    </row>
    <row r="2318" spans="1:13" x14ac:dyDescent="0.3">
      <c r="A2318" s="2"/>
      <c r="B2318" s="2"/>
      <c r="C2318" s="2"/>
      <c r="D2318" s="2"/>
      <c r="E2318" s="4"/>
      <c r="F2318" s="2"/>
      <c r="G2318" s="2"/>
      <c r="H2318" s="2"/>
      <c r="I2318" s="2"/>
      <c r="J2318" s="2"/>
      <c r="K2318" s="2"/>
      <c r="L2318" s="2"/>
      <c r="M2318" s="2"/>
    </row>
    <row r="2319" spans="1:13" x14ac:dyDescent="0.3">
      <c r="A2319" s="2"/>
      <c r="B2319" s="2"/>
      <c r="C2319" s="2"/>
      <c r="D2319" s="2"/>
      <c r="E2319" s="4"/>
      <c r="F2319" s="2"/>
      <c r="G2319" s="2"/>
      <c r="H2319" s="2"/>
      <c r="I2319" s="2"/>
      <c r="J2319" s="2"/>
      <c r="K2319" s="2"/>
      <c r="L2319" s="2"/>
      <c r="M2319" s="2"/>
    </row>
    <row r="2320" spans="1:13" x14ac:dyDescent="0.3">
      <c r="A2320" s="2"/>
      <c r="B2320" s="2"/>
      <c r="C2320" s="2"/>
      <c r="D2320" s="2"/>
      <c r="E2320" s="4"/>
      <c r="F2320" s="2"/>
      <c r="G2320" s="2"/>
      <c r="H2320" s="2"/>
      <c r="I2320" s="2"/>
      <c r="J2320" s="2"/>
      <c r="K2320" s="2"/>
      <c r="L2320" s="2"/>
      <c r="M2320" s="2"/>
    </row>
    <row r="2321" spans="1:13" x14ac:dyDescent="0.3">
      <c r="A2321" s="2"/>
      <c r="B2321" s="2"/>
      <c r="C2321" s="2"/>
      <c r="D2321" s="2"/>
      <c r="E2321" s="4"/>
      <c r="F2321" s="2"/>
      <c r="G2321" s="2"/>
      <c r="H2321" s="2"/>
      <c r="I2321" s="2"/>
      <c r="J2321" s="2"/>
      <c r="K2321" s="2"/>
      <c r="L2321" s="2"/>
      <c r="M2321" s="2"/>
    </row>
    <row r="2322" spans="1:13" x14ac:dyDescent="0.3">
      <c r="A2322" s="2"/>
      <c r="B2322" s="2"/>
      <c r="C2322" s="2"/>
      <c r="D2322" s="2"/>
      <c r="E2322" s="4"/>
      <c r="F2322" s="2"/>
      <c r="G2322" s="2"/>
      <c r="H2322" s="2"/>
      <c r="I2322" s="2"/>
      <c r="J2322" s="2"/>
      <c r="K2322" s="2"/>
      <c r="L2322" s="2"/>
      <c r="M2322"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1"/>
  <sheetViews>
    <sheetView workbookViewId="0"/>
  </sheetViews>
  <sheetFormatPr defaultRowHeight="14.4" x14ac:dyDescent="0.3"/>
  <cols>
    <col min="1" max="3" width="24" customWidth="1"/>
    <col min="4" max="4" width="16" customWidth="1"/>
    <col min="5" max="6" width="32" customWidth="1"/>
    <col min="7" max="7" width="21" customWidth="1"/>
    <col min="8" max="8" width="24" customWidth="1"/>
    <col min="9" max="9" width="48" customWidth="1"/>
    <col min="10" max="11" width="24" customWidth="1"/>
    <col min="12" max="12" width="48" customWidth="1"/>
    <col min="13" max="13" width="19" customWidth="1"/>
    <col min="14" max="15" width="32" customWidth="1"/>
  </cols>
  <sheetData>
    <row r="1" spans="1:15" x14ac:dyDescent="0.3">
      <c r="A1" s="1" t="s">
        <v>259</v>
      </c>
      <c r="B1" s="1" t="s">
        <v>260</v>
      </c>
      <c r="C1" s="1" t="s">
        <v>261</v>
      </c>
      <c r="D1" s="1" t="s">
        <v>262</v>
      </c>
      <c r="E1" s="1" t="s">
        <v>263</v>
      </c>
      <c r="F1" s="1" t="s">
        <v>264</v>
      </c>
      <c r="G1" s="1" t="s">
        <v>265</v>
      </c>
      <c r="H1" s="1" t="s">
        <v>266</v>
      </c>
      <c r="I1" s="1" t="s">
        <v>267</v>
      </c>
      <c r="J1" s="1" t="s">
        <v>268</v>
      </c>
      <c r="K1" s="1" t="s">
        <v>269</v>
      </c>
      <c r="L1" s="1" t="s">
        <v>270</v>
      </c>
      <c r="M1" s="1" t="s">
        <v>271</v>
      </c>
      <c r="N1" s="1" t="s">
        <v>272</v>
      </c>
      <c r="O1" s="1" t="s">
        <v>273</v>
      </c>
    </row>
    <row r="2" spans="1:15" ht="79.2" x14ac:dyDescent="0.3">
      <c r="A2" s="2" t="s">
        <v>28</v>
      </c>
      <c r="B2" s="2" t="s">
        <v>274</v>
      </c>
      <c r="C2" s="2" t="s">
        <v>275</v>
      </c>
      <c r="D2" s="2" t="s">
        <v>276</v>
      </c>
      <c r="E2" s="2" t="str">
        <f t="shared" ref="E2:E7" si="0">HYPERLINK("http://twitter.com/MonroeBlade")</f>
        <v>http://twitter.com/MonroeBlade</v>
      </c>
      <c r="F2" s="2" t="str">
        <f t="shared" ref="F2:F7" si="1">HYPERLINK("https://muckrack.com/mark-monroe")</f>
        <v>https://muckrack.com/mark-monroe</v>
      </c>
      <c r="G2" s="2">
        <v>5022</v>
      </c>
      <c r="H2" s="2" t="s">
        <v>277</v>
      </c>
      <c r="I2" s="2" t="s">
        <v>278</v>
      </c>
      <c r="J2" s="2" t="s">
        <v>279</v>
      </c>
      <c r="K2" s="2" t="s">
        <v>29</v>
      </c>
      <c r="L2" s="2" t="s">
        <v>280</v>
      </c>
      <c r="M2" s="4">
        <v>45776.945393518523</v>
      </c>
      <c r="N2" s="2" t="str">
        <f>HYPERLINK("http://twitter.com/MonroeBlade/status/1917408909322563785")</f>
        <v>http://twitter.com/MonroeBlade/status/1917408909322563785</v>
      </c>
      <c r="O2" s="2" t="str">
        <f>HYPERLINK("https://www.toledoblade.com/sports/walleye/2025/04/29/walleye-to-play-fort-wayne-komets-second-round-of-echl-playoffs-hockey-kelly-cup/stories/20250429036")</f>
        <v>https://www.toledoblade.com/sports/walleye/2025/04/29/walleye-to-play-fort-wayne-komets-second-round-of-echl-playoffs-hockey-kelly-cup/stories/20250429036</v>
      </c>
    </row>
    <row r="3" spans="1:15" ht="92.4" x14ac:dyDescent="0.3">
      <c r="A3" s="2" t="s">
        <v>28</v>
      </c>
      <c r="B3" s="2" t="s">
        <v>274</v>
      </c>
      <c r="C3" s="2" t="s">
        <v>275</v>
      </c>
      <c r="D3" s="2" t="s">
        <v>276</v>
      </c>
      <c r="E3" s="2" t="str">
        <f t="shared" si="0"/>
        <v>http://twitter.com/MonroeBlade</v>
      </c>
      <c r="F3" s="2" t="str">
        <f t="shared" si="1"/>
        <v>https://muckrack.com/mark-monroe</v>
      </c>
      <c r="G3" s="2">
        <v>5022</v>
      </c>
      <c r="H3" s="2" t="s">
        <v>277</v>
      </c>
      <c r="I3" s="2" t="s">
        <v>278</v>
      </c>
      <c r="J3" s="2" t="s">
        <v>279</v>
      </c>
      <c r="K3" s="2" t="s">
        <v>29</v>
      </c>
      <c r="L3" s="2" t="s">
        <v>281</v>
      </c>
      <c r="M3" s="4">
        <v>45773.688298611109</v>
      </c>
      <c r="N3" s="2" t="str">
        <f>HYPERLINK("http://twitter.com/MonroeBlade/status/1916228579911753959")</f>
        <v>http://twitter.com/MonroeBlade/status/1916228579911753959</v>
      </c>
      <c r="O3" s="2" t="str">
        <f>HYPERLINK("https://www.toledoblade.com/sports/walleye/2025/04/26/walleye-expectations-of-excellence-echl-playoffs-assistant-captains-confidence/stories/20250426105")</f>
        <v>https://www.toledoblade.com/sports/walleye/2025/04/26/walleye-expectations-of-excellence-echl-playoffs-assistant-captains-confidence/stories/20250426105</v>
      </c>
    </row>
    <row r="4" spans="1:15" ht="92.4" x14ac:dyDescent="0.3">
      <c r="A4" s="2" t="s">
        <v>28</v>
      </c>
      <c r="B4" s="2" t="s">
        <v>274</v>
      </c>
      <c r="C4" s="2" t="s">
        <v>275</v>
      </c>
      <c r="D4" s="2" t="s">
        <v>276</v>
      </c>
      <c r="E4" s="2" t="str">
        <f t="shared" si="0"/>
        <v>http://twitter.com/MonroeBlade</v>
      </c>
      <c r="F4" s="2" t="str">
        <f t="shared" si="1"/>
        <v>https://muckrack.com/mark-monroe</v>
      </c>
      <c r="G4" s="2">
        <v>5022</v>
      </c>
      <c r="H4" s="2" t="s">
        <v>277</v>
      </c>
      <c r="I4" s="2" t="s">
        <v>278</v>
      </c>
      <c r="J4" s="2" t="s">
        <v>279</v>
      </c>
      <c r="K4" s="2" t="s">
        <v>29</v>
      </c>
      <c r="L4" s="2" t="s">
        <v>282</v>
      </c>
      <c r="M4" s="4">
        <v>45774.597870370373</v>
      </c>
      <c r="N4" s="2" t="str">
        <f>HYPERLINK("http://twitter.com/MonroeBlade/status/1916558197038424270")</f>
        <v>http://twitter.com/MonroeBlade/status/1916558197038424270</v>
      </c>
      <c r="O4" s="2" t="str">
        <f>HYPERLINK("https://www.toledoblade.com/sports/walleye/2025/04/26/walleye-expectations-of-excellence-echl-playoffs-assistant-captains-confidence/stories/20250426105")</f>
        <v>https://www.toledoblade.com/sports/walleye/2025/04/26/walleye-expectations-of-excellence-echl-playoffs-assistant-captains-confidence/stories/20250426105</v>
      </c>
    </row>
    <row r="5" spans="1:15" ht="79.2" x14ac:dyDescent="0.3">
      <c r="A5" s="2" t="s">
        <v>28</v>
      </c>
      <c r="B5" s="2" t="s">
        <v>274</v>
      </c>
      <c r="C5" s="2" t="s">
        <v>275</v>
      </c>
      <c r="D5" s="2" t="s">
        <v>276</v>
      </c>
      <c r="E5" s="2" t="str">
        <f t="shared" si="0"/>
        <v>http://twitter.com/MonroeBlade</v>
      </c>
      <c r="F5" s="2" t="str">
        <f t="shared" si="1"/>
        <v>https://muckrack.com/mark-monroe</v>
      </c>
      <c r="G5" s="2">
        <v>5022</v>
      </c>
      <c r="H5" s="2" t="s">
        <v>277</v>
      </c>
      <c r="I5" s="2" t="s">
        <v>278</v>
      </c>
      <c r="J5" s="2" t="s">
        <v>279</v>
      </c>
      <c r="K5" s="2" t="s">
        <v>29</v>
      </c>
      <c r="L5" s="2" t="s">
        <v>283</v>
      </c>
      <c r="M5" s="4">
        <v>45774.746793981481</v>
      </c>
      <c r="N5" s="2" t="str">
        <f>HYPERLINK("http://twitter.com/MonroeBlade/status/1916612163042500617")</f>
        <v>http://twitter.com/MonroeBlade/status/1916612163042500617</v>
      </c>
      <c r="O5" s="2" t="str">
        <f>HYPERLINK("https://www.toledoblade.com/sports/walleye/2025/04/26/walleye-expectations-of-excellence-echl-playoffs-assistant-captains-confidence/stories/20250426105")</f>
        <v>https://www.toledoblade.com/sports/walleye/2025/04/26/walleye-expectations-of-excellence-echl-playoffs-assistant-captains-confidence/stories/20250426105</v>
      </c>
    </row>
    <row r="6" spans="1:15" ht="79.2" x14ac:dyDescent="0.3">
      <c r="A6" s="2" t="s">
        <v>28</v>
      </c>
      <c r="B6" s="2" t="s">
        <v>274</v>
      </c>
      <c r="C6" s="2" t="s">
        <v>275</v>
      </c>
      <c r="D6" s="2" t="s">
        <v>276</v>
      </c>
      <c r="E6" s="2" t="str">
        <f t="shared" si="0"/>
        <v>http://twitter.com/MonroeBlade</v>
      </c>
      <c r="F6" s="2" t="str">
        <f t="shared" si="1"/>
        <v>https://muckrack.com/mark-monroe</v>
      </c>
      <c r="G6" s="2">
        <v>5022</v>
      </c>
      <c r="H6" s="2" t="s">
        <v>277</v>
      </c>
      <c r="I6" s="2" t="s">
        <v>278</v>
      </c>
      <c r="J6" s="2" t="s">
        <v>279</v>
      </c>
      <c r="K6" s="2" t="s">
        <v>29</v>
      </c>
      <c r="L6" s="2" t="s">
        <v>284</v>
      </c>
      <c r="M6" s="4">
        <v>45775.638090277767</v>
      </c>
      <c r="N6" s="2" t="str">
        <f>HYPERLINK("http://twitter.com/MonroeBlade/status/1916935157820371394")</f>
        <v>http://twitter.com/MonroeBlade/status/1916935157820371394</v>
      </c>
      <c r="O6" s="2" t="str">
        <f>HYPERLINK("https://www.toledoblade.com/sports/walleye/2025/04/26/walleye-expectations-of-excellence-echl-playoffs-assistant-captains-confidence/stories/20250426105")</f>
        <v>https://www.toledoblade.com/sports/walleye/2025/04/26/walleye-expectations-of-excellence-echl-playoffs-assistant-captains-confidence/stories/20250426105</v>
      </c>
    </row>
    <row r="7" spans="1:15" ht="92.4" x14ac:dyDescent="0.3">
      <c r="A7" s="2" t="s">
        <v>28</v>
      </c>
      <c r="B7" s="2" t="s">
        <v>274</v>
      </c>
      <c r="C7" s="2" t="s">
        <v>275</v>
      </c>
      <c r="D7" s="2" t="s">
        <v>276</v>
      </c>
      <c r="E7" s="2" t="str">
        <f t="shared" si="0"/>
        <v>http://twitter.com/MonroeBlade</v>
      </c>
      <c r="F7" s="2" t="str">
        <f t="shared" si="1"/>
        <v>https://muckrack.com/mark-monroe</v>
      </c>
      <c r="G7" s="2">
        <v>5022</v>
      </c>
      <c r="H7" s="2" t="s">
        <v>277</v>
      </c>
      <c r="I7" s="2" t="s">
        <v>278</v>
      </c>
      <c r="J7" s="2" t="s">
        <v>279</v>
      </c>
      <c r="K7" s="2" t="s">
        <v>29</v>
      </c>
      <c r="L7" s="2" t="s">
        <v>285</v>
      </c>
      <c r="M7" s="4">
        <v>45775.680219907408</v>
      </c>
      <c r="N7" s="2" t="str">
        <f>HYPERLINK("http://twitter.com/MonroeBlade/status/1916950424373932384")</f>
        <v>http://twitter.com/MonroeBlade/status/1916950424373932384</v>
      </c>
      <c r="O7" s="2" t="str">
        <f>HYPERLINK("https://www.toledoblade.com/sports/walleye/2025/04/26/walleye-expectations-of-excellence-echl-playoffs-assistant-captains-confidence/stories/20250426105")</f>
        <v>https://www.toledoblade.com/sports/walleye/2025/04/26/walleye-expectations-of-excellence-echl-playoffs-assistant-captains-confidence/stories/20250426105</v>
      </c>
    </row>
    <row r="8" spans="1:15" ht="66" x14ac:dyDescent="0.3">
      <c r="A8" s="2" t="s">
        <v>36</v>
      </c>
      <c r="B8" s="2" t="s">
        <v>286</v>
      </c>
      <c r="C8" s="2" t="s">
        <v>287</v>
      </c>
      <c r="D8" s="2" t="s">
        <v>288</v>
      </c>
      <c r="E8" s="2" t="str">
        <f>HYPERLINK("http://twitter.com/CarterEckl")</f>
        <v>http://twitter.com/CarterEckl</v>
      </c>
      <c r="F8" s="2" t="str">
        <f>HYPERLINK("https://muckrack.com/carter-eckl")</f>
        <v>https://muckrack.com/carter-eckl</v>
      </c>
      <c r="G8" s="2">
        <v>2240</v>
      </c>
      <c r="H8" s="2" t="s">
        <v>289</v>
      </c>
      <c r="I8" s="2" t="s">
        <v>290</v>
      </c>
      <c r="J8" s="2" t="s">
        <v>279</v>
      </c>
      <c r="K8" s="2" t="s">
        <v>37</v>
      </c>
      <c r="L8" s="2" t="s">
        <v>291</v>
      </c>
      <c r="M8" s="4">
        <v>45773.632141203707</v>
      </c>
      <c r="N8" s="2" t="str">
        <f>HYPERLINK("http://twitter.com/CarterEckl/status/1916208228435956108")</f>
        <v>http://twitter.com/CarterEckl/status/1916208228435956108</v>
      </c>
      <c r="O8" s="2" t="str">
        <f>HYPERLINK("http://www.recordcourier.com/news/2025/apr/26/knight-monsters-conclude-first-round-sweep/")</f>
        <v>http://www.recordcourier.com/news/2025/apr/26/knight-monsters-conclude-first-round-sweep/</v>
      </c>
    </row>
    <row r="9" spans="1:15" ht="79.2" x14ac:dyDescent="0.3">
      <c r="A9" s="2" t="s">
        <v>28</v>
      </c>
      <c r="B9" s="2" t="s">
        <v>274</v>
      </c>
      <c r="C9" s="2" t="s">
        <v>275</v>
      </c>
      <c r="D9" s="2" t="s">
        <v>276</v>
      </c>
      <c r="E9" s="2" t="str">
        <f>HYPERLINK("http://twitter.com/MonroeBlade")</f>
        <v>http://twitter.com/MonroeBlade</v>
      </c>
      <c r="F9" s="2" t="str">
        <f>HYPERLINK("https://muckrack.com/mark-monroe")</f>
        <v>https://muckrack.com/mark-monroe</v>
      </c>
      <c r="G9" s="2">
        <v>5022</v>
      </c>
      <c r="H9" s="2" t="s">
        <v>277</v>
      </c>
      <c r="I9" s="2" t="s">
        <v>278</v>
      </c>
      <c r="J9" s="2" t="s">
        <v>279</v>
      </c>
      <c r="K9" s="2" t="s">
        <v>29</v>
      </c>
      <c r="L9" s="2" t="s">
        <v>292</v>
      </c>
      <c r="M9" s="4">
        <v>45771.691481481481</v>
      </c>
      <c r="N9" s="2" t="str">
        <f>HYPERLINK("http://twitter.com/MonroeBlade/status/1915504955676364927")</f>
        <v>http://twitter.com/MonroeBlade/status/1915504955676364927</v>
      </c>
      <c r="O9" s="2" t="str">
        <f>HYPERLINK("https://www.toledoblade.com/sports/walleye/2025/04/24/walleye-lengthy-layoff-indy-sweep-sharpen-areas-echl-kelly-cup-playoffs-hockey/stories/20250424116")</f>
        <v>https://www.toledoblade.com/sports/walleye/2025/04/24/walleye-lengthy-layoff-indy-sweep-sharpen-areas-echl-kelly-cup-playoffs-hockey/stories/20250424116</v>
      </c>
    </row>
    <row r="10" spans="1:15" ht="92.4" x14ac:dyDescent="0.3">
      <c r="A10" s="2" t="s">
        <v>28</v>
      </c>
      <c r="B10" s="2" t="s">
        <v>274</v>
      </c>
      <c r="C10" s="2" t="s">
        <v>275</v>
      </c>
      <c r="D10" s="2" t="s">
        <v>276</v>
      </c>
      <c r="E10" s="2" t="str">
        <f>HYPERLINK("http://twitter.com/MonroeBlade")</f>
        <v>http://twitter.com/MonroeBlade</v>
      </c>
      <c r="F10" s="2" t="str">
        <f>HYPERLINK("https://muckrack.com/mark-monroe")</f>
        <v>https://muckrack.com/mark-monroe</v>
      </c>
      <c r="G10" s="2">
        <v>5022</v>
      </c>
      <c r="H10" s="2" t="s">
        <v>277</v>
      </c>
      <c r="I10" s="2" t="s">
        <v>278</v>
      </c>
      <c r="J10" s="2" t="s">
        <v>279</v>
      </c>
      <c r="K10" s="2" t="s">
        <v>29</v>
      </c>
      <c r="L10" s="2" t="s">
        <v>293</v>
      </c>
      <c r="M10" s="4">
        <v>45771.707719907397</v>
      </c>
      <c r="N10" s="2" t="str">
        <f>HYPERLINK("http://twitter.com/MonroeBlade/status/1915510840675205192")</f>
        <v>http://twitter.com/MonroeBlade/status/1915510840675205192</v>
      </c>
      <c r="O10" s="2" t="str">
        <f>HYPERLINK("https://www.toledoblade.com/sports/walleye/2025/04/24/walleye-lengthy-layoff-indy-sweep-sharpen-areas-echl-kelly-cup-playoffs-hockey/stories/20250424116")</f>
        <v>https://www.toledoblade.com/sports/walleye/2025/04/24/walleye-lengthy-layoff-indy-sweep-sharpen-areas-echl-kelly-cup-playoffs-hockey/stories/20250424116</v>
      </c>
    </row>
    <row r="11" spans="1:15" ht="105.6" x14ac:dyDescent="0.3">
      <c r="A11" s="2" t="s">
        <v>28</v>
      </c>
      <c r="B11" s="2" t="s">
        <v>274</v>
      </c>
      <c r="C11" s="2" t="s">
        <v>275</v>
      </c>
      <c r="D11" s="2" t="s">
        <v>276</v>
      </c>
      <c r="E11" s="2" t="str">
        <f>HYPERLINK("http://twitter.com/MonroeBlade")</f>
        <v>http://twitter.com/MonroeBlade</v>
      </c>
      <c r="F11" s="2" t="str">
        <f>HYPERLINK("https://muckrack.com/mark-monroe")</f>
        <v>https://muckrack.com/mark-monroe</v>
      </c>
      <c r="G11" s="2">
        <v>5022</v>
      </c>
      <c r="H11" s="2" t="s">
        <v>277</v>
      </c>
      <c r="I11" s="2" t="s">
        <v>278</v>
      </c>
      <c r="J11" s="2" t="s">
        <v>279</v>
      </c>
      <c r="K11" s="2" t="s">
        <v>29</v>
      </c>
      <c r="L11" s="2" t="s">
        <v>294</v>
      </c>
      <c r="M11" s="4">
        <v>45772.724259259259</v>
      </c>
      <c r="N11" s="2" t="str">
        <f>HYPERLINK("http://twitter.com/MonroeBlade/status/1915879223786459303")</f>
        <v>http://twitter.com/MonroeBlade/status/1915879223786459303</v>
      </c>
      <c r="O11" s="2" t="str">
        <f>HYPERLINK("https://www.toledoblade.com/sports/walleye/2025/04/24/walleye-lengthy-layoff-indy-sweep-sharpen-areas-echl-kelly-cup-playoffs-hockey/stories/20250424116")</f>
        <v>https://www.toledoblade.com/sports/walleye/2025/04/24/walleye-lengthy-layoff-indy-sweep-sharpen-areas-echl-kelly-cup-playoffs-hockey/stories/20250424116</v>
      </c>
    </row>
    <row r="12" spans="1:15" ht="39.6" x14ac:dyDescent="0.3">
      <c r="A12" s="2" t="s">
        <v>295</v>
      </c>
      <c r="B12" s="2" t="s">
        <v>296</v>
      </c>
      <c r="C12" s="2" t="s">
        <v>297</v>
      </c>
      <c r="D12" s="2" t="s">
        <v>298</v>
      </c>
      <c r="E12" s="2" t="str">
        <f>HYPERLINK("http://twitter.com/_phil_thompson")</f>
        <v>http://twitter.com/_phil_thompson</v>
      </c>
      <c r="F12" s="2" t="str">
        <f>HYPERLINK("https://muckrack.com/phil-thompson")</f>
        <v>https://muckrack.com/phil-thompson</v>
      </c>
      <c r="G12" s="2">
        <v>5517</v>
      </c>
      <c r="H12" s="2" t="s">
        <v>299</v>
      </c>
      <c r="I12" s="2" t="s">
        <v>300</v>
      </c>
      <c r="J12" s="2" t="s">
        <v>301</v>
      </c>
      <c r="K12" s="2" t="s">
        <v>60</v>
      </c>
      <c r="L12" s="2" t="s">
        <v>302</v>
      </c>
      <c r="M12" s="4">
        <v>45770.354375000003</v>
      </c>
      <c r="N12" s="2" t="str">
        <f>HYPERLINK("http://twitter.com/_phil_thompson/status/1915020404340490532")</f>
        <v>http://twitter.com/_phil_thompson/status/1915020404340490532</v>
      </c>
      <c r="O12" s="2" t="str">
        <f>HYPERLINK("https://www.chicagotribune.com/2025/04/23/rockford-icehogs-ahl-playoffs/")</f>
        <v>https://www.chicagotribune.com/2025/04/23/rockford-icehogs-ahl-playoffs/</v>
      </c>
    </row>
    <row r="13" spans="1:15" ht="79.2" x14ac:dyDescent="0.3">
      <c r="A13" s="2" t="s">
        <v>28</v>
      </c>
      <c r="B13" s="2" t="s">
        <v>274</v>
      </c>
      <c r="C13" s="2" t="s">
        <v>275</v>
      </c>
      <c r="D13" s="2" t="s">
        <v>276</v>
      </c>
      <c r="E13" s="2" t="str">
        <f t="shared" ref="E13:E22" si="2">HYPERLINK("http://twitter.com/MonroeBlade")</f>
        <v>http://twitter.com/MonroeBlade</v>
      </c>
      <c r="F13" s="2" t="str">
        <f t="shared" ref="F13:F22" si="3">HYPERLINK("https://muckrack.com/mark-monroe")</f>
        <v>https://muckrack.com/mark-monroe</v>
      </c>
      <c r="G13" s="2">
        <v>5022</v>
      </c>
      <c r="H13" s="2" t="s">
        <v>277</v>
      </c>
      <c r="I13" s="2" t="s">
        <v>278</v>
      </c>
      <c r="J13" s="2" t="s">
        <v>279</v>
      </c>
      <c r="K13" s="2" t="s">
        <v>29</v>
      </c>
      <c r="L13" s="2" t="s">
        <v>303</v>
      </c>
      <c r="M13" s="4">
        <v>45769.931550925918</v>
      </c>
      <c r="N13" s="2" t="str">
        <f>HYPERLINK("http://twitter.com/MonroeBlade/status/1914867178626572295")</f>
        <v>http://twitter.com/MonroeBlade/status/1914867178626572295</v>
      </c>
      <c r="O13" s="2" t="str">
        <f>HYPERLINK("https://www.toledoblade.com/sports/walleye/2025/04/22/walleye-series-sweep-indy-fuel-3-2-win-game-4-central-division-semifinals-echl/stories/20250422129")</f>
        <v>https://www.toledoblade.com/sports/walleye/2025/04/22/walleye-series-sweep-indy-fuel-3-2-win-game-4-central-division-semifinals-echl/stories/20250422129</v>
      </c>
    </row>
    <row r="14" spans="1:15" ht="66" x14ac:dyDescent="0.3">
      <c r="A14" s="2" t="s">
        <v>28</v>
      </c>
      <c r="B14" s="2" t="s">
        <v>274</v>
      </c>
      <c r="C14" s="2" t="s">
        <v>275</v>
      </c>
      <c r="D14" s="2" t="s">
        <v>276</v>
      </c>
      <c r="E14" s="2" t="str">
        <f t="shared" si="2"/>
        <v>http://twitter.com/MonroeBlade</v>
      </c>
      <c r="F14" s="2" t="str">
        <f t="shared" si="3"/>
        <v>https://muckrack.com/mark-monroe</v>
      </c>
      <c r="G14" s="2">
        <v>5022</v>
      </c>
      <c r="H14" s="2" t="s">
        <v>277</v>
      </c>
      <c r="I14" s="2" t="s">
        <v>278</v>
      </c>
      <c r="J14" s="2" t="s">
        <v>279</v>
      </c>
      <c r="K14" s="2" t="s">
        <v>29</v>
      </c>
      <c r="L14" s="2" t="s">
        <v>304</v>
      </c>
      <c r="M14" s="4">
        <v>45769.960798611108</v>
      </c>
      <c r="N14" s="2" t="str">
        <f>HYPERLINK("http://twitter.com/MonroeBlade/status/1914877779478294894")</f>
        <v>http://twitter.com/MonroeBlade/status/1914877779478294894</v>
      </c>
      <c r="O14" s="2" t="str">
        <f>HYPERLINK("https://www.toledoblade.com/sports/walleye/2025/04/22/walleye-series-sweep-indy-fuel-3-2-win-game-4-central-division-semifinals-echl/stories/20250422129")</f>
        <v>https://www.toledoblade.com/sports/walleye/2025/04/22/walleye-series-sweep-indy-fuel-3-2-win-game-4-central-division-semifinals-echl/stories/20250422129</v>
      </c>
    </row>
    <row r="15" spans="1:15" ht="92.4" x14ac:dyDescent="0.3">
      <c r="A15" s="2" t="s">
        <v>28</v>
      </c>
      <c r="B15" s="2" t="s">
        <v>274</v>
      </c>
      <c r="C15" s="2" t="s">
        <v>275</v>
      </c>
      <c r="D15" s="2" t="s">
        <v>276</v>
      </c>
      <c r="E15" s="2" t="str">
        <f t="shared" si="2"/>
        <v>http://twitter.com/MonroeBlade</v>
      </c>
      <c r="F15" s="2" t="str">
        <f t="shared" si="3"/>
        <v>https://muckrack.com/mark-monroe</v>
      </c>
      <c r="G15" s="2">
        <v>5022</v>
      </c>
      <c r="H15" s="2" t="s">
        <v>277</v>
      </c>
      <c r="I15" s="2" t="s">
        <v>278</v>
      </c>
      <c r="J15" s="2" t="s">
        <v>279</v>
      </c>
      <c r="K15" s="2" t="s">
        <v>29</v>
      </c>
      <c r="L15" s="2" t="s">
        <v>305</v>
      </c>
      <c r="M15" s="4">
        <v>45770.516840277778</v>
      </c>
      <c r="N15" s="2" t="str">
        <f>HYPERLINK("http://twitter.com/MonroeBlade/status/1915079280293249301")</f>
        <v>http://twitter.com/MonroeBlade/status/1915079280293249301</v>
      </c>
      <c r="O15" s="2" t="str">
        <f>HYPERLINK("https://www.toledoblade.com/sports/walleye/2025/04/22/walleye-series-sweep-indy-fuel-3-2-win-game-4-central-division-semifinals-echl/stories/20250422129")</f>
        <v>https://www.toledoblade.com/sports/walleye/2025/04/22/walleye-series-sweep-indy-fuel-3-2-win-game-4-central-division-semifinals-echl/stories/20250422129</v>
      </c>
    </row>
    <row r="16" spans="1:15" ht="79.2" x14ac:dyDescent="0.3">
      <c r="A16" s="2" t="s">
        <v>28</v>
      </c>
      <c r="B16" s="2" t="s">
        <v>274</v>
      </c>
      <c r="C16" s="2" t="s">
        <v>275</v>
      </c>
      <c r="D16" s="2" t="s">
        <v>276</v>
      </c>
      <c r="E16" s="2" t="str">
        <f t="shared" si="2"/>
        <v>http://twitter.com/MonroeBlade</v>
      </c>
      <c r="F16" s="2" t="str">
        <f t="shared" si="3"/>
        <v>https://muckrack.com/mark-monroe</v>
      </c>
      <c r="G16" s="2">
        <v>5022</v>
      </c>
      <c r="H16" s="2" t="s">
        <v>277</v>
      </c>
      <c r="I16" s="2" t="s">
        <v>278</v>
      </c>
      <c r="J16" s="2" t="s">
        <v>279</v>
      </c>
      <c r="K16" s="2" t="s">
        <v>29</v>
      </c>
      <c r="L16" s="2" t="s">
        <v>306</v>
      </c>
      <c r="M16" s="4">
        <v>45769.792141203703</v>
      </c>
      <c r="N16" s="2" t="str">
        <f>HYPERLINK("http://twitter.com/MonroeBlade/status/1914816656263573879")</f>
        <v>http://twitter.com/MonroeBlade/status/1914816656263573879</v>
      </c>
      <c r="O16" s="2" t="str">
        <f>HYPERLINK("https://www.toledoblade.com/sports/walleye/2025/04/22/the-other-barn-indy-s-fishers-event-center/stories/20250422106")</f>
        <v>https://www.toledoblade.com/sports/walleye/2025/04/22/the-other-barn-indy-s-fishers-event-center/stories/20250422106</v>
      </c>
    </row>
    <row r="17" spans="1:15" ht="66" x14ac:dyDescent="0.3">
      <c r="A17" s="2" t="s">
        <v>28</v>
      </c>
      <c r="B17" s="2" t="s">
        <v>274</v>
      </c>
      <c r="C17" s="2" t="s">
        <v>275</v>
      </c>
      <c r="D17" s="2" t="s">
        <v>276</v>
      </c>
      <c r="E17" s="2" t="str">
        <f t="shared" si="2"/>
        <v>http://twitter.com/MonroeBlade</v>
      </c>
      <c r="F17" s="2" t="str">
        <f t="shared" si="3"/>
        <v>https://muckrack.com/mark-monroe</v>
      </c>
      <c r="G17" s="2">
        <v>5022</v>
      </c>
      <c r="H17" s="2" t="s">
        <v>277</v>
      </c>
      <c r="I17" s="2" t="s">
        <v>278</v>
      </c>
      <c r="J17" s="2" t="s">
        <v>279</v>
      </c>
      <c r="K17" s="2" t="s">
        <v>29</v>
      </c>
      <c r="L17" s="2" t="s">
        <v>307</v>
      </c>
      <c r="M17" s="4">
        <v>45769.963703703703</v>
      </c>
      <c r="N17" s="2" t="str">
        <f>HYPERLINK("http://twitter.com/MonroeBlade/status/1914878831338442767")</f>
        <v>http://twitter.com/MonroeBlade/status/1914878831338442767</v>
      </c>
      <c r="O17" s="2" t="str">
        <f>HYPERLINK("https://www.toledoblade.com/sports/walleye/2025/04/22/the-other-barn-indy-s-fishers-event-center/stories/20250422106")</f>
        <v>https://www.toledoblade.com/sports/walleye/2025/04/22/the-other-barn-indy-s-fishers-event-center/stories/20250422106</v>
      </c>
    </row>
    <row r="18" spans="1:15" ht="66" x14ac:dyDescent="0.3">
      <c r="A18" s="2" t="s">
        <v>28</v>
      </c>
      <c r="B18" s="2" t="s">
        <v>274</v>
      </c>
      <c r="C18" s="2" t="s">
        <v>275</v>
      </c>
      <c r="D18" s="2" t="s">
        <v>276</v>
      </c>
      <c r="E18" s="2" t="str">
        <f t="shared" si="2"/>
        <v>http://twitter.com/MonroeBlade</v>
      </c>
      <c r="F18" s="2" t="str">
        <f t="shared" si="3"/>
        <v>https://muckrack.com/mark-monroe</v>
      </c>
      <c r="G18" s="2">
        <v>5022</v>
      </c>
      <c r="H18" s="2" t="s">
        <v>277</v>
      </c>
      <c r="I18" s="2" t="s">
        <v>278</v>
      </c>
      <c r="J18" s="2" t="s">
        <v>279</v>
      </c>
      <c r="K18" s="2" t="s">
        <v>29</v>
      </c>
      <c r="L18" s="2" t="s">
        <v>308</v>
      </c>
      <c r="M18" s="4">
        <v>45768.947534722232</v>
      </c>
      <c r="N18" s="2" t="str">
        <f>HYPERLINK("http://twitter.com/MonroeBlade/status/1914510580850864621")</f>
        <v>http://twitter.com/MonroeBlade/status/1914510580850864621</v>
      </c>
      <c r="O18" s="2" t="str">
        <f>HYPERLINK("https://www.toledoblade.com/sports/walleye/2025/04/21/walleye-top-fuel-5-3-indy-brink-playoff-elimination/stories/20250421109")</f>
        <v>https://www.toledoblade.com/sports/walleye/2025/04/21/walleye-top-fuel-5-3-indy-brink-playoff-elimination/stories/20250421109</v>
      </c>
    </row>
    <row r="19" spans="1:15" ht="79.2" x14ac:dyDescent="0.3">
      <c r="A19" s="2" t="s">
        <v>28</v>
      </c>
      <c r="B19" s="2" t="s">
        <v>274</v>
      </c>
      <c r="C19" s="2" t="s">
        <v>275</v>
      </c>
      <c r="D19" s="2" t="s">
        <v>276</v>
      </c>
      <c r="E19" s="2" t="str">
        <f t="shared" si="2"/>
        <v>http://twitter.com/MonroeBlade</v>
      </c>
      <c r="F19" s="2" t="str">
        <f t="shared" si="3"/>
        <v>https://muckrack.com/mark-monroe</v>
      </c>
      <c r="G19" s="2">
        <v>5022</v>
      </c>
      <c r="H19" s="2" t="s">
        <v>277</v>
      </c>
      <c r="I19" s="2" t="s">
        <v>278</v>
      </c>
      <c r="J19" s="2" t="s">
        <v>279</v>
      </c>
      <c r="K19" s="2" t="s">
        <v>29</v>
      </c>
      <c r="L19" s="2" t="s">
        <v>309</v>
      </c>
      <c r="M19" s="4">
        <v>45769.560011574067</v>
      </c>
      <c r="N19" s="2" t="str">
        <f>HYPERLINK("http://twitter.com/MonroeBlade/status/1914732537789694291")</f>
        <v>http://twitter.com/MonroeBlade/status/1914732537789694291</v>
      </c>
      <c r="O19" s="2" t="str">
        <f>HYPERLINK("https://www.toledoblade.com/sports/walleye/2025/04/21/walleye-top-fuel-5-3-indy-brink-playoff-elimination/stories/20250421109")</f>
        <v>https://www.toledoblade.com/sports/walleye/2025/04/21/walleye-top-fuel-5-3-indy-brink-playoff-elimination/stories/20250421109</v>
      </c>
    </row>
    <row r="20" spans="1:15" ht="92.4" x14ac:dyDescent="0.3">
      <c r="A20" s="2" t="s">
        <v>28</v>
      </c>
      <c r="B20" s="2" t="s">
        <v>274</v>
      </c>
      <c r="C20" s="2" t="s">
        <v>275</v>
      </c>
      <c r="D20" s="2" t="s">
        <v>276</v>
      </c>
      <c r="E20" s="2" t="str">
        <f t="shared" si="2"/>
        <v>http://twitter.com/MonroeBlade</v>
      </c>
      <c r="F20" s="2" t="str">
        <f t="shared" si="3"/>
        <v>https://muckrack.com/mark-monroe</v>
      </c>
      <c r="G20" s="2">
        <v>5022</v>
      </c>
      <c r="H20" s="2" t="s">
        <v>277</v>
      </c>
      <c r="I20" s="2" t="s">
        <v>278</v>
      </c>
      <c r="J20" s="2" t="s">
        <v>279</v>
      </c>
      <c r="K20" s="2" t="s">
        <v>29</v>
      </c>
      <c r="L20" s="2" t="s">
        <v>310</v>
      </c>
      <c r="M20" s="4">
        <v>45769.561793981477</v>
      </c>
      <c r="N20" s="2" t="str">
        <f>HYPERLINK("http://twitter.com/MonroeBlade/status/1914733181456036246")</f>
        <v>http://twitter.com/MonroeBlade/status/1914733181456036246</v>
      </c>
      <c r="O20" s="2" t="str">
        <f>HYPERLINK("https://www.toledoblade.com/sports/walleye/2025/04/21/walleye-top-fuel-5-3-indy-brink-playoff-elimination/stories/20250421109")</f>
        <v>https://www.toledoblade.com/sports/walleye/2025/04/21/walleye-top-fuel-5-3-indy-brink-playoff-elimination/stories/20250421109</v>
      </c>
    </row>
    <row r="21" spans="1:15" ht="79.2" x14ac:dyDescent="0.3">
      <c r="A21" s="2" t="s">
        <v>28</v>
      </c>
      <c r="B21" s="2" t="s">
        <v>274</v>
      </c>
      <c r="C21" s="2" t="s">
        <v>275</v>
      </c>
      <c r="D21" s="2" t="s">
        <v>276</v>
      </c>
      <c r="E21" s="2" t="str">
        <f t="shared" si="2"/>
        <v>http://twitter.com/MonroeBlade</v>
      </c>
      <c r="F21" s="2" t="str">
        <f t="shared" si="3"/>
        <v>https://muckrack.com/mark-monroe</v>
      </c>
      <c r="G21" s="2">
        <v>5022</v>
      </c>
      <c r="H21" s="2" t="s">
        <v>277</v>
      </c>
      <c r="I21" s="2" t="s">
        <v>278</v>
      </c>
      <c r="J21" s="2" t="s">
        <v>279</v>
      </c>
      <c r="K21" s="2" t="s">
        <v>29</v>
      </c>
      <c r="L21" s="2" t="s">
        <v>311</v>
      </c>
      <c r="M21" s="4">
        <v>45769.775023148148</v>
      </c>
      <c r="N21" s="2" t="str">
        <f>HYPERLINK("http://twitter.com/MonroeBlade/status/1914810453995507823")</f>
        <v>http://twitter.com/MonroeBlade/status/1914810453995507823</v>
      </c>
      <c r="O21" s="2" t="str">
        <f>HYPERLINK("https://www.toledoblade.com/sports/walleye/2025/04/21/walleye-top-fuel-5-3-indy-brink-playoff-elimination/stories/20250421109")</f>
        <v>https://www.toledoblade.com/sports/walleye/2025/04/21/walleye-top-fuel-5-3-indy-brink-playoff-elimination/stories/20250421109</v>
      </c>
    </row>
    <row r="22" spans="1:15" ht="92.4" x14ac:dyDescent="0.3">
      <c r="A22" s="2" t="s">
        <v>28</v>
      </c>
      <c r="B22" s="2" t="s">
        <v>274</v>
      </c>
      <c r="C22" s="2" t="s">
        <v>275</v>
      </c>
      <c r="D22" s="2" t="s">
        <v>276</v>
      </c>
      <c r="E22" s="2" t="str">
        <f t="shared" si="2"/>
        <v>http://twitter.com/MonroeBlade</v>
      </c>
      <c r="F22" s="2" t="str">
        <f t="shared" si="3"/>
        <v>https://muckrack.com/mark-monroe</v>
      </c>
      <c r="G22" s="2">
        <v>5022</v>
      </c>
      <c r="H22" s="2" t="s">
        <v>277</v>
      </c>
      <c r="I22" s="2" t="s">
        <v>278</v>
      </c>
      <c r="J22" s="2" t="s">
        <v>279</v>
      </c>
      <c r="K22" s="2" t="s">
        <v>29</v>
      </c>
      <c r="L22" s="2" t="s">
        <v>312</v>
      </c>
      <c r="M22" s="4">
        <v>45767.821087962962</v>
      </c>
      <c r="N22" s="2" t="str">
        <f>HYPERLINK("http://twitter.com/MonroeBlade/status/1914102372457906279")</f>
        <v>http://twitter.com/MonroeBlade/status/1914102372457906279</v>
      </c>
      <c r="O22" s="2" t="str">
        <f>HYPERLINK("https://www.toledoblade.com/sports/walleye/2025/04/20/briggs-walleye-star-brandon-hawkins-toledo-become-dream-home/stories/20250420130")</f>
        <v>https://www.toledoblade.com/sports/walleye/2025/04/20/briggs-walleye-star-brandon-hawkins-toledo-become-dream-home/stories/20250420130</v>
      </c>
    </row>
    <row r="23" spans="1:15" ht="66" x14ac:dyDescent="0.3">
      <c r="A23" s="2" t="s">
        <v>313</v>
      </c>
      <c r="B23" s="2" t="s">
        <v>314</v>
      </c>
      <c r="C23" s="2" t="s">
        <v>315</v>
      </c>
      <c r="D23" s="2" t="s">
        <v>316</v>
      </c>
      <c r="E23" s="2" t="str">
        <f>HYPERLINK("http://twitter.com/DBriggsBlade")</f>
        <v>http://twitter.com/DBriggsBlade</v>
      </c>
      <c r="F23" s="2" t="str">
        <f>HYPERLINK("https://muckrack.com/dbriggsblade")</f>
        <v>https://muckrack.com/dbriggsblade</v>
      </c>
      <c r="G23" s="2">
        <v>3976</v>
      </c>
      <c r="H23" s="2" t="s">
        <v>277</v>
      </c>
      <c r="I23" s="2" t="s">
        <v>317</v>
      </c>
      <c r="J23" s="2" t="s">
        <v>279</v>
      </c>
      <c r="K23" s="2" t="s">
        <v>29</v>
      </c>
      <c r="L23" s="2" t="s">
        <v>318</v>
      </c>
      <c r="M23" s="4">
        <v>45768.358831018522</v>
      </c>
      <c r="N23" s="2" t="str">
        <f>HYPERLINK("http://twitter.com/DBriggsBlade/status/1914297243303084414")</f>
        <v>http://twitter.com/DBriggsBlade/status/1914297243303084414</v>
      </c>
      <c r="O23" s="2" t="str">
        <f>HYPERLINK("https://www.toledoblade.com/sports/walleye/2025/04/20/briggs-walleye-star-brandon-hawkins-toledo-become-dream-home/stories/20250420130")</f>
        <v>https://www.toledoblade.com/sports/walleye/2025/04/20/briggs-walleye-star-brandon-hawkins-toledo-become-dream-home/stories/20250420130</v>
      </c>
    </row>
    <row r="24" spans="1:15" ht="66" x14ac:dyDescent="0.3">
      <c r="A24" s="2" t="s">
        <v>319</v>
      </c>
      <c r="B24" s="2" t="s">
        <v>320</v>
      </c>
      <c r="C24" s="2" t="s">
        <v>321</v>
      </c>
      <c r="D24" s="2" t="s">
        <v>322</v>
      </c>
      <c r="E24" s="2" t="str">
        <f>HYPERLINK("http://twitter.com/RonSeibel")</f>
        <v>http://twitter.com/RonSeibel</v>
      </c>
      <c r="F24" s="2" t="str">
        <f>HYPERLINK("https://muckrack.com/ron-seibel")</f>
        <v>https://muckrack.com/ron-seibel</v>
      </c>
      <c r="G24" s="2">
        <v>1869</v>
      </c>
      <c r="H24" s="2" t="s">
        <v>323</v>
      </c>
      <c r="I24" s="2" t="s">
        <v>324</v>
      </c>
      <c r="J24" s="2" t="s">
        <v>325</v>
      </c>
      <c r="K24" s="2" t="s">
        <v>29</v>
      </c>
      <c r="L24" s="2" t="s">
        <v>326</v>
      </c>
      <c r="M24" s="4">
        <v>45768.539606481478</v>
      </c>
      <c r="N24" s="2" t="str">
        <f>HYPERLINK("http://twitter.com/RonSeibel/status/1914362753843925150")</f>
        <v>http://twitter.com/RonSeibel/status/1914362753843925150</v>
      </c>
      <c r="O24" s="2" t="str">
        <f>HYPERLINK("https://www.toledoblade.com/sports/walleye/2025/04/20/briggs-walleye-star-brandon-hawkins-toledo-become-dream-home/stories/20250420130")</f>
        <v>https://www.toledoblade.com/sports/walleye/2025/04/20/briggs-walleye-star-brandon-hawkins-toledo-become-dream-home/stories/20250420130</v>
      </c>
    </row>
    <row r="25" spans="1:15" ht="52.8" x14ac:dyDescent="0.3">
      <c r="A25" s="2" t="s">
        <v>327</v>
      </c>
      <c r="B25" s="2" t="s">
        <v>328</v>
      </c>
      <c r="C25" s="2" t="s">
        <v>329</v>
      </c>
      <c r="D25" s="2" t="s">
        <v>330</v>
      </c>
      <c r="E25" s="2" t="str">
        <f>HYPERLINK("http://twitter.com/ADChernoff")</f>
        <v>http://twitter.com/ADChernoff</v>
      </c>
      <c r="F25" s="2" t="str">
        <f>HYPERLINK("https://muckrack.com/andrew-chernoff")</f>
        <v>https://muckrack.com/andrew-chernoff</v>
      </c>
      <c r="G25" s="2">
        <v>7780</v>
      </c>
      <c r="H25" s="2" t="s">
        <v>331</v>
      </c>
      <c r="I25" s="2" t="s">
        <v>332</v>
      </c>
      <c r="J25" s="2" t="s">
        <v>279</v>
      </c>
      <c r="K25" s="2" t="s">
        <v>333</v>
      </c>
      <c r="L25" s="2" t="s">
        <v>334</v>
      </c>
      <c r="M25" s="4">
        <v>45767.5625</v>
      </c>
      <c r="N25" s="2" t="str">
        <f>HYPERLINK("http://twitter.com/ADChernoff/status/1914008663108554757")</f>
        <v>http://twitter.com/ADChernoff/status/1914008663108554757</v>
      </c>
      <c r="O25" s="2" t="str">
        <f>HYPERLINK("https://www.wishtv.com/sports/indianapolis-fuel-playoff/")</f>
        <v>https://www.wishtv.com/sports/indianapolis-fuel-playoff/</v>
      </c>
    </row>
    <row r="26" spans="1:15" ht="79.2" x14ac:dyDescent="0.3">
      <c r="A26" s="2" t="s">
        <v>28</v>
      </c>
      <c r="B26" s="2" t="s">
        <v>274</v>
      </c>
      <c r="C26" s="2" t="s">
        <v>275</v>
      </c>
      <c r="D26" s="2" t="s">
        <v>276</v>
      </c>
      <c r="E26" s="2" t="str">
        <f>HYPERLINK("http://twitter.com/MonroeBlade")</f>
        <v>http://twitter.com/MonroeBlade</v>
      </c>
      <c r="F26" s="2" t="str">
        <f>HYPERLINK("https://muckrack.com/mark-monroe")</f>
        <v>https://muckrack.com/mark-monroe</v>
      </c>
      <c r="G26" s="2">
        <v>5022</v>
      </c>
      <c r="H26" s="2" t="s">
        <v>277</v>
      </c>
      <c r="I26" s="2" t="s">
        <v>278</v>
      </c>
      <c r="J26" s="2" t="s">
        <v>279</v>
      </c>
      <c r="K26" s="2" t="s">
        <v>29</v>
      </c>
      <c r="L26" s="2" t="s">
        <v>335</v>
      </c>
      <c r="M26" s="4">
        <v>45765.980509259258</v>
      </c>
      <c r="N26" s="2" t="str">
        <f>HYPERLINK("http://twitter.com/MonroeBlade/status/1913435368000573716")</f>
        <v>http://twitter.com/MonroeBlade/status/1913435368000573716</v>
      </c>
      <c r="O26" s="2" t="str">
        <f>HYPERLINK("https://www.toledoblade.com/sports/walleye/2025/04/18/walleye-seize-2-0-playoff-series-lead-over-indy-5-2-win/stories/20250418150")</f>
        <v>https://www.toledoblade.com/sports/walleye/2025/04/18/walleye-seize-2-0-playoff-series-lead-over-indy-5-2-win/stories/20250418150</v>
      </c>
    </row>
    <row r="27" spans="1:15" ht="79.2" x14ac:dyDescent="0.3">
      <c r="A27" s="2" t="s">
        <v>28</v>
      </c>
      <c r="B27" s="2" t="s">
        <v>274</v>
      </c>
      <c r="C27" s="2" t="s">
        <v>275</v>
      </c>
      <c r="D27" s="2" t="s">
        <v>276</v>
      </c>
      <c r="E27" s="2" t="str">
        <f>HYPERLINK("http://twitter.com/MonroeBlade")</f>
        <v>http://twitter.com/MonroeBlade</v>
      </c>
      <c r="F27" s="2" t="str">
        <f>HYPERLINK("https://muckrack.com/mark-monroe")</f>
        <v>https://muckrack.com/mark-monroe</v>
      </c>
      <c r="G27" s="2">
        <v>5022</v>
      </c>
      <c r="H27" s="2" t="s">
        <v>277</v>
      </c>
      <c r="I27" s="2" t="s">
        <v>278</v>
      </c>
      <c r="J27" s="2" t="s">
        <v>279</v>
      </c>
      <c r="K27" s="2" t="s">
        <v>29</v>
      </c>
      <c r="L27" s="2" t="s">
        <v>336</v>
      </c>
      <c r="M27" s="4">
        <v>45765.982986111107</v>
      </c>
      <c r="N27" s="2" t="str">
        <f>HYPERLINK("http://twitter.com/MonroeBlade/status/1913436266709811481")</f>
        <v>http://twitter.com/MonroeBlade/status/1913436266709811481</v>
      </c>
      <c r="O27" s="2" t="str">
        <f>HYPERLINK("https://www.toledoblade.com/sports/walleye/2025/04/18/walleye-seize-2-0-playoff-series-lead-over-indy-5-2-win/stories/20250418150")</f>
        <v>https://www.toledoblade.com/sports/walleye/2025/04/18/walleye-seize-2-0-playoff-series-lead-over-indy-5-2-win/stories/20250418150</v>
      </c>
    </row>
    <row r="28" spans="1:15" ht="105.6" x14ac:dyDescent="0.3">
      <c r="A28" s="2" t="s">
        <v>28</v>
      </c>
      <c r="B28" s="2" t="s">
        <v>274</v>
      </c>
      <c r="C28" s="2" t="s">
        <v>275</v>
      </c>
      <c r="D28" s="2" t="s">
        <v>276</v>
      </c>
      <c r="E28" s="2" t="str">
        <f>HYPERLINK("http://twitter.com/MonroeBlade")</f>
        <v>http://twitter.com/MonroeBlade</v>
      </c>
      <c r="F28" s="2" t="str">
        <f>HYPERLINK("https://muckrack.com/mark-monroe")</f>
        <v>https://muckrack.com/mark-monroe</v>
      </c>
      <c r="G28" s="2">
        <v>5022</v>
      </c>
      <c r="H28" s="2" t="s">
        <v>277</v>
      </c>
      <c r="I28" s="2" t="s">
        <v>278</v>
      </c>
      <c r="J28" s="2" t="s">
        <v>279</v>
      </c>
      <c r="K28" s="2" t="s">
        <v>29</v>
      </c>
      <c r="L28" s="2" t="s">
        <v>337</v>
      </c>
      <c r="M28" s="4">
        <v>45766.789293981477</v>
      </c>
      <c r="N28" s="2" t="str">
        <f>HYPERLINK("http://twitter.com/MonroeBlade/status/1913728460524028345")</f>
        <v>http://twitter.com/MonroeBlade/status/1913728460524028345</v>
      </c>
      <c r="O28" s="2" t="str">
        <f>HYPERLINK("https://www.toledoblade.com/sports/walleye/2025/04/18/walleye-seize-2-0-playoff-series-lead-over-indy-5-2-win/stories/20250418150")</f>
        <v>https://www.toledoblade.com/sports/walleye/2025/04/18/walleye-seize-2-0-playoff-series-lead-over-indy-5-2-win/stories/20250418150</v>
      </c>
    </row>
    <row r="29" spans="1:15" ht="66" x14ac:dyDescent="0.3">
      <c r="A29" s="2" t="s">
        <v>23</v>
      </c>
      <c r="B29" s="2" t="s">
        <v>338</v>
      </c>
      <c r="C29" s="2" t="s">
        <v>339</v>
      </c>
      <c r="D29" s="2" t="s">
        <v>340</v>
      </c>
      <c r="E29" s="2" t="str">
        <f>HYPERLINK("http://twitter.com/chrismpeters")</f>
        <v>http://twitter.com/chrismpeters</v>
      </c>
      <c r="F29" s="2" t="str">
        <f>HYPERLINK("https://muckrack.com/chris-peters")</f>
        <v>https://muckrack.com/chris-peters</v>
      </c>
      <c r="G29" s="2">
        <v>31676</v>
      </c>
      <c r="H29" s="2" t="s">
        <v>341</v>
      </c>
      <c r="I29" s="2" t="s">
        <v>342</v>
      </c>
      <c r="J29" s="2" t="s">
        <v>325</v>
      </c>
      <c r="K29" s="2" t="s">
        <v>343</v>
      </c>
      <c r="L29" s="2" t="s">
        <v>344</v>
      </c>
      <c r="M29" s="4">
        <v>45765.714432870373</v>
      </c>
      <c r="N29" s="2" t="str">
        <f>HYPERLINK("http://twitter.com/chrismpeters/status/1913338945204879781")</f>
        <v>http://twitter.com/chrismpeters/status/1913338945204879781</v>
      </c>
      <c r="O29" s="2" t="str">
        <f>HYPERLINK("https://www.flohockey.tv/articles/14095611-echl-awards-brandon-hawkins-named-echl-mvp-for-second-straight-season")</f>
        <v>https://www.flohockey.tv/articles/14095611-echl-awards-brandon-hawkins-named-echl-mvp-for-second-straight-season</v>
      </c>
    </row>
    <row r="30" spans="1:15" ht="79.2" x14ac:dyDescent="0.3">
      <c r="A30" s="2" t="s">
        <v>28</v>
      </c>
      <c r="B30" s="2" t="s">
        <v>274</v>
      </c>
      <c r="C30" s="2" t="s">
        <v>275</v>
      </c>
      <c r="D30" s="2" t="s">
        <v>276</v>
      </c>
      <c r="E30" s="2" t="str">
        <f t="shared" ref="E30:E47" si="4">HYPERLINK("http://twitter.com/MonroeBlade")</f>
        <v>http://twitter.com/MonroeBlade</v>
      </c>
      <c r="F30" s="2" t="str">
        <f t="shared" ref="F30:F47" si="5">HYPERLINK("https://muckrack.com/mark-monroe")</f>
        <v>https://muckrack.com/mark-monroe</v>
      </c>
      <c r="G30" s="2">
        <v>5022</v>
      </c>
      <c r="H30" s="2" t="s">
        <v>277</v>
      </c>
      <c r="I30" s="2" t="s">
        <v>278</v>
      </c>
      <c r="J30" s="2" t="s">
        <v>279</v>
      </c>
      <c r="K30" s="2" t="s">
        <v>29</v>
      </c>
      <c r="L30" s="2" t="s">
        <v>345</v>
      </c>
      <c r="M30" s="4">
        <v>45765.675520833327</v>
      </c>
      <c r="N30" s="2" t="str">
        <f>HYPERLINK("http://twitter.com/MonroeBlade/status/1913324844365529358")</f>
        <v>http://twitter.com/MonroeBlade/status/1913324844365529358</v>
      </c>
      <c r="O30" s="2" t="str">
        <f>HYPERLINK("https://www.toledoblade.com/sports/walleye/2025/04/18/hawkins-echl-mvp-walleye-forward-second-straight-season-scoring-leader-hockey/stories/20250417128")</f>
        <v>https://www.toledoblade.com/sports/walleye/2025/04/18/hawkins-echl-mvp-walleye-forward-second-straight-season-scoring-leader-hockey/stories/20250417128</v>
      </c>
    </row>
    <row r="31" spans="1:15" ht="79.2" x14ac:dyDescent="0.3">
      <c r="A31" s="2" t="s">
        <v>28</v>
      </c>
      <c r="B31" s="2" t="s">
        <v>274</v>
      </c>
      <c r="C31" s="2" t="s">
        <v>275</v>
      </c>
      <c r="D31" s="2" t="s">
        <v>276</v>
      </c>
      <c r="E31" s="2" t="str">
        <f t="shared" si="4"/>
        <v>http://twitter.com/MonroeBlade</v>
      </c>
      <c r="F31" s="2" t="str">
        <f t="shared" si="5"/>
        <v>https://muckrack.com/mark-monroe</v>
      </c>
      <c r="G31" s="2">
        <v>5022</v>
      </c>
      <c r="H31" s="2" t="s">
        <v>277</v>
      </c>
      <c r="I31" s="2" t="s">
        <v>278</v>
      </c>
      <c r="J31" s="2" t="s">
        <v>279</v>
      </c>
      <c r="K31" s="2" t="s">
        <v>29</v>
      </c>
      <c r="L31" s="2" t="s">
        <v>346</v>
      </c>
      <c r="M31" s="4">
        <v>45765.761388888888</v>
      </c>
      <c r="N31" s="2" t="str">
        <f>HYPERLINK("http://twitter.com/MonroeBlade/status/1913355960317272292")</f>
        <v>http://twitter.com/MonroeBlade/status/1913355960317272292</v>
      </c>
      <c r="O31" s="2" t="str">
        <f>HYPERLINK("https://www.toledoblade.com/sports/walleye/2025/04/18/hawkins-echl-mvp-walleye-forward-second-straight-season-scoring-leader-hockey/stories/20250417128")</f>
        <v>https://www.toledoblade.com/sports/walleye/2025/04/18/hawkins-echl-mvp-walleye-forward-second-straight-season-scoring-leader-hockey/stories/20250417128</v>
      </c>
    </row>
    <row r="32" spans="1:15" ht="79.2" x14ac:dyDescent="0.3">
      <c r="A32" s="2" t="s">
        <v>28</v>
      </c>
      <c r="B32" s="2" t="s">
        <v>274</v>
      </c>
      <c r="C32" s="2" t="s">
        <v>275</v>
      </c>
      <c r="D32" s="2" t="s">
        <v>276</v>
      </c>
      <c r="E32" s="2" t="str">
        <f t="shared" si="4"/>
        <v>http://twitter.com/MonroeBlade</v>
      </c>
      <c r="F32" s="2" t="str">
        <f t="shared" si="5"/>
        <v>https://muckrack.com/mark-monroe</v>
      </c>
      <c r="G32" s="2">
        <v>5022</v>
      </c>
      <c r="H32" s="2" t="s">
        <v>277</v>
      </c>
      <c r="I32" s="2" t="s">
        <v>278</v>
      </c>
      <c r="J32" s="2" t="s">
        <v>279</v>
      </c>
      <c r="K32" s="2" t="s">
        <v>29</v>
      </c>
      <c r="L32" s="2" t="s">
        <v>347</v>
      </c>
      <c r="M32" s="4">
        <v>45764.969351851847</v>
      </c>
      <c r="N32" s="2" t="str">
        <f>HYPERLINK("http://twitter.com/MonroeBlade/status/1913068936024805722")</f>
        <v>http://twitter.com/MonroeBlade/status/1913068936024805722</v>
      </c>
      <c r="O32" s="2" t="str">
        <f>HYPERLINK("https://www.toledoblade.com/sports/walleye/2025/04/17/walleye-open-playoffs-convincing-6-3-win-over-indy-fuel/stories/20250417147")</f>
        <v>https://www.toledoblade.com/sports/walleye/2025/04/17/walleye-open-playoffs-convincing-6-3-win-over-indy-fuel/stories/20250417147</v>
      </c>
    </row>
    <row r="33" spans="1:15" ht="105.6" x14ac:dyDescent="0.3">
      <c r="A33" s="2" t="s">
        <v>28</v>
      </c>
      <c r="B33" s="2" t="s">
        <v>274</v>
      </c>
      <c r="C33" s="2" t="s">
        <v>275</v>
      </c>
      <c r="D33" s="2" t="s">
        <v>276</v>
      </c>
      <c r="E33" s="2" t="str">
        <f t="shared" si="4"/>
        <v>http://twitter.com/MonroeBlade</v>
      </c>
      <c r="F33" s="2" t="str">
        <f t="shared" si="5"/>
        <v>https://muckrack.com/mark-monroe</v>
      </c>
      <c r="G33" s="2">
        <v>5022</v>
      </c>
      <c r="H33" s="2" t="s">
        <v>277</v>
      </c>
      <c r="I33" s="2" t="s">
        <v>278</v>
      </c>
      <c r="J33" s="2" t="s">
        <v>279</v>
      </c>
      <c r="K33" s="2" t="s">
        <v>29</v>
      </c>
      <c r="L33" s="2" t="s">
        <v>348</v>
      </c>
      <c r="M33" s="4">
        <v>45764.975717592592</v>
      </c>
      <c r="N33" s="2" t="str">
        <f>HYPERLINK("http://twitter.com/MonroeBlade/status/1913071246557786606")</f>
        <v>http://twitter.com/MonroeBlade/status/1913071246557786606</v>
      </c>
      <c r="O33" s="2" t="str">
        <f>HYPERLINK("https://www.toledoblade.com/sports/walleye/2025/04/17/walleye-open-playoffs-convincing-6-3-win-over-indy-fuel/stories/20250417147")</f>
        <v>https://www.toledoblade.com/sports/walleye/2025/04/17/walleye-open-playoffs-convincing-6-3-win-over-indy-fuel/stories/20250417147</v>
      </c>
    </row>
    <row r="34" spans="1:15" ht="92.4" x14ac:dyDescent="0.3">
      <c r="A34" s="2" t="s">
        <v>28</v>
      </c>
      <c r="B34" s="2" t="s">
        <v>274</v>
      </c>
      <c r="C34" s="2" t="s">
        <v>275</v>
      </c>
      <c r="D34" s="2" t="s">
        <v>276</v>
      </c>
      <c r="E34" s="2" t="str">
        <f t="shared" si="4"/>
        <v>http://twitter.com/MonroeBlade</v>
      </c>
      <c r="F34" s="2" t="str">
        <f t="shared" si="5"/>
        <v>https://muckrack.com/mark-monroe</v>
      </c>
      <c r="G34" s="2">
        <v>5022</v>
      </c>
      <c r="H34" s="2" t="s">
        <v>277</v>
      </c>
      <c r="I34" s="2" t="s">
        <v>278</v>
      </c>
      <c r="J34" s="2" t="s">
        <v>279</v>
      </c>
      <c r="K34" s="2" t="s">
        <v>29</v>
      </c>
      <c r="L34" s="2" t="s">
        <v>349</v>
      </c>
      <c r="M34" s="4">
        <v>45765.599340277768</v>
      </c>
      <c r="N34" s="2" t="str">
        <f>HYPERLINK("http://twitter.com/MonroeBlade/status/1913297237431529918")</f>
        <v>http://twitter.com/MonroeBlade/status/1913297237431529918</v>
      </c>
      <c r="O34" s="2" t="str">
        <f>HYPERLINK("https://www.toledoblade.com/sports/walleye/2025/04/17/walleye-open-playoffs-convincing-6-3-win-over-indy-fuel/stories/20250417147")</f>
        <v>https://www.toledoblade.com/sports/walleye/2025/04/17/walleye-open-playoffs-convincing-6-3-win-over-indy-fuel/stories/20250417147</v>
      </c>
    </row>
    <row r="35" spans="1:15" ht="79.2" x14ac:dyDescent="0.3">
      <c r="A35" s="2" t="s">
        <v>28</v>
      </c>
      <c r="B35" s="2" t="s">
        <v>274</v>
      </c>
      <c r="C35" s="2" t="s">
        <v>275</v>
      </c>
      <c r="D35" s="2" t="s">
        <v>276</v>
      </c>
      <c r="E35" s="2" t="str">
        <f t="shared" si="4"/>
        <v>http://twitter.com/MonroeBlade</v>
      </c>
      <c r="F35" s="2" t="str">
        <f t="shared" si="5"/>
        <v>https://muckrack.com/mark-monroe</v>
      </c>
      <c r="G35" s="2">
        <v>5022</v>
      </c>
      <c r="H35" s="2" t="s">
        <v>277</v>
      </c>
      <c r="I35" s="2" t="s">
        <v>278</v>
      </c>
      <c r="J35" s="2" t="s">
        <v>279</v>
      </c>
      <c r="K35" s="2" t="s">
        <v>29</v>
      </c>
      <c r="L35" s="2" t="s">
        <v>350</v>
      </c>
      <c r="M35" s="4">
        <v>45763.666967592602</v>
      </c>
      <c r="N35" s="2" t="str">
        <f>HYPERLINK("http://twitter.com/MonroeBlade/status/1912596969177964814")</f>
        <v>http://twitter.com/MonroeBlade/status/1912596969177964814</v>
      </c>
      <c r="O35" s="2" t="str">
        <f t="shared" ref="O35:O40" si="6">HYPERLINK("https://www.toledoblade.com/sports/walleye/2025/04/16/2025-playoff-preview-walleye-look-to-get-rolling-against-indy/stories/20250416130")</f>
        <v>https://www.toledoblade.com/sports/walleye/2025/04/16/2025-playoff-preview-walleye-look-to-get-rolling-against-indy/stories/20250416130</v>
      </c>
    </row>
    <row r="36" spans="1:15" ht="79.2" x14ac:dyDescent="0.3">
      <c r="A36" s="2" t="s">
        <v>28</v>
      </c>
      <c r="B36" s="2" t="s">
        <v>274</v>
      </c>
      <c r="C36" s="2" t="s">
        <v>275</v>
      </c>
      <c r="D36" s="2" t="s">
        <v>276</v>
      </c>
      <c r="E36" s="2" t="str">
        <f t="shared" si="4"/>
        <v>http://twitter.com/MonroeBlade</v>
      </c>
      <c r="F36" s="2" t="str">
        <f t="shared" si="5"/>
        <v>https://muckrack.com/mark-monroe</v>
      </c>
      <c r="G36" s="2">
        <v>5022</v>
      </c>
      <c r="H36" s="2" t="s">
        <v>277</v>
      </c>
      <c r="I36" s="2" t="s">
        <v>278</v>
      </c>
      <c r="J36" s="2" t="s">
        <v>279</v>
      </c>
      <c r="K36" s="2" t="s">
        <v>29</v>
      </c>
      <c r="L36" s="2" t="s">
        <v>351</v>
      </c>
      <c r="M36" s="4">
        <v>45763.7190162037</v>
      </c>
      <c r="N36" s="2" t="str">
        <f>HYPERLINK("http://twitter.com/MonroeBlade/status/1912615832414302214")</f>
        <v>http://twitter.com/MonroeBlade/status/1912615832414302214</v>
      </c>
      <c r="O36" s="2" t="str">
        <f t="shared" si="6"/>
        <v>https://www.toledoblade.com/sports/walleye/2025/04/16/2025-playoff-preview-walleye-look-to-get-rolling-against-indy/stories/20250416130</v>
      </c>
    </row>
    <row r="37" spans="1:15" ht="92.4" x14ac:dyDescent="0.3">
      <c r="A37" s="2" t="s">
        <v>28</v>
      </c>
      <c r="B37" s="2" t="s">
        <v>274</v>
      </c>
      <c r="C37" s="2" t="s">
        <v>275</v>
      </c>
      <c r="D37" s="2" t="s">
        <v>276</v>
      </c>
      <c r="E37" s="2" t="str">
        <f t="shared" si="4"/>
        <v>http://twitter.com/MonroeBlade</v>
      </c>
      <c r="F37" s="2" t="str">
        <f t="shared" si="5"/>
        <v>https://muckrack.com/mark-monroe</v>
      </c>
      <c r="G37" s="2">
        <v>5022</v>
      </c>
      <c r="H37" s="2" t="s">
        <v>277</v>
      </c>
      <c r="I37" s="2" t="s">
        <v>278</v>
      </c>
      <c r="J37" s="2" t="s">
        <v>279</v>
      </c>
      <c r="K37" s="2" t="s">
        <v>29</v>
      </c>
      <c r="L37" s="2" t="s">
        <v>352</v>
      </c>
      <c r="M37" s="4">
        <v>45763.757777777777</v>
      </c>
      <c r="N37" s="2" t="str">
        <f>HYPERLINK("http://twitter.com/MonroeBlade/status/1912629879692009652")</f>
        <v>http://twitter.com/MonroeBlade/status/1912629879692009652</v>
      </c>
      <c r="O37" s="2" t="str">
        <f t="shared" si="6"/>
        <v>https://www.toledoblade.com/sports/walleye/2025/04/16/2025-playoff-preview-walleye-look-to-get-rolling-against-indy/stories/20250416130</v>
      </c>
    </row>
    <row r="38" spans="1:15" ht="158.4" x14ac:dyDescent="0.3">
      <c r="A38" s="2" t="s">
        <v>28</v>
      </c>
      <c r="B38" s="2" t="s">
        <v>274</v>
      </c>
      <c r="C38" s="2" t="s">
        <v>275</v>
      </c>
      <c r="D38" s="2" t="s">
        <v>276</v>
      </c>
      <c r="E38" s="2" t="str">
        <f t="shared" si="4"/>
        <v>http://twitter.com/MonroeBlade</v>
      </c>
      <c r="F38" s="2" t="str">
        <f t="shared" si="5"/>
        <v>https://muckrack.com/mark-monroe</v>
      </c>
      <c r="G38" s="2">
        <v>5022</v>
      </c>
      <c r="H38" s="2" t="s">
        <v>277</v>
      </c>
      <c r="I38" s="2" t="s">
        <v>278</v>
      </c>
      <c r="J38" s="2" t="s">
        <v>279</v>
      </c>
      <c r="K38" s="2" t="s">
        <v>29</v>
      </c>
      <c r="L38" s="2" t="s">
        <v>353</v>
      </c>
      <c r="M38" s="4">
        <v>45763.775208333333</v>
      </c>
      <c r="N38" s="2" t="str">
        <f>HYPERLINK("http://twitter.com/MonroeBlade/status/1912636194363510909")</f>
        <v>http://twitter.com/MonroeBlade/status/1912636194363510909</v>
      </c>
      <c r="O38" s="2" t="str">
        <f t="shared" si="6"/>
        <v>https://www.toledoblade.com/sports/walleye/2025/04/16/2025-playoff-preview-walleye-look-to-get-rolling-against-indy/stories/20250416130</v>
      </c>
    </row>
    <row r="39" spans="1:15" ht="79.2" x14ac:dyDescent="0.3">
      <c r="A39" s="2" t="s">
        <v>28</v>
      </c>
      <c r="B39" s="2" t="s">
        <v>274</v>
      </c>
      <c r="C39" s="2" t="s">
        <v>275</v>
      </c>
      <c r="D39" s="2" t="s">
        <v>276</v>
      </c>
      <c r="E39" s="2" t="str">
        <f t="shared" si="4"/>
        <v>http://twitter.com/MonroeBlade</v>
      </c>
      <c r="F39" s="2" t="str">
        <f t="shared" si="5"/>
        <v>https://muckrack.com/mark-monroe</v>
      </c>
      <c r="G39" s="2">
        <v>5022</v>
      </c>
      <c r="H39" s="2" t="s">
        <v>277</v>
      </c>
      <c r="I39" s="2" t="s">
        <v>278</v>
      </c>
      <c r="J39" s="2" t="s">
        <v>279</v>
      </c>
      <c r="K39" s="2" t="s">
        <v>29</v>
      </c>
      <c r="L39" s="2" t="s">
        <v>354</v>
      </c>
      <c r="M39" s="4">
        <v>45764.619537037041</v>
      </c>
      <c r="N39" s="2" t="str">
        <f>HYPERLINK("http://twitter.com/MonroeBlade/status/1912942168475673022")</f>
        <v>http://twitter.com/MonroeBlade/status/1912942168475673022</v>
      </c>
      <c r="O39" s="2" t="str">
        <f t="shared" si="6"/>
        <v>https://www.toledoblade.com/sports/walleye/2025/04/16/2025-playoff-preview-walleye-look-to-get-rolling-against-indy/stories/20250416130</v>
      </c>
    </row>
    <row r="40" spans="1:15" ht="79.2" x14ac:dyDescent="0.3">
      <c r="A40" s="2" t="s">
        <v>28</v>
      </c>
      <c r="B40" s="2" t="s">
        <v>274</v>
      </c>
      <c r="C40" s="2" t="s">
        <v>275</v>
      </c>
      <c r="D40" s="2" t="s">
        <v>276</v>
      </c>
      <c r="E40" s="2" t="str">
        <f t="shared" si="4"/>
        <v>http://twitter.com/MonroeBlade</v>
      </c>
      <c r="F40" s="2" t="str">
        <f t="shared" si="5"/>
        <v>https://muckrack.com/mark-monroe</v>
      </c>
      <c r="G40" s="2">
        <v>5022</v>
      </c>
      <c r="H40" s="2" t="s">
        <v>277</v>
      </c>
      <c r="I40" s="2" t="s">
        <v>278</v>
      </c>
      <c r="J40" s="2" t="s">
        <v>279</v>
      </c>
      <c r="K40" s="2" t="s">
        <v>29</v>
      </c>
      <c r="L40" s="2" t="s">
        <v>355</v>
      </c>
      <c r="M40" s="4">
        <v>45764.666666666657</v>
      </c>
      <c r="N40" s="2" t="str">
        <f>HYPERLINK("http://twitter.com/MonroeBlade/status/1912959247534408111")</f>
        <v>http://twitter.com/MonroeBlade/status/1912959247534408111</v>
      </c>
      <c r="O40" s="2" t="str">
        <f t="shared" si="6"/>
        <v>https://www.toledoblade.com/sports/walleye/2025/04/16/2025-playoff-preview-walleye-look-to-get-rolling-against-indy/stories/20250416130</v>
      </c>
    </row>
    <row r="41" spans="1:15" ht="79.2" x14ac:dyDescent="0.3">
      <c r="A41" s="2" t="s">
        <v>28</v>
      </c>
      <c r="B41" s="2" t="s">
        <v>274</v>
      </c>
      <c r="C41" s="2" t="s">
        <v>275</v>
      </c>
      <c r="D41" s="2" t="s">
        <v>276</v>
      </c>
      <c r="E41" s="2" t="str">
        <f t="shared" si="4"/>
        <v>http://twitter.com/MonroeBlade</v>
      </c>
      <c r="F41" s="2" t="str">
        <f t="shared" si="5"/>
        <v>https://muckrack.com/mark-monroe</v>
      </c>
      <c r="G41" s="2">
        <v>5022</v>
      </c>
      <c r="H41" s="2" t="s">
        <v>277</v>
      </c>
      <c r="I41" s="2" t="s">
        <v>278</v>
      </c>
      <c r="J41" s="2" t="s">
        <v>279</v>
      </c>
      <c r="K41" s="2" t="s">
        <v>29</v>
      </c>
      <c r="L41" s="2" t="s">
        <v>356</v>
      </c>
      <c r="M41" s="4">
        <v>45762.83662037037</v>
      </c>
      <c r="N41" s="2" t="str">
        <f>HYPERLINK("http://twitter.com/MonroeBlade/status/1912296060803752068")</f>
        <v>http://twitter.com/MonroeBlade/status/1912296060803752068</v>
      </c>
      <c r="O41" s="2" t="str">
        <f>HYPERLINK("https://www.toledoblade.com/sports/walleye/2025/04/15/traditional-nhl-schedule-format-should-benefit-walleye-against-fuel-echl-playoff/stories/20250415129")</f>
        <v>https://www.toledoblade.com/sports/walleye/2025/04/15/traditional-nhl-schedule-format-should-benefit-walleye-against-fuel-echl-playoff/stories/20250415129</v>
      </c>
    </row>
    <row r="42" spans="1:15" ht="79.2" x14ac:dyDescent="0.3">
      <c r="A42" s="2" t="s">
        <v>28</v>
      </c>
      <c r="B42" s="2" t="s">
        <v>274</v>
      </c>
      <c r="C42" s="2" t="s">
        <v>275</v>
      </c>
      <c r="D42" s="2" t="s">
        <v>276</v>
      </c>
      <c r="E42" s="2" t="str">
        <f t="shared" si="4"/>
        <v>http://twitter.com/MonroeBlade</v>
      </c>
      <c r="F42" s="2" t="str">
        <f t="shared" si="5"/>
        <v>https://muckrack.com/mark-monroe</v>
      </c>
      <c r="G42" s="2">
        <v>5022</v>
      </c>
      <c r="H42" s="2" t="s">
        <v>277</v>
      </c>
      <c r="I42" s="2" t="s">
        <v>278</v>
      </c>
      <c r="J42" s="2" t="s">
        <v>279</v>
      </c>
      <c r="K42" s="2" t="s">
        <v>29</v>
      </c>
      <c r="L42" s="2" t="s">
        <v>357</v>
      </c>
      <c r="M42" s="4">
        <v>45762.916030092587</v>
      </c>
      <c r="N42" s="2" t="str">
        <f>HYPERLINK("http://twitter.com/MonroeBlade/status/1912324837936165154")</f>
        <v>http://twitter.com/MonroeBlade/status/1912324837936165154</v>
      </c>
      <c r="O42" s="2" t="str">
        <f>HYPERLINK("https://www.toledoblade.com/sports/walleye/2025/04/15/traditional-nhl-schedule-format-should-benefit-walleye-against-fuel-echl-playoff/stories/20250415129")</f>
        <v>https://www.toledoblade.com/sports/walleye/2025/04/15/traditional-nhl-schedule-format-should-benefit-walleye-against-fuel-echl-playoff/stories/20250415129</v>
      </c>
    </row>
    <row r="43" spans="1:15" ht="79.2" x14ac:dyDescent="0.3">
      <c r="A43" s="2" t="s">
        <v>28</v>
      </c>
      <c r="B43" s="2" t="s">
        <v>274</v>
      </c>
      <c r="C43" s="2" t="s">
        <v>275</v>
      </c>
      <c r="D43" s="2" t="s">
        <v>276</v>
      </c>
      <c r="E43" s="2" t="str">
        <f t="shared" si="4"/>
        <v>http://twitter.com/MonroeBlade</v>
      </c>
      <c r="F43" s="2" t="str">
        <f t="shared" si="5"/>
        <v>https://muckrack.com/mark-monroe</v>
      </c>
      <c r="G43" s="2">
        <v>5022</v>
      </c>
      <c r="H43" s="2" t="s">
        <v>277</v>
      </c>
      <c r="I43" s="2" t="s">
        <v>278</v>
      </c>
      <c r="J43" s="2" t="s">
        <v>279</v>
      </c>
      <c r="K43" s="2" t="s">
        <v>29</v>
      </c>
      <c r="L43" s="2" t="s">
        <v>358</v>
      </c>
      <c r="M43" s="4">
        <v>45763.604513888888</v>
      </c>
      <c r="N43" s="2" t="str">
        <f>HYPERLINK("http://twitter.com/MonroeBlade/status/1912574338349281678")</f>
        <v>http://twitter.com/MonroeBlade/status/1912574338349281678</v>
      </c>
      <c r="O43" s="2" t="str">
        <f>HYPERLINK("https://www.toledoblade.com/sports/walleye/2025/04/15/traditional-nhl-schedule-format-should-benefit-walleye-against-fuel-echl-playoff/stories/20250415129")</f>
        <v>https://www.toledoblade.com/sports/walleye/2025/04/15/traditional-nhl-schedule-format-should-benefit-walleye-against-fuel-echl-playoff/stories/20250415129</v>
      </c>
    </row>
    <row r="44" spans="1:15" ht="158.4" x14ac:dyDescent="0.3">
      <c r="A44" s="2" t="s">
        <v>28</v>
      </c>
      <c r="B44" s="2" t="s">
        <v>274</v>
      </c>
      <c r="C44" s="2" t="s">
        <v>275</v>
      </c>
      <c r="D44" s="2" t="s">
        <v>276</v>
      </c>
      <c r="E44" s="2" t="str">
        <f t="shared" si="4"/>
        <v>http://twitter.com/MonroeBlade</v>
      </c>
      <c r="F44" s="2" t="str">
        <f t="shared" si="5"/>
        <v>https://muckrack.com/mark-monroe</v>
      </c>
      <c r="G44" s="2">
        <v>5022</v>
      </c>
      <c r="H44" s="2" t="s">
        <v>277</v>
      </c>
      <c r="I44" s="2" t="s">
        <v>278</v>
      </c>
      <c r="J44" s="2" t="s">
        <v>279</v>
      </c>
      <c r="K44" s="2" t="s">
        <v>29</v>
      </c>
      <c r="L44" s="2" t="s">
        <v>353</v>
      </c>
      <c r="M44" s="4">
        <v>45763.775208333333</v>
      </c>
      <c r="N44" s="2" t="str">
        <f>HYPERLINK("http://twitter.com/MonroeBlade/status/1912636194363510909")</f>
        <v>http://twitter.com/MonroeBlade/status/1912636194363510909</v>
      </c>
      <c r="O44" s="2" t="str">
        <f>HYPERLINK("https://www.toledoblade.com/sports/walleye/2025/04/15/traditional-nhl-schedule-format-should-benefit-walleye-against-fuel-echl-playoff/stories/20250415129")</f>
        <v>https://www.toledoblade.com/sports/walleye/2025/04/15/traditional-nhl-schedule-format-should-benefit-walleye-against-fuel-echl-playoff/stories/20250415129</v>
      </c>
    </row>
    <row r="45" spans="1:15" ht="158.4" x14ac:dyDescent="0.3">
      <c r="A45" s="2" t="s">
        <v>28</v>
      </c>
      <c r="B45" s="2" t="s">
        <v>274</v>
      </c>
      <c r="C45" s="2" t="s">
        <v>275</v>
      </c>
      <c r="D45" s="2" t="s">
        <v>276</v>
      </c>
      <c r="E45" s="2" t="str">
        <f t="shared" si="4"/>
        <v>http://twitter.com/MonroeBlade</v>
      </c>
      <c r="F45" s="2" t="str">
        <f t="shared" si="5"/>
        <v>https://muckrack.com/mark-monroe</v>
      </c>
      <c r="G45" s="2">
        <v>5022</v>
      </c>
      <c r="H45" s="2" t="s">
        <v>277</v>
      </c>
      <c r="I45" s="2" t="s">
        <v>278</v>
      </c>
      <c r="J45" s="2" t="s">
        <v>279</v>
      </c>
      <c r="K45" s="2" t="s">
        <v>29</v>
      </c>
      <c r="L45" s="2" t="s">
        <v>353</v>
      </c>
      <c r="M45" s="4">
        <v>45763.775208333333</v>
      </c>
      <c r="N45" s="2" t="str">
        <f>HYPERLINK("http://twitter.com/MonroeBlade/status/1912636194363510909")</f>
        <v>http://twitter.com/MonroeBlade/status/1912636194363510909</v>
      </c>
      <c r="O45" s="2" t="str">
        <f>HYPERLINK("https://www.toledoblade.com/sports/walleye/2025/04/15/3-keys-walleye-indy-fuel-2025-echl-central-division-semifinals-kely-cup-playoffs/stories/20250415111")</f>
        <v>https://www.toledoblade.com/sports/walleye/2025/04/15/3-keys-walleye-indy-fuel-2025-echl-central-division-semifinals-kely-cup-playoffs/stories/20250415111</v>
      </c>
    </row>
    <row r="46" spans="1:15" ht="79.2" x14ac:dyDescent="0.3">
      <c r="A46" s="2" t="s">
        <v>28</v>
      </c>
      <c r="B46" s="2" t="s">
        <v>274</v>
      </c>
      <c r="C46" s="2" t="s">
        <v>275</v>
      </c>
      <c r="D46" s="2" t="s">
        <v>276</v>
      </c>
      <c r="E46" s="2" t="str">
        <f t="shared" si="4"/>
        <v>http://twitter.com/MonroeBlade</v>
      </c>
      <c r="F46" s="2" t="str">
        <f t="shared" si="5"/>
        <v>https://muckrack.com/mark-monroe</v>
      </c>
      <c r="G46" s="2">
        <v>5022</v>
      </c>
      <c r="H46" s="2" t="s">
        <v>277</v>
      </c>
      <c r="I46" s="2" t="s">
        <v>278</v>
      </c>
      <c r="J46" s="2" t="s">
        <v>279</v>
      </c>
      <c r="K46" s="2" t="s">
        <v>29</v>
      </c>
      <c r="L46" s="2" t="s">
        <v>359</v>
      </c>
      <c r="M46" s="4">
        <v>45762.628807870373</v>
      </c>
      <c r="N46" s="2" t="str">
        <f>HYPERLINK("http://twitter.com/MonroeBlade/status/1912220753761566926")</f>
        <v>http://twitter.com/MonroeBlade/status/1912220753761566926</v>
      </c>
      <c r="O46" s="2" t="str">
        <f>HYPERLINK("https://www.toledoblade.com/sports/walleye/2025/04/15/walleye-set-24-man-roster-for-2025-kelly-cup-playoffs/stories/20250415103")</f>
        <v>https://www.toledoblade.com/sports/walleye/2025/04/15/walleye-set-24-man-roster-for-2025-kelly-cup-playoffs/stories/20250415103</v>
      </c>
    </row>
    <row r="47" spans="1:15" ht="158.4" x14ac:dyDescent="0.3">
      <c r="A47" s="2" t="s">
        <v>28</v>
      </c>
      <c r="B47" s="2" t="s">
        <v>274</v>
      </c>
      <c r="C47" s="2" t="s">
        <v>275</v>
      </c>
      <c r="D47" s="2" t="s">
        <v>276</v>
      </c>
      <c r="E47" s="2" t="str">
        <f t="shared" si="4"/>
        <v>http://twitter.com/MonroeBlade</v>
      </c>
      <c r="F47" s="2" t="str">
        <f t="shared" si="5"/>
        <v>https://muckrack.com/mark-monroe</v>
      </c>
      <c r="G47" s="2">
        <v>5022</v>
      </c>
      <c r="H47" s="2" t="s">
        <v>277</v>
      </c>
      <c r="I47" s="2" t="s">
        <v>278</v>
      </c>
      <c r="J47" s="2" t="s">
        <v>279</v>
      </c>
      <c r="K47" s="2" t="s">
        <v>29</v>
      </c>
      <c r="L47" s="2" t="s">
        <v>353</v>
      </c>
      <c r="M47" s="4">
        <v>45763.775208333333</v>
      </c>
      <c r="N47" s="2" t="str">
        <f>HYPERLINK("http://twitter.com/MonroeBlade/status/1912636194363510909")</f>
        <v>http://twitter.com/MonroeBlade/status/1912636194363510909</v>
      </c>
      <c r="O47" s="2" t="str">
        <f>HYPERLINK("https://www.toledoblade.com/sports/walleye/2025/04/15/walleye-set-24-man-roster-for-2025-kelly-cup-playoffs/stories/20250415103")</f>
        <v>https://www.toledoblade.com/sports/walleye/2025/04/15/walleye-set-24-man-roster-for-2025-kelly-cup-playoffs/stories/20250415103</v>
      </c>
    </row>
    <row r="48" spans="1:15" ht="79.2" x14ac:dyDescent="0.3">
      <c r="A48" s="2" t="s">
        <v>360</v>
      </c>
      <c r="B48" s="2" t="s">
        <v>361</v>
      </c>
      <c r="C48" s="2" t="s">
        <v>362</v>
      </c>
      <c r="D48" s="2" t="s">
        <v>363</v>
      </c>
      <c r="E48" s="2" t="str">
        <f>HYPERLINK("http://twitter.com/onairwitheva")</f>
        <v>http://twitter.com/onairwitheva</v>
      </c>
      <c r="F48" s="2" t="str">
        <f>HYPERLINK("https://muckrack.com/eva-hallman")</f>
        <v>https://muckrack.com/eva-hallman</v>
      </c>
      <c r="G48" s="2">
        <v>837</v>
      </c>
      <c r="H48" s="2"/>
      <c r="I48" s="2" t="s">
        <v>364</v>
      </c>
      <c r="J48" s="2" t="s">
        <v>365</v>
      </c>
      <c r="K48" s="2" t="s">
        <v>44</v>
      </c>
      <c r="L48" s="2" t="s">
        <v>366</v>
      </c>
      <c r="M48" s="4">
        <v>45762.589479166672</v>
      </c>
      <c r="N48" s="2" t="str">
        <f>HYPERLINK("http://twitter.com/onairwitheva/status/1912206502447685965")</f>
        <v>http://twitter.com/onairwitheva/status/1912206502447685965</v>
      </c>
      <c r="O48" s="2" t="str">
        <f>HYPERLINK("https://indyfuelhockey.com/news/2025/04/bryan-lemos-named-inglascoechl-player-of-the-week")</f>
        <v>https://indyfuelhockey.com/news/2025/04/bryan-lemos-named-inglascoechl-player-of-the-week</v>
      </c>
    </row>
    <row r="49" spans="1:15" ht="52.8" x14ac:dyDescent="0.3">
      <c r="A49" s="2" t="s">
        <v>367</v>
      </c>
      <c r="B49" s="2" t="s">
        <v>368</v>
      </c>
      <c r="C49" s="2" t="s">
        <v>369</v>
      </c>
      <c r="D49" s="2" t="s">
        <v>370</v>
      </c>
      <c r="E49" s="2" t="str">
        <f>HYPERLINK("http://twitter.com/justin_powell24")</f>
        <v>http://twitter.com/justin_powell24</v>
      </c>
      <c r="F49" s="2" t="str">
        <f>HYPERLINK("https://muckrack.com/justin-powell-7")</f>
        <v>https://muckrack.com/justin-powell-7</v>
      </c>
      <c r="G49" s="2">
        <v>536</v>
      </c>
      <c r="H49" s="2"/>
      <c r="I49" s="2" t="s">
        <v>371</v>
      </c>
      <c r="J49" s="2" t="s">
        <v>372</v>
      </c>
      <c r="K49" s="2" t="s">
        <v>242</v>
      </c>
      <c r="L49" s="2" t="s">
        <v>373</v>
      </c>
      <c r="M49" s="4">
        <v>45762.728495370371</v>
      </c>
      <c r="N49" s="2" t="str">
        <f>HYPERLINK("http://twitter.com/justin_powell24/status/1912256879700455643")</f>
        <v>http://twitter.com/justin_powell24/status/1912256879700455643</v>
      </c>
      <c r="O49" s="2" t="str">
        <f>HYPERLINK("https://indyfuelhockey.com/news/2025/04/bryan-lemos-named-inglascoechl-player-of-the-week")</f>
        <v>https://indyfuelhockey.com/news/2025/04/bryan-lemos-named-inglascoechl-player-of-the-week</v>
      </c>
    </row>
    <row r="50" spans="1:15" ht="92.4" x14ac:dyDescent="0.3">
      <c r="A50" s="2" t="s">
        <v>28</v>
      </c>
      <c r="B50" s="2" t="s">
        <v>274</v>
      </c>
      <c r="C50" s="2" t="s">
        <v>275</v>
      </c>
      <c r="D50" s="2" t="s">
        <v>276</v>
      </c>
      <c r="E50" s="2" t="str">
        <f>HYPERLINK("http://twitter.com/MonroeBlade")</f>
        <v>http://twitter.com/MonroeBlade</v>
      </c>
      <c r="F50" s="2" t="str">
        <f>HYPERLINK("https://muckrack.com/mark-monroe")</f>
        <v>https://muckrack.com/mark-monroe</v>
      </c>
      <c r="G50" s="2">
        <v>5022</v>
      </c>
      <c r="H50" s="2" t="s">
        <v>277</v>
      </c>
      <c r="I50" s="2" t="s">
        <v>278</v>
      </c>
      <c r="J50" s="2" t="s">
        <v>279</v>
      </c>
      <c r="K50" s="2" t="s">
        <v>29</v>
      </c>
      <c r="L50" s="2" t="s">
        <v>374</v>
      </c>
      <c r="M50" s="4">
        <v>45762.433379629627</v>
      </c>
      <c r="N50" s="2" t="str">
        <f>HYPERLINK("http://twitter.com/MonroeBlade/status/1912149931390869761")</f>
        <v>http://twitter.com/MonroeBlade/status/1912149931390869761</v>
      </c>
      <c r="O50" s="2" t="str">
        <f>HYPERLINK("https://www.toledoblade.com/sports/walleye/2025/04/14/indy-fuel-5-things-to-know-about-the-walleye-s-2025-division-semifinal-opponent/stories/20250414081")</f>
        <v>https://www.toledoblade.com/sports/walleye/2025/04/14/indy-fuel-5-things-to-know-about-the-walleye-s-2025-division-semifinal-opponent/stories/20250414081</v>
      </c>
    </row>
    <row r="51" spans="1:15" ht="158.4" x14ac:dyDescent="0.3">
      <c r="A51" s="2" t="s">
        <v>28</v>
      </c>
      <c r="B51" s="2" t="s">
        <v>274</v>
      </c>
      <c r="C51" s="2" t="s">
        <v>275</v>
      </c>
      <c r="D51" s="2" t="s">
        <v>276</v>
      </c>
      <c r="E51" s="2" t="str">
        <f>HYPERLINK("http://twitter.com/MonroeBlade")</f>
        <v>http://twitter.com/MonroeBlade</v>
      </c>
      <c r="F51" s="2" t="str">
        <f>HYPERLINK("https://muckrack.com/mark-monroe")</f>
        <v>https://muckrack.com/mark-monroe</v>
      </c>
      <c r="G51" s="2">
        <v>5022</v>
      </c>
      <c r="H51" s="2" t="s">
        <v>277</v>
      </c>
      <c r="I51" s="2" t="s">
        <v>278</v>
      </c>
      <c r="J51" s="2" t="s">
        <v>279</v>
      </c>
      <c r="K51" s="2" t="s">
        <v>29</v>
      </c>
      <c r="L51" s="2" t="s">
        <v>353</v>
      </c>
      <c r="M51" s="4">
        <v>45763.775208333333</v>
      </c>
      <c r="N51" s="2" t="str">
        <f>HYPERLINK("http://twitter.com/MonroeBlade/status/1912636194363510909")</f>
        <v>http://twitter.com/MonroeBlade/status/1912636194363510909</v>
      </c>
      <c r="O51" s="2" t="str">
        <f>HYPERLINK("https://www.toledoblade.com/sports/walleye/2025/04/14/indy-fuel-5-things-to-know-about-the-walleye-s-2025-division-semifinal-opponent/stories/20250414081")</f>
        <v>https://www.toledoblade.com/sports/walleye/2025/04/14/indy-fuel-5-things-to-know-about-the-walleye-s-2025-division-semifinal-opponent/stories/20250414081</v>
      </c>
    </row>
    <row r="52" spans="1:15" ht="52.8" x14ac:dyDescent="0.3">
      <c r="A52" s="2" t="s">
        <v>360</v>
      </c>
      <c r="B52" s="2" t="s">
        <v>361</v>
      </c>
      <c r="C52" s="2" t="s">
        <v>362</v>
      </c>
      <c r="D52" s="2" t="s">
        <v>363</v>
      </c>
      <c r="E52" s="2" t="str">
        <f>HYPERLINK("http://twitter.com/onairwitheva")</f>
        <v>http://twitter.com/onairwitheva</v>
      </c>
      <c r="F52" s="2" t="str">
        <f>HYPERLINK("https://muckrack.com/eva-hallman")</f>
        <v>https://muckrack.com/eva-hallman</v>
      </c>
      <c r="G52" s="2">
        <v>837</v>
      </c>
      <c r="H52" s="2"/>
      <c r="I52" s="2" t="s">
        <v>364</v>
      </c>
      <c r="J52" s="2" t="s">
        <v>365</v>
      </c>
      <c r="K52" s="2" t="s">
        <v>44</v>
      </c>
      <c r="L52" s="2" t="s">
        <v>375</v>
      </c>
      <c r="M52" s="4">
        <v>45762.592581018522</v>
      </c>
      <c r="N52" s="2" t="str">
        <f>HYPERLINK("http://twitter.com/onairwitheva/status/1912207623543193978")</f>
        <v>http://twitter.com/onairwitheva/status/1912207623543193978</v>
      </c>
      <c r="O52" s="2" t="str">
        <f>HYPERLINK("https://indyfuelhockey.com/news/2025/04/indy-fuel-announce-2025-kelly-cup-playoff-roster")</f>
        <v>https://indyfuelhockey.com/news/2025/04/indy-fuel-announce-2025-kelly-cup-playoff-roster</v>
      </c>
    </row>
    <row r="53" spans="1:15" ht="92.4" x14ac:dyDescent="0.3">
      <c r="A53" s="2" t="s">
        <v>28</v>
      </c>
      <c r="B53" s="2" t="s">
        <v>274</v>
      </c>
      <c r="C53" s="2" t="s">
        <v>275</v>
      </c>
      <c r="D53" s="2" t="s">
        <v>276</v>
      </c>
      <c r="E53" s="2" t="str">
        <f>HYPERLINK("http://twitter.com/MonroeBlade")</f>
        <v>http://twitter.com/MonroeBlade</v>
      </c>
      <c r="F53" s="2" t="str">
        <f>HYPERLINK("https://muckrack.com/mark-monroe")</f>
        <v>https://muckrack.com/mark-monroe</v>
      </c>
      <c r="G53" s="2">
        <v>5022</v>
      </c>
      <c r="H53" s="2" t="s">
        <v>277</v>
      </c>
      <c r="I53" s="2" t="s">
        <v>278</v>
      </c>
      <c r="J53" s="2" t="s">
        <v>279</v>
      </c>
      <c r="K53" s="2" t="s">
        <v>29</v>
      </c>
      <c r="L53" s="2" t="s">
        <v>376</v>
      </c>
      <c r="M53" s="4">
        <v>45761.627326388887</v>
      </c>
      <c r="N53" s="2" t="str">
        <f>HYPERLINK("http://twitter.com/MonroeBlade/status/1911857826915557423")</f>
        <v>http://twitter.com/MonroeBlade/status/1911857826915557423</v>
      </c>
      <c r="O53" s="2" t="str">
        <f>HYPERLINK("https://www.toledoblade.com/sports/walleye/2025/04/13/walleye-recognize-goaldiggers-turner-cup-champs-get-ot-win/stories/20250413165")</f>
        <v>https://www.toledoblade.com/sports/walleye/2025/04/13/walleye-recognize-goaldiggers-turner-cup-champs-get-ot-win/stories/20250413165</v>
      </c>
    </row>
    <row r="54" spans="1:15" ht="79.2" x14ac:dyDescent="0.3">
      <c r="A54" s="2" t="s">
        <v>28</v>
      </c>
      <c r="B54" s="2" t="s">
        <v>274</v>
      </c>
      <c r="C54" s="2" t="s">
        <v>275</v>
      </c>
      <c r="D54" s="2" t="s">
        <v>276</v>
      </c>
      <c r="E54" s="2" t="str">
        <f>HYPERLINK("http://twitter.com/MonroeBlade")</f>
        <v>http://twitter.com/MonroeBlade</v>
      </c>
      <c r="F54" s="2" t="str">
        <f>HYPERLINK("https://muckrack.com/mark-monroe")</f>
        <v>https://muckrack.com/mark-monroe</v>
      </c>
      <c r="G54" s="2">
        <v>5022</v>
      </c>
      <c r="H54" s="2" t="s">
        <v>277</v>
      </c>
      <c r="I54" s="2" t="s">
        <v>278</v>
      </c>
      <c r="J54" s="2" t="s">
        <v>279</v>
      </c>
      <c r="K54" s="2" t="s">
        <v>29</v>
      </c>
      <c r="L54" s="2" t="s">
        <v>377</v>
      </c>
      <c r="M54" s="4">
        <v>45758.977314814823</v>
      </c>
      <c r="N54" s="2" t="str">
        <f>HYPERLINK("http://twitter.com/MonroeBlade/status/1910897496139636786")</f>
        <v>http://twitter.com/MonroeBlade/status/1910897496139636786</v>
      </c>
      <c r="O54" s="2" t="str">
        <f>HYPERLINK("https://www.toledoblade.com/sports/walleye/2025/04/11/after-home-loss-fort-wayne-walleye-turn-attention-echl-playoffs/stories/20250411163")</f>
        <v>https://www.toledoblade.com/sports/walleye/2025/04/11/after-home-loss-fort-wayne-walleye-turn-attention-echl-playoffs/stories/20250411163</v>
      </c>
    </row>
    <row r="55" spans="1:15" ht="92.4" x14ac:dyDescent="0.3">
      <c r="A55" s="2" t="s">
        <v>28</v>
      </c>
      <c r="B55" s="2" t="s">
        <v>274</v>
      </c>
      <c r="C55" s="2" t="s">
        <v>275</v>
      </c>
      <c r="D55" s="2" t="s">
        <v>276</v>
      </c>
      <c r="E55" s="2" t="str">
        <f>HYPERLINK("http://twitter.com/MonroeBlade")</f>
        <v>http://twitter.com/MonroeBlade</v>
      </c>
      <c r="F55" s="2" t="str">
        <f>HYPERLINK("https://muckrack.com/mark-monroe")</f>
        <v>https://muckrack.com/mark-monroe</v>
      </c>
      <c r="G55" s="2">
        <v>5022</v>
      </c>
      <c r="H55" s="2" t="s">
        <v>277</v>
      </c>
      <c r="I55" s="2" t="s">
        <v>278</v>
      </c>
      <c r="J55" s="2" t="s">
        <v>279</v>
      </c>
      <c r="K55" s="2" t="s">
        <v>29</v>
      </c>
      <c r="L55" s="2" t="s">
        <v>378</v>
      </c>
      <c r="M55" s="4">
        <v>45759.636076388888</v>
      </c>
      <c r="N55" s="2" t="str">
        <f>HYPERLINK("http://twitter.com/MonroeBlade/status/1911136221545242764")</f>
        <v>http://twitter.com/MonroeBlade/status/1911136221545242764</v>
      </c>
      <c r="O55" s="2" t="str">
        <f>HYPERLINK("https://www.toledoblade.com/sports/walleye/2025/04/11/after-home-loss-fort-wayne-walleye-turn-attention-echl-playoffs/stories/20250411163")</f>
        <v>https://www.toledoblade.com/sports/walleye/2025/04/11/after-home-loss-fort-wayne-walleye-turn-attention-echl-playoffs/stories/20250411163</v>
      </c>
    </row>
    <row r="56" spans="1:15" ht="52.8" x14ac:dyDescent="0.3">
      <c r="A56" s="2" t="s">
        <v>28</v>
      </c>
      <c r="B56" s="2" t="s">
        <v>274</v>
      </c>
      <c r="C56" s="2" t="s">
        <v>275</v>
      </c>
      <c r="D56" s="2" t="s">
        <v>276</v>
      </c>
      <c r="E56" s="2" t="str">
        <f>HYPERLINK("http://twitter.com/MonroeBlade")</f>
        <v>http://twitter.com/MonroeBlade</v>
      </c>
      <c r="F56" s="2" t="str">
        <f>HYPERLINK("https://muckrack.com/mark-monroe")</f>
        <v>https://muckrack.com/mark-monroe</v>
      </c>
      <c r="G56" s="2">
        <v>5022</v>
      </c>
      <c r="H56" s="2" t="s">
        <v>277</v>
      </c>
      <c r="I56" s="2" t="s">
        <v>278</v>
      </c>
      <c r="J56" s="2" t="s">
        <v>279</v>
      </c>
      <c r="K56" s="2" t="s">
        <v>29</v>
      </c>
      <c r="L56" s="2" t="s">
        <v>379</v>
      </c>
      <c r="M56" s="4">
        <v>45758.940150462957</v>
      </c>
      <c r="N56" s="2" t="str">
        <f>HYPERLINK("http://twitter.com/MonroeBlade/status/1910884030297338328")</f>
        <v>http://twitter.com/MonroeBlade/status/1910884030297338328</v>
      </c>
      <c r="O56" s="2" t="str">
        <f>HYPERLINK("https://www.toledoblade.com/sports/walleye/2025/04/11/walleye-play-indy-fuel-first-round-kelly-cup-playoffs/stories/20250411152")</f>
        <v>https://www.toledoblade.com/sports/walleye/2025/04/11/walleye-play-indy-fuel-first-round-kelly-cup-playoffs/stories/20250411152</v>
      </c>
    </row>
    <row r="57" spans="1:15" ht="79.2" x14ac:dyDescent="0.3">
      <c r="A57" s="2" t="s">
        <v>23</v>
      </c>
      <c r="B57" s="2" t="s">
        <v>338</v>
      </c>
      <c r="C57" s="2" t="s">
        <v>339</v>
      </c>
      <c r="D57" s="2" t="s">
        <v>340</v>
      </c>
      <c r="E57" s="2" t="str">
        <f>HYPERLINK("http://twitter.com/chrismpeters")</f>
        <v>http://twitter.com/chrismpeters</v>
      </c>
      <c r="F57" s="2" t="str">
        <f>HYPERLINK("https://muckrack.com/chris-peters")</f>
        <v>https://muckrack.com/chris-peters</v>
      </c>
      <c r="G57" s="2">
        <v>31676</v>
      </c>
      <c r="H57" s="2" t="s">
        <v>341</v>
      </c>
      <c r="I57" s="2" t="s">
        <v>342</v>
      </c>
      <c r="J57" s="2" t="s">
        <v>325</v>
      </c>
      <c r="K57" s="2" t="s">
        <v>343</v>
      </c>
      <c r="L57" s="2" t="s">
        <v>380</v>
      </c>
      <c r="M57" s="4">
        <v>45758.701736111107</v>
      </c>
      <c r="N57" s="2" t="str">
        <f>HYPERLINK("http://twitter.com/chrismpeters/status/1910797631476924874")</f>
        <v>http://twitter.com/chrismpeters/status/1910797631476924874</v>
      </c>
      <c r="O57" s="2" t="str">
        <f>HYPERLINK("https://www.flohockey.tv/articles/14070753-echl-playoff-picture-heading-into-final-weekend-of-regular-season")</f>
        <v>https://www.flohockey.tv/articles/14070753-echl-playoff-picture-heading-into-final-weekend-of-regular-season</v>
      </c>
    </row>
    <row r="58" spans="1:15" ht="158.4" x14ac:dyDescent="0.3">
      <c r="A58" s="2" t="s">
        <v>381</v>
      </c>
      <c r="B58" s="2" t="s">
        <v>382</v>
      </c>
      <c r="C58" s="2" t="s">
        <v>383</v>
      </c>
      <c r="D58" s="2" t="s">
        <v>384</v>
      </c>
      <c r="E58" s="2" t="str">
        <f>HYPERLINK("http://twitter.com/SamJohnsonNews")</f>
        <v>http://twitter.com/SamJohnsonNews</v>
      </c>
      <c r="F58" s="2" t="str">
        <f>HYPERLINK("https://muckrack.com/samantha-johnson-19")</f>
        <v>https://muckrack.com/samantha-johnson-19</v>
      </c>
      <c r="G58" s="2">
        <v>3795</v>
      </c>
      <c r="H58" s="2" t="s">
        <v>331</v>
      </c>
      <c r="I58" s="2" t="s">
        <v>385</v>
      </c>
      <c r="J58" s="2" t="s">
        <v>386</v>
      </c>
      <c r="K58" s="2" t="s">
        <v>165</v>
      </c>
      <c r="L58" s="2" t="s">
        <v>387</v>
      </c>
      <c r="M58" s="4">
        <v>45757.458645833343</v>
      </c>
      <c r="N58" s="2" t="str">
        <f>HYPERLINK("http://twitter.com/SamJohnsonNews/status/1910347148052590635")</f>
        <v>http://twitter.com/SamJohnsonNews/status/1910347148052590635</v>
      </c>
      <c r="O58" s="2" t="str">
        <f>HYPERLINK("https://www.wthr.com/article/news/health/indianapolis-public-schools-indy-fuel-hosts-hockey-talks-mental-health-awareness-initiative/531-269cf96f-5ff5-4eea-b1bd-c8dcec9aa8ee")</f>
        <v>https://www.wthr.com/article/news/health/indianapolis-public-schools-indy-fuel-hosts-hockey-talks-mental-health-awareness-initiative/531-269cf96f-5ff5-4eea-b1bd-c8dcec9aa8ee</v>
      </c>
    </row>
    <row r="59" spans="1:15" ht="79.2" x14ac:dyDescent="0.3">
      <c r="A59" s="2" t="s">
        <v>39</v>
      </c>
      <c r="B59" s="2" t="s">
        <v>388</v>
      </c>
      <c r="C59" s="2" t="s">
        <v>389</v>
      </c>
      <c r="D59" s="2" t="s">
        <v>390</v>
      </c>
      <c r="E59" s="2" t="str">
        <f>HYPERLINK("http://twitter.com/jkrausepro")</f>
        <v>http://twitter.com/jkrausepro</v>
      </c>
      <c r="F59" s="2" t="str">
        <f>HYPERLINK("https://muckrack.com/james-krause")</f>
        <v>https://muckrack.com/james-krause</v>
      </c>
      <c r="G59" s="2">
        <v>718</v>
      </c>
      <c r="H59" s="2" t="s">
        <v>391</v>
      </c>
      <c r="I59" s="2" t="s">
        <v>392</v>
      </c>
      <c r="J59" s="2" t="s">
        <v>325</v>
      </c>
      <c r="K59" s="2" t="s">
        <v>393</v>
      </c>
      <c r="L59" s="2" t="s">
        <v>394</v>
      </c>
      <c r="M59" s="4">
        <v>45751.750127314823</v>
      </c>
      <c r="N59" s="2" t="str">
        <f>HYPERLINK("http://twitter.com/jkrausepro/status/1908278449187201276")</f>
        <v>http://twitter.com/jkrausepro/status/1908278449187201276</v>
      </c>
      <c r="O59" s="2" t="str">
        <f>HYPERLINK("https://www.journalgazette.net/sports/professional/komets/ice-chips/pregame-blog-indy-fuel-29-29-8-vs-komets-38-21-7/article_a15fb1e8-2dad-487e-b010-bb617d99f2dd.html")</f>
        <v>https://www.journalgazette.net/sports/professional/komets/ice-chips/pregame-blog-indy-fuel-29-29-8-vs-komets-38-21-7/article_a15fb1e8-2dad-487e-b010-bb617d99f2dd.html</v>
      </c>
    </row>
    <row r="60" spans="1:15" ht="79.2" x14ac:dyDescent="0.3">
      <c r="A60" s="2" t="s">
        <v>395</v>
      </c>
      <c r="B60" s="2" t="s">
        <v>396</v>
      </c>
      <c r="C60" s="2" t="s">
        <v>397</v>
      </c>
      <c r="D60" s="2" t="s">
        <v>398</v>
      </c>
      <c r="E60" s="2" t="str">
        <f>HYPERLINK("http://twitter.com/jawsfort")</f>
        <v>http://twitter.com/jawsfort</v>
      </c>
      <c r="F60" s="2" t="str">
        <f>HYPERLINK("https://muckrack.com/jawsfort")</f>
        <v>https://muckrack.com/jawsfort</v>
      </c>
      <c r="G60" s="2">
        <v>774</v>
      </c>
      <c r="H60" s="2" t="s">
        <v>391</v>
      </c>
      <c r="I60" s="2" t="s">
        <v>399</v>
      </c>
      <c r="J60" s="2" t="s">
        <v>400</v>
      </c>
      <c r="K60" s="2" t="s">
        <v>40</v>
      </c>
      <c r="L60" s="2" t="s">
        <v>401</v>
      </c>
      <c r="M60" s="4">
        <v>45751.762511574067</v>
      </c>
      <c r="N60" s="2" t="str">
        <f>HYPERLINK("http://twitter.com/jawsfort/status/1908282936945680629")</f>
        <v>http://twitter.com/jawsfort/status/1908282936945680629</v>
      </c>
      <c r="O60" s="2" t="str">
        <f>HYPERLINK("https://www.journalgazette.net/sports/professional/komets/ice-chips/pregame-blog-indy-fuel-29-29-8-vs-komets-38-21-7/article_a15fb1e8-2dad-487e-b010-bb617d99f2dd.html")</f>
        <v>https://www.journalgazette.net/sports/professional/komets/ice-chips/pregame-blog-indy-fuel-29-29-8-vs-komets-38-21-7/article_a15fb1e8-2dad-487e-b010-bb617d99f2dd.html</v>
      </c>
    </row>
    <row r="61" spans="1:15" ht="66" x14ac:dyDescent="0.3">
      <c r="A61" s="2" t="s">
        <v>395</v>
      </c>
      <c r="B61" s="2" t="s">
        <v>396</v>
      </c>
      <c r="C61" s="2" t="s">
        <v>397</v>
      </c>
      <c r="D61" s="2" t="s">
        <v>398</v>
      </c>
      <c r="E61" s="2" t="str">
        <f>HYPERLINK("http://twitter.com/jawsfort")</f>
        <v>http://twitter.com/jawsfort</v>
      </c>
      <c r="F61" s="2" t="str">
        <f>HYPERLINK("https://muckrack.com/jawsfort")</f>
        <v>https://muckrack.com/jawsfort</v>
      </c>
      <c r="G61" s="2">
        <v>774</v>
      </c>
      <c r="H61" s="2" t="s">
        <v>391</v>
      </c>
      <c r="I61" s="2" t="s">
        <v>399</v>
      </c>
      <c r="J61" s="2" t="s">
        <v>400</v>
      </c>
      <c r="K61" s="2" t="s">
        <v>40</v>
      </c>
      <c r="L61" s="2" t="s">
        <v>402</v>
      </c>
      <c r="M61" s="4">
        <v>45750.964965277781</v>
      </c>
      <c r="N61" s="2" t="str">
        <f>HYPERLINK("http://twitter.com/jawsfort/status/1907993916617408676")</f>
        <v>http://twitter.com/jawsfort/status/1907993916617408676</v>
      </c>
      <c r="O61" s="2" t="str">
        <f>HYPERLINK("https://www.journalgazette.net/sports/professional/komets/komets-look-for-return-to-form-against-hungry-indy-cincinnati-teams/article_fd42206d-8d87-438d-8a1b-17f47ca7f494.html")</f>
        <v>https://www.journalgazette.net/sports/professional/komets/komets-look-for-return-to-form-against-hungry-indy-cincinnati-teams/article_fd42206d-8d87-438d-8a1b-17f47ca7f494.html</v>
      </c>
    </row>
    <row r="62" spans="1:15" ht="66" x14ac:dyDescent="0.3">
      <c r="A62" s="2" t="s">
        <v>39</v>
      </c>
      <c r="B62" s="2" t="s">
        <v>388</v>
      </c>
      <c r="C62" s="2" t="s">
        <v>389</v>
      </c>
      <c r="D62" s="2" t="s">
        <v>390</v>
      </c>
      <c r="E62" s="2" t="str">
        <f>HYPERLINK("http://twitter.com/jkrausepro")</f>
        <v>http://twitter.com/jkrausepro</v>
      </c>
      <c r="F62" s="2" t="str">
        <f>HYPERLINK("https://muckrack.com/james-krause")</f>
        <v>https://muckrack.com/james-krause</v>
      </c>
      <c r="G62" s="2">
        <v>718</v>
      </c>
      <c r="H62" s="2" t="s">
        <v>391</v>
      </c>
      <c r="I62" s="2" t="s">
        <v>392</v>
      </c>
      <c r="J62" s="2" t="s">
        <v>325</v>
      </c>
      <c r="K62" s="2" t="s">
        <v>393</v>
      </c>
      <c r="L62" s="2" t="s">
        <v>403</v>
      </c>
      <c r="M62" s="4">
        <v>45751.415648148148</v>
      </c>
      <c r="N62" s="2" t="str">
        <f>HYPERLINK("http://twitter.com/jkrausepro/status/1908157238914465949")</f>
        <v>http://twitter.com/jkrausepro/status/1908157238914465949</v>
      </c>
      <c r="O62" s="2" t="str">
        <f>HYPERLINK("https://www.journalgazette.net/sports/professional/komets/komets-look-for-return-to-form-against-hungry-indy-cincinnati-teams/article_fd42206d-8d87-438d-8a1b-17f47ca7f494.html")</f>
        <v>https://www.journalgazette.net/sports/professional/komets/komets-look-for-return-to-form-against-hungry-indy-cincinnati-teams/article_fd42206d-8d87-438d-8a1b-17f47ca7f494.html</v>
      </c>
    </row>
    <row r="63" spans="1:15" ht="39.6" x14ac:dyDescent="0.3">
      <c r="A63" s="2" t="s">
        <v>404</v>
      </c>
      <c r="B63" s="2" t="s">
        <v>405</v>
      </c>
      <c r="C63" s="2" t="s">
        <v>406</v>
      </c>
      <c r="D63" s="2" t="s">
        <v>407</v>
      </c>
      <c r="E63" s="2" t="str">
        <f>HYPERLINK("http://twitter.com/ByPeteTobey")</f>
        <v>http://twitter.com/ByPeteTobey</v>
      </c>
      <c r="F63" s="2" t="str">
        <f>HYPERLINK("https://muckrack.com/pete-tobey")</f>
        <v>https://muckrack.com/pete-tobey</v>
      </c>
      <c r="G63" s="2">
        <v>4341</v>
      </c>
      <c r="H63" s="2" t="s">
        <v>408</v>
      </c>
      <c r="I63" s="2" t="s">
        <v>409</v>
      </c>
      <c r="J63" s="2" t="s">
        <v>279</v>
      </c>
      <c r="K63" s="2" t="s">
        <v>224</v>
      </c>
      <c r="L63" s="2" t="s">
        <v>410</v>
      </c>
      <c r="M63" s="4">
        <v>45747.328668981478</v>
      </c>
      <c r="N63" s="2" t="str">
        <f>HYPERLINK("http://twitter.com/ByPeteTobey/status/1906676167509213473")</f>
        <v>http://twitter.com/ByPeteTobey/status/1906676167509213473</v>
      </c>
      <c r="O63" s="2" t="str">
        <f>HYPERLINK("https://poststar.com/news/local/article_27b13fc3-1f93-4db0-a206-69f97c535c8e.html")</f>
        <v>https://poststar.com/news/local/article_27b13fc3-1f93-4db0-a206-69f97c535c8e.html</v>
      </c>
    </row>
    <row r="64" spans="1:15" ht="52.8" x14ac:dyDescent="0.3">
      <c r="A64" s="2" t="s">
        <v>225</v>
      </c>
      <c r="B64" s="2" t="s">
        <v>286</v>
      </c>
      <c r="C64" s="2" t="s">
        <v>411</v>
      </c>
      <c r="D64" s="2" t="s">
        <v>412</v>
      </c>
      <c r="E64" s="2" t="str">
        <f>HYPERLINK("http://twitter.com/ScottLeberWTVO")</f>
        <v>http://twitter.com/ScottLeberWTVO</v>
      </c>
      <c r="F64" s="2" t="str">
        <f>HYPERLINK("https://muckrack.com/scott-leber")</f>
        <v>https://muckrack.com/scott-leber</v>
      </c>
      <c r="G64" s="2">
        <v>4952</v>
      </c>
      <c r="H64" s="2"/>
      <c r="I64" s="2" t="s">
        <v>413</v>
      </c>
      <c r="J64" s="2" t="s">
        <v>325</v>
      </c>
      <c r="K64" s="2" t="s">
        <v>226</v>
      </c>
      <c r="L64" s="2" t="s">
        <v>414</v>
      </c>
      <c r="M64" s="4">
        <v>45746.048541666663</v>
      </c>
      <c r="N64" s="2" t="str">
        <f>HYPERLINK("http://twitter.com/ScottLeberWTVO/status/1906212267089174661")</f>
        <v>http://twitter.com/ScottLeberWTVO/status/1906212267089174661</v>
      </c>
      <c r="O64" s="2" t="str">
        <f>HYPERLINK("https://www.mystateline.com/sports/icehogs/icehogs-get-back-at-the-manitoba-moose-with-a-5-2-win-saturday-night/")</f>
        <v>https://www.mystateline.com/sports/icehogs/icehogs-get-back-at-the-manitoba-moose-with-a-5-2-win-saturday-night/</v>
      </c>
    </row>
    <row r="65" spans="1:15" ht="66" x14ac:dyDescent="0.3">
      <c r="A65" s="2" t="s">
        <v>415</v>
      </c>
      <c r="B65" s="2" t="s">
        <v>416</v>
      </c>
      <c r="C65" s="2" t="s">
        <v>417</v>
      </c>
      <c r="D65" s="2" t="s">
        <v>418</v>
      </c>
      <c r="E65" s="2" t="str">
        <f>HYPERLINK("http://twitter.com/chrystalstone_")</f>
        <v>http://twitter.com/chrystalstone_</v>
      </c>
      <c r="F65" s="2" t="str">
        <f>HYPERLINK("https://muckrack.com/chrystal-stone-wnyt")</f>
        <v>https://muckrack.com/chrystal-stone-wnyt</v>
      </c>
      <c r="G65" s="2">
        <v>2062</v>
      </c>
      <c r="H65" s="2" t="s">
        <v>419</v>
      </c>
      <c r="I65" s="2" t="s">
        <v>420</v>
      </c>
      <c r="J65" s="2" t="s">
        <v>372</v>
      </c>
      <c r="K65" s="2" t="s">
        <v>227</v>
      </c>
      <c r="L65" s="2" t="s">
        <v>421</v>
      </c>
      <c r="M65" s="4">
        <v>45746.008229166669</v>
      </c>
      <c r="N65" s="2" t="str">
        <f>HYPERLINK("http://twitter.com/chrystalstone_/status/1906197657913057756")</f>
        <v>http://twitter.com/chrystalstone_/status/1906197657913057756</v>
      </c>
      <c r="O65" s="2" t="str">
        <f>HYPERLINK("https://wnyt.com/big-board-sports/adirondack-thunder-get-second-straight-shutout-against-the-indy-fuel/")</f>
        <v>https://wnyt.com/big-board-sports/adirondack-thunder-get-second-straight-shutout-against-the-indy-fuel/</v>
      </c>
    </row>
    <row r="66" spans="1:15" ht="39.6" x14ac:dyDescent="0.3">
      <c r="A66" s="2" t="s">
        <v>28</v>
      </c>
      <c r="B66" s="2" t="s">
        <v>274</v>
      </c>
      <c r="C66" s="2" t="s">
        <v>275</v>
      </c>
      <c r="D66" s="2" t="s">
        <v>276</v>
      </c>
      <c r="E66" s="2" t="str">
        <f>HYPERLINK("http://twitter.com/MonroeBlade")</f>
        <v>http://twitter.com/MonroeBlade</v>
      </c>
      <c r="F66" s="2" t="str">
        <f>HYPERLINK("https://muckrack.com/mark-monroe")</f>
        <v>https://muckrack.com/mark-monroe</v>
      </c>
      <c r="G66" s="2">
        <v>5022</v>
      </c>
      <c r="H66" s="2" t="s">
        <v>277</v>
      </c>
      <c r="I66" s="2" t="s">
        <v>278</v>
      </c>
      <c r="J66" s="2" t="s">
        <v>279</v>
      </c>
      <c r="K66" s="2" t="s">
        <v>29</v>
      </c>
      <c r="L66" s="2" t="s">
        <v>422</v>
      </c>
      <c r="M66" s="4">
        <v>45745.945520833331</v>
      </c>
      <c r="N66" s="2" t="str">
        <f>HYPERLINK("http://twitter.com/MonroeBlade/status/1906174930133094490")</f>
        <v>http://twitter.com/MonroeBlade/status/1906174930133094490</v>
      </c>
      <c r="O66" s="2" t="str">
        <f>HYPERLINK("https://www.toledowalleye.com/news/2025/03/hawkins-scores-twice-in-loss-to-florida")</f>
        <v>https://www.toledowalleye.com/news/2025/03/hawkins-scores-twice-in-loss-to-florida</v>
      </c>
    </row>
    <row r="67" spans="1:15" ht="105.6" x14ac:dyDescent="0.3">
      <c r="A67" s="2" t="s">
        <v>228</v>
      </c>
      <c r="B67" s="2" t="s">
        <v>423</v>
      </c>
      <c r="C67" s="2" t="s">
        <v>424</v>
      </c>
      <c r="D67" s="2" t="s">
        <v>425</v>
      </c>
      <c r="E67" s="2" t="str">
        <f>HYPERLINK("http://twitter.com/DylanSinn")</f>
        <v>http://twitter.com/DylanSinn</v>
      </c>
      <c r="F67" s="2" t="str">
        <f>HYPERLINK("https://muckrack.com/dylan-sinn")</f>
        <v>https://muckrack.com/dylan-sinn</v>
      </c>
      <c r="G67" s="2">
        <v>2119</v>
      </c>
      <c r="H67" s="2"/>
      <c r="I67" s="2" t="s">
        <v>426</v>
      </c>
      <c r="J67" s="2" t="s">
        <v>325</v>
      </c>
      <c r="K67" s="2" t="s">
        <v>40</v>
      </c>
      <c r="L67" s="2" t="s">
        <v>427</v>
      </c>
      <c r="M67" s="4">
        <v>45745.809363425928</v>
      </c>
      <c r="N67" s="2" t="str">
        <f>HYPERLINK("http://twitter.com/DylanSinn/status/1906125591461400822")</f>
        <v>http://twitter.com/DylanSinn/status/1906125591461400822</v>
      </c>
      <c r="O67" s="2" t="str">
        <f>HYPERLINK("https://www.journalgazette.net/sports/professional/komets/pregame-komets-37-20-6-1-vs-bloomington-bison-29-29-4-2/article_0d6cf4a2-3e05-4791-adf7-3a73ceeee1d8.html")</f>
        <v>https://www.journalgazette.net/sports/professional/komets/pregame-komets-37-20-6-1-vs-bloomington-bison-29-29-4-2/article_0d6cf4a2-3e05-4791-adf7-3a73ceeee1d8.html</v>
      </c>
    </row>
    <row r="68" spans="1:15" ht="66" x14ac:dyDescent="0.3">
      <c r="A68" s="2" t="s">
        <v>415</v>
      </c>
      <c r="B68" s="2" t="s">
        <v>416</v>
      </c>
      <c r="C68" s="2" t="s">
        <v>417</v>
      </c>
      <c r="D68" s="2" t="s">
        <v>418</v>
      </c>
      <c r="E68" s="2" t="str">
        <f>HYPERLINK("http://twitter.com/chrystalstone_")</f>
        <v>http://twitter.com/chrystalstone_</v>
      </c>
      <c r="F68" s="2" t="str">
        <f>HYPERLINK("https://muckrack.com/chrystal-stone-wnyt")</f>
        <v>https://muckrack.com/chrystal-stone-wnyt</v>
      </c>
      <c r="G68" s="2">
        <v>2062</v>
      </c>
      <c r="H68" s="2" t="s">
        <v>419</v>
      </c>
      <c r="I68" s="2" t="s">
        <v>420</v>
      </c>
      <c r="J68" s="2" t="s">
        <v>372</v>
      </c>
      <c r="K68" s="2" t="s">
        <v>227</v>
      </c>
      <c r="L68" s="2" t="s">
        <v>428</v>
      </c>
      <c r="M68" s="4">
        <v>45744.998368055552</v>
      </c>
      <c r="N68" s="2" t="str">
        <f>HYPERLINK("http://twitter.com/chrystalstone_/status/1905831694378099159")</f>
        <v>http://twitter.com/chrystalstone_/status/1905831694378099159</v>
      </c>
      <c r="O68" s="2" t="str">
        <f>HYPERLINK("https://wnyt.com/big-board-sports/adirondack-thunder-shut-out-the-indy-fuel-3-0-to-kick-off-stick-it-to-cancer-weekend/")</f>
        <v>https://wnyt.com/big-board-sports/adirondack-thunder-shut-out-the-indy-fuel-3-0-to-kick-off-stick-it-to-cancer-weekend/</v>
      </c>
    </row>
    <row r="69" spans="1:15" ht="92.4" x14ac:dyDescent="0.3">
      <c r="A69" s="2" t="s">
        <v>229</v>
      </c>
      <c r="B69" s="2" t="s">
        <v>429</v>
      </c>
      <c r="C69" s="2" t="s">
        <v>430</v>
      </c>
      <c r="D69" s="2" t="s">
        <v>431</v>
      </c>
      <c r="E69" s="2" t="str">
        <f>HYPERLINK("http://twitter.com/wilimek5")</f>
        <v>http://twitter.com/wilimek5</v>
      </c>
      <c r="F69" s="2" t="str">
        <f>HYPERLINK("https://muckrack.com/andrew-wilimek-1")</f>
        <v>https://muckrack.com/andrew-wilimek-1</v>
      </c>
      <c r="G69" s="2">
        <v>224</v>
      </c>
      <c r="H69" s="2" t="s">
        <v>432</v>
      </c>
      <c r="I69" s="2" t="s">
        <v>433</v>
      </c>
      <c r="J69" s="2" t="s">
        <v>434</v>
      </c>
      <c r="K69" s="2" t="s">
        <v>435</v>
      </c>
      <c r="L69" s="2" t="s">
        <v>436</v>
      </c>
      <c r="M69" s="4">
        <v>45740.635972222219</v>
      </c>
      <c r="N69" s="2" t="str">
        <f>HYPERLINK("http://twitter.com/wilimek5/status/1904250817890455597")</f>
        <v>http://twitter.com/wilimek5/status/1904250817890455597</v>
      </c>
      <c r="O69" s="2" t="str">
        <f>HYPERLINK("https://thefulcrum.ca/sports/gee-gees-complete-cinderella-story-win-programs-first-national-championship-on-home-ice/")</f>
        <v>https://thefulcrum.ca/sports/gee-gees-complete-cinderella-story-win-programs-first-national-championship-on-home-ice/</v>
      </c>
    </row>
    <row r="70" spans="1:15" ht="52.8" x14ac:dyDescent="0.3">
      <c r="A70" s="2" t="s">
        <v>230</v>
      </c>
      <c r="B70" s="2" t="s">
        <v>437</v>
      </c>
      <c r="C70" s="2"/>
      <c r="D70" s="2" t="s">
        <v>438</v>
      </c>
      <c r="E70" s="2" t="str">
        <f>HYPERLINK("http://twitter.com/GregBoysen")</f>
        <v>http://twitter.com/GregBoysen</v>
      </c>
      <c r="F70" s="2" t="str">
        <f>HYPERLINK("https://muckrack.com/greg-boysen")</f>
        <v>https://muckrack.com/greg-boysen</v>
      </c>
      <c r="G70" s="2">
        <v>6016</v>
      </c>
      <c r="H70" s="2" t="s">
        <v>439</v>
      </c>
      <c r="I70" s="2" t="s">
        <v>440</v>
      </c>
      <c r="J70" s="2" t="s">
        <v>441</v>
      </c>
      <c r="K70" s="2" t="s">
        <v>231</v>
      </c>
      <c r="L70" s="2" t="s">
        <v>442</v>
      </c>
      <c r="M70" s="4">
        <v>45739.333368055559</v>
      </c>
      <c r="N70" s="2" t="str">
        <f>HYPERLINK("http://twitter.com/GregBoysen/status/1903778766511317397")</f>
        <v>http://twitter.com/GregBoysen/status/1903778766511317397</v>
      </c>
      <c r="O70" s="2" t="str">
        <f>HYPERLINK("https://chicagohockeynow.com/2025/03/23/blackhawks-icehogs-roman-kantserov-prospects-phwl-michigan-goal/")</f>
        <v>https://chicagohockeynow.com/2025/03/23/blackhawks-icehogs-roman-kantserov-prospects-phwl-michigan-goal/</v>
      </c>
    </row>
    <row r="71" spans="1:15" ht="39.6" x14ac:dyDescent="0.3">
      <c r="A71" s="2" t="s">
        <v>404</v>
      </c>
      <c r="B71" s="2" t="s">
        <v>405</v>
      </c>
      <c r="C71" s="2" t="s">
        <v>406</v>
      </c>
      <c r="D71" s="2" t="s">
        <v>407</v>
      </c>
      <c r="E71" s="2" t="str">
        <f>HYPERLINK("http://twitter.com/ByPeteTobey")</f>
        <v>http://twitter.com/ByPeteTobey</v>
      </c>
      <c r="F71" s="2" t="str">
        <f>HYPERLINK("https://muckrack.com/pete-tobey")</f>
        <v>https://muckrack.com/pete-tobey</v>
      </c>
      <c r="G71" s="2">
        <v>4341</v>
      </c>
      <c r="H71" s="2" t="s">
        <v>408</v>
      </c>
      <c r="I71" s="2" t="s">
        <v>409</v>
      </c>
      <c r="J71" s="2" t="s">
        <v>279</v>
      </c>
      <c r="K71" s="2" t="s">
        <v>224</v>
      </c>
      <c r="L71" s="2" t="s">
        <v>443</v>
      </c>
      <c r="M71" s="4">
        <v>45737.366805555554</v>
      </c>
      <c r="N71" s="2" t="str">
        <f>HYPERLINK("http://twitter.com/ByPeteTobey/status/1903066109139439770")</f>
        <v>http://twitter.com/ByPeteTobey/status/1903066109139439770</v>
      </c>
      <c r="O71" s="2" t="str">
        <f>HYPERLINK("https://poststar.com/sports/professional/article_4f878e99-dc29-4951-a406-d66391dab161.html")</f>
        <v>https://poststar.com/sports/professional/article_4f878e99-dc29-4951-a406-d66391dab161.html</v>
      </c>
    </row>
    <row r="72" spans="1:15" ht="79.2" x14ac:dyDescent="0.3">
      <c r="A72" s="2" t="s">
        <v>395</v>
      </c>
      <c r="B72" s="2" t="s">
        <v>396</v>
      </c>
      <c r="C72" s="2" t="s">
        <v>397</v>
      </c>
      <c r="D72" s="2" t="s">
        <v>398</v>
      </c>
      <c r="E72" s="2" t="str">
        <f>HYPERLINK("http://twitter.com/jawsfort")</f>
        <v>http://twitter.com/jawsfort</v>
      </c>
      <c r="F72" s="2" t="str">
        <f>HYPERLINK("https://muckrack.com/jawsfort")</f>
        <v>https://muckrack.com/jawsfort</v>
      </c>
      <c r="G72" s="2">
        <v>774</v>
      </c>
      <c r="H72" s="2" t="s">
        <v>391</v>
      </c>
      <c r="I72" s="2" t="s">
        <v>399</v>
      </c>
      <c r="J72" s="2" t="s">
        <v>400</v>
      </c>
      <c r="K72" s="2" t="s">
        <v>40</v>
      </c>
      <c r="L72" s="2" t="s">
        <v>444</v>
      </c>
      <c r="M72" s="4">
        <v>45737.00340277778</v>
      </c>
      <c r="N72" s="2" t="str">
        <f>HYPERLINK("http://twitter.com/jawsfort/status/1902934418601222273")</f>
        <v>http://twitter.com/jawsfort/status/1902934418601222273</v>
      </c>
      <c r="O72" s="2" t="str">
        <f>HYPERLINK("https://www.journalgazette.net/sports/professional/komets/komets-set-for-crucial-weekend-with-three-games-against-third-place-iowa/article_27a77150-046a-11f0-8b17-5fcd36d784aa.html")</f>
        <v>https://www.journalgazette.net/sports/professional/komets/komets-set-for-crucial-weekend-with-three-games-against-third-place-iowa/article_27a77150-046a-11f0-8b17-5fcd36d784aa.html</v>
      </c>
    </row>
    <row r="73" spans="1:15" ht="79.2" x14ac:dyDescent="0.3">
      <c r="A73" s="2" t="s">
        <v>445</v>
      </c>
      <c r="B73" s="2" t="s">
        <v>446</v>
      </c>
      <c r="C73" s="2" t="s">
        <v>447</v>
      </c>
      <c r="D73" s="2" t="s">
        <v>448</v>
      </c>
      <c r="E73" s="2" t="str">
        <f>HYPERLINK("http://twitter.com/JHoffinCincy")</f>
        <v>http://twitter.com/JHoffinCincy</v>
      </c>
      <c r="F73" s="2" t="str">
        <f>HYPERLINK("https://muckrack.com/jason-hoffman")</f>
        <v>https://muckrack.com/jason-hoffman</v>
      </c>
      <c r="G73" s="2">
        <v>1949</v>
      </c>
      <c r="H73" s="2" t="s">
        <v>449</v>
      </c>
      <c r="I73" s="2" t="s">
        <v>450</v>
      </c>
      <c r="J73" s="2" t="s">
        <v>325</v>
      </c>
      <c r="K73" s="2" t="s">
        <v>233</v>
      </c>
      <c r="L73" s="2" t="s">
        <v>451</v>
      </c>
      <c r="M73" s="4">
        <v>45729.450428240743</v>
      </c>
      <c r="N73" s="2" t="str">
        <f>HYPERLINK("http://twitter.com/JHoffinCincy/status/1900197312560832957")</f>
        <v>http://twitter.com/JHoffinCincy/status/1900197312560832957</v>
      </c>
      <c r="O73" s="2" t="str">
        <f>HYPERLINK("https://miamiredhawks.com/news/2025/3/13/six-redhawks-move-on-to-pro-hockey.aspx")</f>
        <v>https://miamiredhawks.com/news/2025/3/13/six-redhawks-move-on-to-pro-hockey.aspx</v>
      </c>
    </row>
    <row r="74" spans="1:15" ht="79.2" x14ac:dyDescent="0.3">
      <c r="A74" s="2" t="s">
        <v>452</v>
      </c>
      <c r="B74" s="2" t="s">
        <v>453</v>
      </c>
      <c r="C74" s="2"/>
      <c r="D74" s="2" t="s">
        <v>454</v>
      </c>
      <c r="E74" s="2" t="str">
        <f>HYPERLINK("http://twitter.com/jjmid04")</f>
        <v>http://twitter.com/jjmid04</v>
      </c>
      <c r="F74" s="2" t="str">
        <f>HYPERLINK("https://muckrack.com/jeffrey-middleton")</f>
        <v>https://muckrack.com/jeffrey-middleton</v>
      </c>
      <c r="G74" s="2">
        <v>1799</v>
      </c>
      <c r="H74" s="2" t="s">
        <v>455</v>
      </c>
      <c r="I74" s="2" t="s">
        <v>456</v>
      </c>
      <c r="J74" s="2" t="s">
        <v>325</v>
      </c>
      <c r="K74" s="2" t="s">
        <v>457</v>
      </c>
      <c r="L74" s="2" t="s">
        <v>451</v>
      </c>
      <c r="M74" s="4">
        <v>45729.479930555557</v>
      </c>
      <c r="N74" s="2" t="str">
        <f>HYPERLINK("http://twitter.com/jjmid04/status/1900208001786503654")</f>
        <v>http://twitter.com/jjmid04/status/1900208001786503654</v>
      </c>
      <c r="O74" s="2" t="str">
        <f>HYPERLINK("https://miamiredhawks.com/news/2025/3/13/six-redhawks-move-on-to-pro-hockey.aspx")</f>
        <v>https://miamiredhawks.com/news/2025/3/13/six-redhawks-move-on-to-pro-hockey.aspx</v>
      </c>
    </row>
    <row r="75" spans="1:15" ht="79.2" x14ac:dyDescent="0.3">
      <c r="A75" s="2" t="s">
        <v>232</v>
      </c>
      <c r="B75" s="2" t="s">
        <v>286</v>
      </c>
      <c r="C75" s="2" t="s">
        <v>458</v>
      </c>
      <c r="D75" s="2" t="s">
        <v>459</v>
      </c>
      <c r="E75" s="2" t="str">
        <f>HYPERLINK("http://twitter.com/GlennMariniWANE")</f>
        <v>http://twitter.com/GlennMariniWANE</v>
      </c>
      <c r="F75" s="2" t="str">
        <f>HYPERLINK("https://muckrack.com/glenn-marini")</f>
        <v>https://muckrack.com/glenn-marini</v>
      </c>
      <c r="G75" s="2">
        <v>13992</v>
      </c>
      <c r="H75" s="2" t="s">
        <v>460</v>
      </c>
      <c r="I75" s="2" t="s">
        <v>461</v>
      </c>
      <c r="J75" s="2" t="s">
        <v>279</v>
      </c>
      <c r="K75" s="2" t="s">
        <v>44</v>
      </c>
      <c r="L75" s="2" t="s">
        <v>462</v>
      </c>
      <c r="M75" s="4">
        <v>45726.566030092603</v>
      </c>
      <c r="N75" s="2" t="str">
        <f>HYPERLINK("http://twitter.com/GlennMariniWANE/status/1899152038946099338")</f>
        <v>http://twitter.com/GlennMariniWANE/status/1899152038946099338</v>
      </c>
      <c r="O75" s="2" t="str">
        <f>HYPERLINK("https://www.wane.com/sports/komets/komets-corner-episode-14-march-10/")</f>
        <v>https://www.wane.com/sports/komets/komets-corner-episode-14-march-10/</v>
      </c>
    </row>
    <row r="76" spans="1:15" ht="66" x14ac:dyDescent="0.3">
      <c r="A76" s="2" t="s">
        <v>395</v>
      </c>
      <c r="B76" s="2" t="s">
        <v>396</v>
      </c>
      <c r="C76" s="2" t="s">
        <v>397</v>
      </c>
      <c r="D76" s="2" t="s">
        <v>398</v>
      </c>
      <c r="E76" s="2" t="str">
        <f>HYPERLINK("http://twitter.com/jawsfort")</f>
        <v>http://twitter.com/jawsfort</v>
      </c>
      <c r="F76" s="2" t="str">
        <f>HYPERLINK("https://muckrack.com/jawsfort")</f>
        <v>https://muckrack.com/jawsfort</v>
      </c>
      <c r="G76" s="2">
        <v>774</v>
      </c>
      <c r="H76" s="2" t="s">
        <v>391</v>
      </c>
      <c r="I76" s="2" t="s">
        <v>399</v>
      </c>
      <c r="J76" s="2" t="s">
        <v>400</v>
      </c>
      <c r="K76" s="2" t="s">
        <v>40</v>
      </c>
      <c r="L76" s="2" t="s">
        <v>463</v>
      </c>
      <c r="M76" s="4">
        <v>45723.937511574077</v>
      </c>
      <c r="N76" s="2" t="str">
        <f>HYPERLINK("http://twitter.com/jawsfort/status/1898214594973200622")</f>
        <v>http://twitter.com/jawsfort/status/1898214594973200622</v>
      </c>
      <c r="O76" s="2" t="str">
        <f>HYPERLINK("https://www.journalgazette.net/sports/professional/komets/komets-extend-point-streak-to-seven-with-shootout-win/article_12ed59c2-fbc9-11ef-87c8-db5949936302.html")</f>
        <v>https://www.journalgazette.net/sports/professional/komets/komets-extend-point-streak-to-seven-with-shootout-win/article_12ed59c2-fbc9-11ef-87c8-db5949936302.html</v>
      </c>
    </row>
    <row r="77" spans="1:15" ht="39.6" x14ac:dyDescent="0.3">
      <c r="A77" s="2" t="s">
        <v>230</v>
      </c>
      <c r="B77" s="2" t="s">
        <v>437</v>
      </c>
      <c r="C77" s="2"/>
      <c r="D77" s="2" t="s">
        <v>438</v>
      </c>
      <c r="E77" s="2" t="str">
        <f>HYPERLINK("http://twitter.com/GregBoysen")</f>
        <v>http://twitter.com/GregBoysen</v>
      </c>
      <c r="F77" s="2" t="str">
        <f>HYPERLINK("https://muckrack.com/greg-boysen")</f>
        <v>https://muckrack.com/greg-boysen</v>
      </c>
      <c r="G77" s="2">
        <v>6016</v>
      </c>
      <c r="H77" s="2" t="s">
        <v>439</v>
      </c>
      <c r="I77" s="2" t="s">
        <v>440</v>
      </c>
      <c r="J77" s="2" t="s">
        <v>441</v>
      </c>
      <c r="K77" s="2" t="s">
        <v>231</v>
      </c>
      <c r="L77" s="2" t="s">
        <v>464</v>
      </c>
      <c r="M77" s="4">
        <v>45722.708067129628</v>
      </c>
      <c r="N77" s="2" t="str">
        <f>HYPERLINK("http://twitter.com/GregBoysen/status/1897769059678097808")</f>
        <v>http://twitter.com/GregBoysen/status/1897769059678097808</v>
      </c>
      <c r="O77" s="2" t="str">
        <f>HYPERLINK("https://chicagohockeynow.com/2025/03/06/blackhawks-q-a-nhl-trade-deadline-edition/")</f>
        <v>https://chicagohockeynow.com/2025/03/06/blackhawks-q-a-nhl-trade-deadline-edition/</v>
      </c>
    </row>
    <row r="78" spans="1:15" ht="79.2" x14ac:dyDescent="0.3">
      <c r="A78" s="2" t="s">
        <v>395</v>
      </c>
      <c r="B78" s="2" t="s">
        <v>396</v>
      </c>
      <c r="C78" s="2" t="s">
        <v>397</v>
      </c>
      <c r="D78" s="2" t="s">
        <v>398</v>
      </c>
      <c r="E78" s="2" t="str">
        <f>HYPERLINK("http://twitter.com/jawsfort")</f>
        <v>http://twitter.com/jawsfort</v>
      </c>
      <c r="F78" s="2" t="str">
        <f>HYPERLINK("https://muckrack.com/jawsfort")</f>
        <v>https://muckrack.com/jawsfort</v>
      </c>
      <c r="G78" s="2">
        <v>774</v>
      </c>
      <c r="H78" s="2" t="s">
        <v>391</v>
      </c>
      <c r="I78" s="2" t="s">
        <v>399</v>
      </c>
      <c r="J78" s="2" t="s">
        <v>400</v>
      </c>
      <c r="K78" s="2" t="s">
        <v>40</v>
      </c>
      <c r="L78" s="2" t="s">
        <v>465</v>
      </c>
      <c r="M78" s="4">
        <v>45721.715636574067</v>
      </c>
      <c r="N78" s="2" t="str">
        <f>HYPERLINK("http://twitter.com/jawsfort/status/1897409416665915600")</f>
        <v>http://twitter.com/jawsfort/status/1897409416665915600</v>
      </c>
      <c r="O78" s="2" t="str">
        <f>HYPERLINK("https://www.journalgazette.net/sports/professional/komets/mayhew-dugan-help-komets-rally-past-bloomington/article_029456c8-f9ff-11ef-bdcb-cb1d676bd592.html")</f>
        <v>https://www.journalgazette.net/sports/professional/komets/mayhew-dugan-help-komets-rally-past-bloomington/article_029456c8-f9ff-11ef-bdcb-cb1d676bd592.html</v>
      </c>
    </row>
    <row r="79" spans="1:15" ht="105.6" x14ac:dyDescent="0.3">
      <c r="A79" s="2" t="s">
        <v>232</v>
      </c>
      <c r="B79" s="2" t="s">
        <v>286</v>
      </c>
      <c r="C79" s="2" t="s">
        <v>458</v>
      </c>
      <c r="D79" s="2" t="s">
        <v>459</v>
      </c>
      <c r="E79" s="2" t="str">
        <f>HYPERLINK("http://twitter.com/GlennMariniWANE")</f>
        <v>http://twitter.com/GlennMariniWANE</v>
      </c>
      <c r="F79" s="2" t="str">
        <f>HYPERLINK("https://muckrack.com/glenn-marini")</f>
        <v>https://muckrack.com/glenn-marini</v>
      </c>
      <c r="G79" s="2">
        <v>13992</v>
      </c>
      <c r="H79" s="2" t="s">
        <v>460</v>
      </c>
      <c r="I79" s="2" t="s">
        <v>461</v>
      </c>
      <c r="J79" s="2" t="s">
        <v>279</v>
      </c>
      <c r="K79" s="2" t="s">
        <v>44</v>
      </c>
      <c r="L79" s="2" t="s">
        <v>466</v>
      </c>
      <c r="M79" s="4">
        <v>45719.559537037043</v>
      </c>
      <c r="N79" s="2" t="str">
        <f>HYPERLINK("http://twitter.com/GlennMariniWANE/status/1896628072486670643")</f>
        <v>http://twitter.com/GlennMariniWANE/status/1896628072486670643</v>
      </c>
      <c r="O79" s="2" t="str">
        <f>HYPERLINK("https://www.wane.com/college-sports/komets-corner-episode-13-march-3/")</f>
        <v>https://www.wane.com/college-sports/komets-corner-episode-13-march-3/</v>
      </c>
    </row>
    <row r="80" spans="1:15" ht="66" x14ac:dyDescent="0.3">
      <c r="A80" s="2" t="s">
        <v>234</v>
      </c>
      <c r="B80" s="2" t="s">
        <v>467</v>
      </c>
      <c r="C80" s="2"/>
      <c r="D80" s="2" t="s">
        <v>468</v>
      </c>
      <c r="E80" s="2" t="str">
        <f>HYPERLINK("http://twitter.com/cjdubbya")</f>
        <v>http://twitter.com/cjdubbya</v>
      </c>
      <c r="F80" s="2" t="str">
        <f>HYPERLINK("https://muckrack.com/josh-patterson-1")</f>
        <v>https://muckrack.com/josh-patterson-1</v>
      </c>
      <c r="G80" s="2">
        <v>776</v>
      </c>
      <c r="H80" s="2" t="s">
        <v>391</v>
      </c>
      <c r="I80" s="2" t="s">
        <v>469</v>
      </c>
      <c r="J80" s="2" t="s">
        <v>325</v>
      </c>
      <c r="K80" s="2" t="s">
        <v>40</v>
      </c>
      <c r="L80" s="2" t="s">
        <v>470</v>
      </c>
      <c r="M80" s="4">
        <v>45717.809212962973</v>
      </c>
      <c r="N80" s="2" t="str">
        <f>HYPERLINK("http://twitter.com/cjdubbya/status/1895993773462864125")</f>
        <v>http://twitter.com/cjdubbya/status/1895993773462864125</v>
      </c>
      <c r="O80" s="2" t="str">
        <f>HYPERLINK("https://www.journalgazette.net/sports/komets-pregame-blog-kalamazoo-in-town-more-roster-moves/article_d2d44c46-f6fb-11ef-b48a-4b3f9388d758.html")</f>
        <v>https://www.journalgazette.net/sports/komets-pregame-blog-kalamazoo-in-town-more-roster-moves/article_d2d44c46-f6fb-11ef-b48a-4b3f9388d758.html</v>
      </c>
    </row>
    <row r="81" spans="1:15" ht="66" x14ac:dyDescent="0.3">
      <c r="A81" s="2" t="s">
        <v>395</v>
      </c>
      <c r="B81" s="2" t="s">
        <v>396</v>
      </c>
      <c r="C81" s="2" t="s">
        <v>397</v>
      </c>
      <c r="D81" s="2" t="s">
        <v>398</v>
      </c>
      <c r="E81" s="2" t="str">
        <f>HYPERLINK("http://twitter.com/jawsfort")</f>
        <v>http://twitter.com/jawsfort</v>
      </c>
      <c r="F81" s="2" t="str">
        <f>HYPERLINK("https://muckrack.com/jawsfort")</f>
        <v>https://muckrack.com/jawsfort</v>
      </c>
      <c r="G81" s="2">
        <v>774</v>
      </c>
      <c r="H81" s="2" t="s">
        <v>391</v>
      </c>
      <c r="I81" s="2" t="s">
        <v>399</v>
      </c>
      <c r="J81" s="2" t="s">
        <v>400</v>
      </c>
      <c r="K81" s="2" t="s">
        <v>40</v>
      </c>
      <c r="L81" s="2" t="s">
        <v>471</v>
      </c>
      <c r="M81" s="4">
        <v>45717.870625000003</v>
      </c>
      <c r="N81" s="2" t="str">
        <f>HYPERLINK("http://twitter.com/jawsfort/status/1896016028058206702")</f>
        <v>http://twitter.com/jawsfort/status/1896016028058206702</v>
      </c>
      <c r="O81" s="2" t="str">
        <f>HYPERLINK("https://www.journalgazette.net/sports/komets-pregame-blog-kalamazoo-in-town-more-roster-moves/article_d2d44c46-f6fb-11ef-b48a-4b3f9388d758.html")</f>
        <v>https://www.journalgazette.net/sports/komets-pregame-blog-kalamazoo-in-town-more-roster-moves/article_d2d44c46-f6fb-11ef-b48a-4b3f9388d758.html</v>
      </c>
    </row>
    <row r="82" spans="1:15" ht="66" x14ac:dyDescent="0.3">
      <c r="A82" s="2" t="s">
        <v>235</v>
      </c>
      <c r="B82" s="2" t="s">
        <v>274</v>
      </c>
      <c r="C82" s="2" t="s">
        <v>472</v>
      </c>
      <c r="D82" s="2" t="s">
        <v>473</v>
      </c>
      <c r="E82" s="2" t="str">
        <f>HYPERLINK("http://twitter.com/Vicky_Jacobsen")</f>
        <v>http://twitter.com/Vicky_Jacobsen</v>
      </c>
      <c r="F82" s="2" t="str">
        <f>HYPERLINK("https://muckrack.com/victoria-jacobsen")</f>
        <v>https://muckrack.com/victoria-jacobsen</v>
      </c>
      <c r="G82" s="2">
        <v>2172</v>
      </c>
      <c r="H82" s="2" t="s">
        <v>391</v>
      </c>
      <c r="I82" s="2" t="s">
        <v>474</v>
      </c>
      <c r="J82" s="2" t="s">
        <v>279</v>
      </c>
      <c r="K82" s="2" t="s">
        <v>40</v>
      </c>
      <c r="L82" s="2" t="s">
        <v>475</v>
      </c>
      <c r="M82" s="4">
        <v>45717.557847222219</v>
      </c>
      <c r="N82" s="2" t="str">
        <f>HYPERLINK("http://twitter.com/Vicky_Jacobsen/status/1895902682038333482")</f>
        <v>http://twitter.com/Vicky_Jacobsen/status/1895902682038333482</v>
      </c>
      <c r="O82" s="2" t="str">
        <f>HYPERLINK("https://www.journalgazette.net/sports/professional/komets/komets-score-4-goals-in-second-period-roll-over-indy-fuel/article_6ef76c08-f64c-11ef-8ac1-0b794fbdefdf.html")</f>
        <v>https://www.journalgazette.net/sports/professional/komets/komets-score-4-goals-in-second-period-roll-over-indy-fuel/article_6ef76c08-f64c-11ef-8ac1-0b794fbdefdf.html</v>
      </c>
    </row>
    <row r="83" spans="1:15" ht="66" x14ac:dyDescent="0.3">
      <c r="A83" s="2" t="s">
        <v>395</v>
      </c>
      <c r="B83" s="2" t="s">
        <v>396</v>
      </c>
      <c r="C83" s="2" t="s">
        <v>397</v>
      </c>
      <c r="D83" s="2" t="s">
        <v>398</v>
      </c>
      <c r="E83" s="2" t="str">
        <f>HYPERLINK("http://twitter.com/jawsfort")</f>
        <v>http://twitter.com/jawsfort</v>
      </c>
      <c r="F83" s="2" t="str">
        <f>HYPERLINK("https://muckrack.com/jawsfort")</f>
        <v>https://muckrack.com/jawsfort</v>
      </c>
      <c r="G83" s="2">
        <v>774</v>
      </c>
      <c r="H83" s="2" t="s">
        <v>391</v>
      </c>
      <c r="I83" s="2" t="s">
        <v>399</v>
      </c>
      <c r="J83" s="2" t="s">
        <v>400</v>
      </c>
      <c r="K83" s="2" t="s">
        <v>40</v>
      </c>
      <c r="L83" s="2" t="s">
        <v>476</v>
      </c>
      <c r="M83" s="4">
        <v>45716.931319444448</v>
      </c>
      <c r="N83" s="2" t="str">
        <f>HYPERLINK("http://twitter.com/jawsfort/status/1895675638213955765")</f>
        <v>http://twitter.com/jawsfort/status/1895675638213955765</v>
      </c>
      <c r="O83" s="2" t="str">
        <f>HYPERLINK("https://www.journalgazette.net/multimedia/friday-gallery-komets-take-on-the-indy-fuel-at-memorial-coliseum/collection_421858be-f647-11ef-b490-230fec6f627e.html")</f>
        <v>https://www.journalgazette.net/multimedia/friday-gallery-komets-take-on-the-indy-fuel-at-memorial-coliseum/collection_421858be-f647-11ef-b490-230fec6f627e.html</v>
      </c>
    </row>
    <row r="84" spans="1:15" ht="66" x14ac:dyDescent="0.3">
      <c r="A84" s="2" t="s">
        <v>235</v>
      </c>
      <c r="B84" s="2" t="s">
        <v>274</v>
      </c>
      <c r="C84" s="2" t="s">
        <v>472</v>
      </c>
      <c r="D84" s="2" t="s">
        <v>473</v>
      </c>
      <c r="E84" s="2" t="str">
        <f>HYPERLINK("http://twitter.com/Vicky_Jacobsen")</f>
        <v>http://twitter.com/Vicky_Jacobsen</v>
      </c>
      <c r="F84" s="2" t="str">
        <f>HYPERLINK("https://muckrack.com/victoria-jacobsen")</f>
        <v>https://muckrack.com/victoria-jacobsen</v>
      </c>
      <c r="G84" s="2">
        <v>2172</v>
      </c>
      <c r="H84" s="2" t="s">
        <v>391</v>
      </c>
      <c r="I84" s="2" t="s">
        <v>474</v>
      </c>
      <c r="J84" s="2" t="s">
        <v>279</v>
      </c>
      <c r="K84" s="2" t="s">
        <v>40</v>
      </c>
      <c r="L84" s="2" t="s">
        <v>477</v>
      </c>
      <c r="M84" s="4">
        <v>45717.560358796298</v>
      </c>
      <c r="N84" s="2" t="str">
        <f>HYPERLINK("http://twitter.com/Vicky_Jacobsen/status/1895903593536061849")</f>
        <v>http://twitter.com/Vicky_Jacobsen/status/1895903593536061849</v>
      </c>
      <c r="O84" s="2" t="str">
        <f>HYPERLINK("https://www.journalgazette.net/multimedia/friday-gallery-komets-take-on-the-indy-fuel-at-memorial-coliseum/collection_421858be-f647-11ef-b490-230fec6f627e.html")</f>
        <v>https://www.journalgazette.net/multimedia/friday-gallery-komets-take-on-the-indy-fuel-at-memorial-coliseum/collection_421858be-f647-11ef-b490-230fec6f627e.html</v>
      </c>
    </row>
    <row r="85" spans="1:15" ht="66" x14ac:dyDescent="0.3">
      <c r="A85" s="2" t="s">
        <v>395</v>
      </c>
      <c r="B85" s="2" t="s">
        <v>396</v>
      </c>
      <c r="C85" s="2" t="s">
        <v>397</v>
      </c>
      <c r="D85" s="2" t="s">
        <v>398</v>
      </c>
      <c r="E85" s="2" t="str">
        <f>HYPERLINK("http://twitter.com/jawsfort")</f>
        <v>http://twitter.com/jawsfort</v>
      </c>
      <c r="F85" s="2" t="str">
        <f>HYPERLINK("https://muckrack.com/jawsfort")</f>
        <v>https://muckrack.com/jawsfort</v>
      </c>
      <c r="G85" s="2">
        <v>774</v>
      </c>
      <c r="H85" s="2" t="s">
        <v>391</v>
      </c>
      <c r="I85" s="2" t="s">
        <v>399</v>
      </c>
      <c r="J85" s="2" t="s">
        <v>400</v>
      </c>
      <c r="K85" s="2" t="s">
        <v>40</v>
      </c>
      <c r="L85" s="2" t="s">
        <v>478</v>
      </c>
      <c r="M85" s="4">
        <v>45716.929965277777</v>
      </c>
      <c r="N85" s="2" t="str">
        <f>HYPERLINK("http://twitter.com/jawsfort/status/1895675145223835906")</f>
        <v>http://twitter.com/jawsfort/status/1895675145223835906</v>
      </c>
      <c r="O85" s="2" t="str">
        <f>HYPERLINK("https://www.journalgazette.net/sports/professional/komets/ice-chips/komets-postgame-blog-komets-whip-indy-fuel/article_9b32ff7c-f637-11ef-a392-a7c1ba0dbeb9.html")</f>
        <v>https://www.journalgazette.net/sports/professional/komets/ice-chips/komets-postgame-blog-komets-whip-indy-fuel/article_9b32ff7c-f637-11ef-a392-a7c1ba0dbeb9.html</v>
      </c>
    </row>
    <row r="86" spans="1:15" ht="79.2" x14ac:dyDescent="0.3">
      <c r="A86" s="2" t="s">
        <v>395</v>
      </c>
      <c r="B86" s="2" t="s">
        <v>396</v>
      </c>
      <c r="C86" s="2" t="s">
        <v>397</v>
      </c>
      <c r="D86" s="2" t="s">
        <v>398</v>
      </c>
      <c r="E86" s="2" t="str">
        <f>HYPERLINK("http://twitter.com/jawsfort")</f>
        <v>http://twitter.com/jawsfort</v>
      </c>
      <c r="F86" s="2" t="str">
        <f>HYPERLINK("https://muckrack.com/jawsfort")</f>
        <v>https://muckrack.com/jawsfort</v>
      </c>
      <c r="G86" s="2">
        <v>774</v>
      </c>
      <c r="H86" s="2" t="s">
        <v>391</v>
      </c>
      <c r="I86" s="2" t="s">
        <v>399</v>
      </c>
      <c r="J86" s="2" t="s">
        <v>400</v>
      </c>
      <c r="K86" s="2" t="s">
        <v>40</v>
      </c>
      <c r="L86" s="2" t="s">
        <v>479</v>
      </c>
      <c r="M86" s="4">
        <v>45716.848402777781</v>
      </c>
      <c r="N86" s="2" t="str">
        <f>HYPERLINK("http://twitter.com/jawsfort/status/1895645587518996923")</f>
        <v>http://twitter.com/jawsfort/status/1895645587518996923</v>
      </c>
      <c r="O86" s="2" t="str">
        <f>HYPERLINK("https://www.journalgazette.net/sports/professional/komets/ice-chips/komets-pregame-blog-indy-fuel-21-22-4-3-at-komets-30-17-4/article_041bedee-f635-11ef-9c33-3b4348c8b4ee.html")</f>
        <v>https://www.journalgazette.net/sports/professional/komets/ice-chips/komets-pregame-blog-indy-fuel-21-22-4-3-at-komets-30-17-4/article_041bedee-f635-11ef-9c33-3b4348c8b4ee.html</v>
      </c>
    </row>
    <row r="87" spans="1:15" ht="66" x14ac:dyDescent="0.3">
      <c r="A87" s="2" t="s">
        <v>395</v>
      </c>
      <c r="B87" s="2" t="s">
        <v>396</v>
      </c>
      <c r="C87" s="2" t="s">
        <v>397</v>
      </c>
      <c r="D87" s="2" t="s">
        <v>398</v>
      </c>
      <c r="E87" s="2" t="str">
        <f>HYPERLINK("http://twitter.com/jawsfort")</f>
        <v>http://twitter.com/jawsfort</v>
      </c>
      <c r="F87" s="2" t="str">
        <f>HYPERLINK("https://muckrack.com/jawsfort")</f>
        <v>https://muckrack.com/jawsfort</v>
      </c>
      <c r="G87" s="2">
        <v>774</v>
      </c>
      <c r="H87" s="2" t="s">
        <v>391</v>
      </c>
      <c r="I87" s="2" t="s">
        <v>399</v>
      </c>
      <c r="J87" s="2" t="s">
        <v>400</v>
      </c>
      <c r="K87" s="2" t="s">
        <v>40</v>
      </c>
      <c r="L87" s="2" t="s">
        <v>480</v>
      </c>
      <c r="M87" s="4">
        <v>45716.836493055547</v>
      </c>
      <c r="N87" s="2" t="str">
        <f>HYPERLINK("http://twitter.com/jawsfort/status/1895641272163135703")</f>
        <v>http://twitter.com/jawsfort/status/1895641272163135703</v>
      </c>
      <c r="O87" s="2" t="str">
        <f>HYPERLINK("https://www.journalgazette.net/sports/komets-revamping-roster-in-face-of-injuries/article_6d0555ae-f4c1-11ef-949e-9fb6694b1fa9.html")</f>
        <v>https://www.journalgazette.net/sports/komets-revamping-roster-in-face-of-injuries/article_6d0555ae-f4c1-11ef-949e-9fb6694b1fa9.html</v>
      </c>
    </row>
    <row r="88" spans="1:15" ht="171.6" x14ac:dyDescent="0.3">
      <c r="A88" s="2" t="s">
        <v>481</v>
      </c>
      <c r="B88" s="2" t="s">
        <v>482</v>
      </c>
      <c r="C88" s="2" t="s">
        <v>483</v>
      </c>
      <c r="D88" s="2" t="s">
        <v>484</v>
      </c>
      <c r="E88" s="2" t="str">
        <f>HYPERLINK("http://twitter.com/ChrisHabs360")</f>
        <v>http://twitter.com/ChrisHabs360</v>
      </c>
      <c r="F88" s="2" t="str">
        <f>HYPERLINK("https://muckrack.com/chris-galanopoulos")</f>
        <v>https://muckrack.com/chris-galanopoulos</v>
      </c>
      <c r="G88" s="2">
        <v>8735</v>
      </c>
      <c r="H88" s="2" t="s">
        <v>485</v>
      </c>
      <c r="I88" s="2" t="s">
        <v>486</v>
      </c>
      <c r="J88" s="2" t="s">
        <v>434</v>
      </c>
      <c r="K88" s="2" t="s">
        <v>487</v>
      </c>
      <c r="L88" s="2" t="s">
        <v>488</v>
      </c>
      <c r="M88" s="4">
        <v>45714.416979166657</v>
      </c>
      <c r="N88" s="2" t="str">
        <f>HYPERLINK("http://twitter.com/ChrisHabs360/status/1894764472343884073")</f>
        <v>http://twitter.com/ChrisHabs360/status/1894764472343884073</v>
      </c>
      <c r="O88" s="2" t="str">
        <f>HYPERLINK("https://www.hockeybuzz.com/blog/Rocket-Sports/Lions-Notepad-Trois-Rivieres-Begins-Homestand-on-a-High-Note/310/127546")</f>
        <v>https://www.hockeybuzz.com/blog/Rocket-Sports/Lions-Notepad-Trois-Rivieres-Begins-Homestand-on-a-High-Note/310/127546</v>
      </c>
    </row>
    <row r="89" spans="1:15" ht="198" x14ac:dyDescent="0.3">
      <c r="A89" s="2" t="s">
        <v>481</v>
      </c>
      <c r="B89" s="2" t="s">
        <v>482</v>
      </c>
      <c r="C89" s="2" t="s">
        <v>483</v>
      </c>
      <c r="D89" s="2" t="s">
        <v>484</v>
      </c>
      <c r="E89" s="2" t="str">
        <f>HYPERLINK("http://twitter.com/ChrisHabs360")</f>
        <v>http://twitter.com/ChrisHabs360</v>
      </c>
      <c r="F89" s="2" t="str">
        <f>HYPERLINK("https://muckrack.com/chris-galanopoulos")</f>
        <v>https://muckrack.com/chris-galanopoulos</v>
      </c>
      <c r="G89" s="2">
        <v>8735</v>
      </c>
      <c r="H89" s="2" t="s">
        <v>485</v>
      </c>
      <c r="I89" s="2" t="s">
        <v>486</v>
      </c>
      <c r="J89" s="2" t="s">
        <v>434</v>
      </c>
      <c r="K89" s="2" t="s">
        <v>487</v>
      </c>
      <c r="L89" s="2" t="s">
        <v>489</v>
      </c>
      <c r="M89" s="4">
        <v>45714.833460648151</v>
      </c>
      <c r="N89" s="2" t="str">
        <f>HYPERLINK("http://twitter.com/ChrisHabs360/status/1894915400367854016")</f>
        <v>http://twitter.com/ChrisHabs360/status/1894915400367854016</v>
      </c>
      <c r="O89" s="2" t="str">
        <f>HYPERLINK("https://www.hockeybuzz.com/blog/Rocket-Sports/Lions-Notepad-Trois-Rivieres-Begins-Homestand-on-a-High-Note/310/127546")</f>
        <v>https://www.hockeybuzz.com/blog/Rocket-Sports/Lions-Notepad-Trois-Rivieres-Begins-Homestand-on-a-High-Note/310/127546</v>
      </c>
    </row>
    <row r="90" spans="1:15" ht="118.8" x14ac:dyDescent="0.3">
      <c r="A90" s="2" t="s">
        <v>232</v>
      </c>
      <c r="B90" s="2" t="s">
        <v>286</v>
      </c>
      <c r="C90" s="2" t="s">
        <v>458</v>
      </c>
      <c r="D90" s="2" t="s">
        <v>459</v>
      </c>
      <c r="E90" s="2" t="str">
        <f>HYPERLINK("http://twitter.com/GlennMariniWANE")</f>
        <v>http://twitter.com/GlennMariniWANE</v>
      </c>
      <c r="F90" s="2" t="str">
        <f>HYPERLINK("https://muckrack.com/glenn-marini")</f>
        <v>https://muckrack.com/glenn-marini</v>
      </c>
      <c r="G90" s="2">
        <v>13992</v>
      </c>
      <c r="H90" s="2" t="s">
        <v>460</v>
      </c>
      <c r="I90" s="2" t="s">
        <v>461</v>
      </c>
      <c r="J90" s="2" t="s">
        <v>279</v>
      </c>
      <c r="K90" s="2" t="s">
        <v>44</v>
      </c>
      <c r="L90" s="2" t="s">
        <v>490</v>
      </c>
      <c r="M90" s="4">
        <v>45712.558078703703</v>
      </c>
      <c r="N90" s="2" t="str">
        <f>HYPERLINK("http://twitter.com/GlennMariniWANE/status/1894090825711137215")</f>
        <v>http://twitter.com/GlennMariniWANE/status/1894090825711137215</v>
      </c>
      <c r="O90" s="2" t="str">
        <f>HYPERLINK("https://www.wane.com/sports/komets/komets-corner-episode-12-february-24/")</f>
        <v>https://www.wane.com/sports/komets/komets-corner-episode-12-february-24/</v>
      </c>
    </row>
    <row r="91" spans="1:15" ht="66" x14ac:dyDescent="0.3">
      <c r="A91" s="2" t="s">
        <v>491</v>
      </c>
      <c r="B91" s="2" t="s">
        <v>492</v>
      </c>
      <c r="C91" s="2" t="s">
        <v>493</v>
      </c>
      <c r="D91" s="2" t="s">
        <v>494</v>
      </c>
      <c r="E91" s="2" t="str">
        <f>HYPERLINK("http://twitter.com/mykalmphoto")</f>
        <v>http://twitter.com/mykalmphoto</v>
      </c>
      <c r="F91" s="2" t="str">
        <f>HYPERLINK("https://muckrack.com/mykalmphoto")</f>
        <v>https://muckrack.com/mykalmphoto</v>
      </c>
      <c r="G91" s="2">
        <v>5246</v>
      </c>
      <c r="H91" s="2" t="s">
        <v>495</v>
      </c>
      <c r="I91" s="2" t="s">
        <v>496</v>
      </c>
      <c r="J91" s="2" t="s">
        <v>386</v>
      </c>
      <c r="K91" s="2" t="s">
        <v>237</v>
      </c>
      <c r="L91" s="2" t="s">
        <v>497</v>
      </c>
      <c r="M91" s="4">
        <v>45712.328888888893</v>
      </c>
      <c r="N91" s="2" t="str">
        <f>HYPERLINK("http://twitter.com/mykalmphoto/status/1894007771382571091")</f>
        <v>http://twitter.com/mykalmphoto/status/1894007771382571091</v>
      </c>
      <c r="O91" s="2" t="str">
        <f>HYPERLINK("https://www.indystar.com/story/news/local/hamilton-county/noblesville/2025/02/24/pacers-to-reveal-new-name-noblesville-mad-ants-nba-g-league/78991625007/")</f>
        <v>https://www.indystar.com/story/news/local/hamilton-county/noblesville/2025/02/24/pacers-to-reveal-new-name-noblesville-mad-ants-nba-g-league/78991625007/</v>
      </c>
    </row>
    <row r="92" spans="1:15" ht="66" x14ac:dyDescent="0.3">
      <c r="A92" s="2" t="s">
        <v>498</v>
      </c>
      <c r="B92" s="2" t="s">
        <v>499</v>
      </c>
      <c r="C92" s="2" t="s">
        <v>500</v>
      </c>
      <c r="D92" s="2" t="s">
        <v>501</v>
      </c>
      <c r="E92" s="2" t="str">
        <f>HYPERLINK("http://twitter.com/starwatchtim")</f>
        <v>http://twitter.com/starwatchtim</v>
      </c>
      <c r="F92" s="2" t="str">
        <f>HYPERLINK("https://muckrack.com/starwatchtim")</f>
        <v>https://muckrack.com/starwatchtim</v>
      </c>
      <c r="G92" s="2">
        <v>7282</v>
      </c>
      <c r="H92" s="2" t="s">
        <v>502</v>
      </c>
      <c r="I92" s="2" t="s">
        <v>503</v>
      </c>
      <c r="J92" s="2" t="s">
        <v>504</v>
      </c>
      <c r="K92" s="2" t="s">
        <v>237</v>
      </c>
      <c r="L92" s="2" t="s">
        <v>505</v>
      </c>
      <c r="M92" s="4">
        <v>45712.338136574072</v>
      </c>
      <c r="N92" s="2" t="str">
        <f>HYPERLINK("http://twitter.com/starwatchtim/status/1894011124728660086")</f>
        <v>http://twitter.com/starwatchtim/status/1894011124728660086</v>
      </c>
      <c r="O92" s="2" t="str">
        <f>HYPERLINK("https://www.indystar.com/story/news/local/hamilton-county/noblesville/2025/02/24/pacers-to-reveal-new-name-noblesville-mad-ants-nba-g-league/78991625007/")</f>
        <v>https://www.indystar.com/story/news/local/hamilton-county/noblesville/2025/02/24/pacers-to-reveal-new-name-noblesville-mad-ants-nba-g-league/78991625007/</v>
      </c>
    </row>
    <row r="93" spans="1:15" ht="79.2" x14ac:dyDescent="0.3">
      <c r="A93" s="2" t="s">
        <v>238</v>
      </c>
      <c r="B93" s="2" t="s">
        <v>274</v>
      </c>
      <c r="C93" s="2" t="s">
        <v>506</v>
      </c>
      <c r="D93" s="2" t="s">
        <v>507</v>
      </c>
      <c r="E93" s="2" t="str">
        <f>HYPERLINK("http://twitter.com/AlthausEJC")</f>
        <v>http://twitter.com/AlthausEJC</v>
      </c>
      <c r="F93" s="2" t="str">
        <f>HYPERLINK("https://muckrack.com/bill-althaus")</f>
        <v>https://muckrack.com/bill-althaus</v>
      </c>
      <c r="G93" s="2">
        <v>7375</v>
      </c>
      <c r="H93" s="2" t="s">
        <v>508</v>
      </c>
      <c r="I93" s="2" t="s">
        <v>509</v>
      </c>
      <c r="J93" s="2" t="s">
        <v>279</v>
      </c>
      <c r="K93" s="2" t="s">
        <v>510</v>
      </c>
      <c r="L93" s="2" t="s">
        <v>511</v>
      </c>
      <c r="M93" s="4">
        <v>45712.406585648147</v>
      </c>
      <c r="N93" s="2" t="str">
        <f>HYPERLINK("http://twitter.com/AlthausEJC/status/1894035928894550495")</f>
        <v>http://twitter.com/AlthausEJC/status/1894035928894550495</v>
      </c>
      <c r="O93" s="2" t="str">
        <f>HYPERLINK("http://www.grainvalleynews.com/2/post/2025/02/ostman-stars-at-the-net-in-6-3-victory-over-allen-americans.html")</f>
        <v>http://www.grainvalleynews.com/2/post/2025/02/ostman-stars-at-the-net-in-6-3-victory-over-allen-americans.html</v>
      </c>
    </row>
    <row r="94" spans="1:15" ht="118.8" x14ac:dyDescent="0.3">
      <c r="A94" s="2" t="s">
        <v>239</v>
      </c>
      <c r="B94" s="2" t="s">
        <v>512</v>
      </c>
      <c r="C94" s="2" t="s">
        <v>513</v>
      </c>
      <c r="D94" s="2" t="s">
        <v>514</v>
      </c>
      <c r="E94" s="2" t="str">
        <f>HYPERLINK("http://twitter.com/pmc3_83")</f>
        <v>http://twitter.com/pmc3_83</v>
      </c>
      <c r="F94" s="2" t="str">
        <f>HYPERLINK("https://muckrack.com/patrick-cunningham-2")</f>
        <v>https://muckrack.com/patrick-cunningham-2</v>
      </c>
      <c r="G94" s="2">
        <v>2506</v>
      </c>
      <c r="H94" s="2"/>
      <c r="I94" s="2" t="s">
        <v>515</v>
      </c>
      <c r="J94" s="2" t="s">
        <v>279</v>
      </c>
      <c r="K94" s="2" t="s">
        <v>516</v>
      </c>
      <c r="L94" s="2" t="s">
        <v>517</v>
      </c>
      <c r="M94" s="4">
        <v>45711.961828703701</v>
      </c>
      <c r="N94" s="2" t="str">
        <f>HYPERLINK("http://twitter.com/pmc3_83/status/1893874752722289104")</f>
        <v>http://twitter.com/pmc3_83/status/1893874752722289104</v>
      </c>
      <c r="O94" s="2" t="str">
        <f>HYPERLINK("https://www.centralillinoisproud.com/sports/local-sports/bradley-women-earn-1st-win-over-isu-in-5-years-bison-rivermen-win-sunday-games/")</f>
        <v>https://www.centralillinoisproud.com/sports/local-sports/bradley-women-earn-1st-win-over-isu-in-5-years-bison-rivermen-win-sunday-games/</v>
      </c>
    </row>
    <row r="95" spans="1:15" ht="105.6" x14ac:dyDescent="0.3">
      <c r="A95" s="2" t="s">
        <v>240</v>
      </c>
      <c r="B95" s="2" t="s">
        <v>518</v>
      </c>
      <c r="C95" s="2" t="s">
        <v>519</v>
      </c>
      <c r="D95" s="2" t="s">
        <v>520</v>
      </c>
      <c r="E95" s="2" t="str">
        <f>HYPERLINK("http://twitter.com/ScottAgness")</f>
        <v>http://twitter.com/ScottAgness</v>
      </c>
      <c r="F95" s="2" t="str">
        <f>HYPERLINK("https://muckrack.com/scott-agness")</f>
        <v>https://muckrack.com/scott-agness</v>
      </c>
      <c r="G95" s="2">
        <v>30876</v>
      </c>
      <c r="H95" s="2" t="s">
        <v>521</v>
      </c>
      <c r="I95" s="2" t="s">
        <v>522</v>
      </c>
      <c r="J95" s="2" t="s">
        <v>400</v>
      </c>
      <c r="K95" s="2" t="s">
        <v>241</v>
      </c>
      <c r="L95" s="2" t="s">
        <v>523</v>
      </c>
      <c r="M95" s="4">
        <v>45710.529444444437</v>
      </c>
      <c r="N95" s="2" t="str">
        <f>HYPERLINK("http://twitter.com/ScottAgness/status/1893355677361348659")</f>
        <v>http://twitter.com/ScottAgness/status/1893355677361348659</v>
      </c>
      <c r="O95" s="2" t="str">
        <f>HYPERLINK("https://www.fieldhousefiles.com/p/jalen-rose-returns-to-indy-for-pvf-all-stars")</f>
        <v>https://www.fieldhousefiles.com/p/jalen-rose-returns-to-indy-for-pvf-all-stars</v>
      </c>
    </row>
    <row r="96" spans="1:15" ht="79.2" x14ac:dyDescent="0.3">
      <c r="A96" s="2" t="s">
        <v>395</v>
      </c>
      <c r="B96" s="2" t="s">
        <v>396</v>
      </c>
      <c r="C96" s="2" t="s">
        <v>397</v>
      </c>
      <c r="D96" s="2" t="s">
        <v>398</v>
      </c>
      <c r="E96" s="2" t="str">
        <f>HYPERLINK("http://twitter.com/jawsfort")</f>
        <v>http://twitter.com/jawsfort</v>
      </c>
      <c r="F96" s="2" t="str">
        <f>HYPERLINK("https://muckrack.com/jawsfort")</f>
        <v>https://muckrack.com/jawsfort</v>
      </c>
      <c r="G96" s="2">
        <v>774</v>
      </c>
      <c r="H96" s="2" t="s">
        <v>391</v>
      </c>
      <c r="I96" s="2" t="s">
        <v>399</v>
      </c>
      <c r="J96" s="2" t="s">
        <v>400</v>
      </c>
      <c r="K96" s="2" t="s">
        <v>40</v>
      </c>
      <c r="L96" s="2" t="s">
        <v>524</v>
      </c>
      <c r="M96" s="4">
        <v>45708.654479166667</v>
      </c>
      <c r="N96" s="2" t="str">
        <f>HYPERLINK("http://twitter.com/jawsfort/status/1892676210678751686")</f>
        <v>http://twitter.com/jawsfort/status/1892676210678751686</v>
      </c>
      <c r="O96" s="2" t="str">
        <f>HYPERLINK("https://www.journalgazette.net/sports/professional/komets/keppen-komets-beat-fuel-in-ot-inch-closer-to-walleye/article_5513a818-ef2d-11ef-aa06-372bb7a20842.html")</f>
        <v>https://www.journalgazette.net/sports/professional/komets/keppen-komets-beat-fuel-in-ot-inch-closer-to-walleye/article_5513a818-ef2d-11ef-aa06-372bb7a20842.html</v>
      </c>
    </row>
    <row r="97" spans="1:15" ht="66" x14ac:dyDescent="0.3">
      <c r="A97" s="2" t="s">
        <v>395</v>
      </c>
      <c r="B97" s="2" t="s">
        <v>396</v>
      </c>
      <c r="C97" s="2" t="s">
        <v>397</v>
      </c>
      <c r="D97" s="2" t="s">
        <v>398</v>
      </c>
      <c r="E97" s="2" t="str">
        <f>HYPERLINK("http://twitter.com/jawsfort")</f>
        <v>http://twitter.com/jawsfort</v>
      </c>
      <c r="F97" s="2" t="str">
        <f>HYPERLINK("https://muckrack.com/jawsfort")</f>
        <v>https://muckrack.com/jawsfort</v>
      </c>
      <c r="G97" s="2">
        <v>774</v>
      </c>
      <c r="H97" s="2" t="s">
        <v>391</v>
      </c>
      <c r="I97" s="2" t="s">
        <v>399</v>
      </c>
      <c r="J97" s="2" t="s">
        <v>400</v>
      </c>
      <c r="K97" s="2" t="s">
        <v>40</v>
      </c>
      <c r="L97" s="2" t="s">
        <v>525</v>
      </c>
      <c r="M97" s="4">
        <v>45706.826157407413</v>
      </c>
      <c r="N97" s="2" t="str">
        <f>HYPERLINK("http://twitter.com/jawsfort/status/1892013649381785907")</f>
        <v>http://twitter.com/jawsfort/status/1892013649381785907</v>
      </c>
      <c r="O97" s="2" t="str">
        <f>HYPERLINK("https://www.journalgazette.net/news/komets-fans-of-4-nations-face-off-players-watched-usa-canada-game-after-saturday-s/article_3c7b9282-eda4-11ef-9a22-d7f3c39f5cd0.html")</f>
        <v>https://www.journalgazette.net/news/komets-fans-of-4-nations-face-off-players-watched-usa-canada-game-after-saturday-s/article_3c7b9282-eda4-11ef-9a22-d7f3c39f5cd0.html</v>
      </c>
    </row>
    <row r="98" spans="1:15" ht="66" x14ac:dyDescent="0.3">
      <c r="A98" s="2" t="s">
        <v>234</v>
      </c>
      <c r="B98" s="2" t="s">
        <v>467</v>
      </c>
      <c r="C98" s="2"/>
      <c r="D98" s="2" t="s">
        <v>468</v>
      </c>
      <c r="E98" s="2" t="str">
        <f>HYPERLINK("http://twitter.com/cjdubbya")</f>
        <v>http://twitter.com/cjdubbya</v>
      </c>
      <c r="F98" s="2" t="str">
        <f>HYPERLINK("https://muckrack.com/josh-patterson-1")</f>
        <v>https://muckrack.com/josh-patterson-1</v>
      </c>
      <c r="G98" s="2">
        <v>776</v>
      </c>
      <c r="H98" s="2" t="s">
        <v>391</v>
      </c>
      <c r="I98" s="2" t="s">
        <v>469</v>
      </c>
      <c r="J98" s="2" t="s">
        <v>325</v>
      </c>
      <c r="K98" s="2" t="s">
        <v>40</v>
      </c>
      <c r="L98" s="2" t="s">
        <v>526</v>
      </c>
      <c r="M98" s="4">
        <v>45707.314421296287</v>
      </c>
      <c r="N98" s="2" t="str">
        <f>HYPERLINK("http://twitter.com/cjdubbya/status/1892190589438885986")</f>
        <v>http://twitter.com/cjdubbya/status/1892190589438885986</v>
      </c>
      <c r="O98" s="2" t="str">
        <f>HYPERLINK("https://www.journalgazette.net/news/komets-fans-of-4-nations-face-off-players-watched-usa-canada-game-after-saturday-s/article_3c7b9282-eda4-11ef-9a22-d7f3c39f5cd0.html")</f>
        <v>https://www.journalgazette.net/news/komets-fans-of-4-nations-face-off-players-watched-usa-canada-game-after-saturday-s/article_3c7b9282-eda4-11ef-9a22-d7f3c39f5cd0.html</v>
      </c>
    </row>
    <row r="99" spans="1:15" ht="79.2" x14ac:dyDescent="0.3">
      <c r="A99" s="2" t="s">
        <v>232</v>
      </c>
      <c r="B99" s="2" t="s">
        <v>286</v>
      </c>
      <c r="C99" s="2" t="s">
        <v>458</v>
      </c>
      <c r="D99" s="2" t="s">
        <v>459</v>
      </c>
      <c r="E99" s="2" t="str">
        <f>HYPERLINK("http://twitter.com/GlennMariniWANE")</f>
        <v>http://twitter.com/GlennMariniWANE</v>
      </c>
      <c r="F99" s="2" t="str">
        <f>HYPERLINK("https://muckrack.com/glenn-marini")</f>
        <v>https://muckrack.com/glenn-marini</v>
      </c>
      <c r="G99" s="2">
        <v>13992</v>
      </c>
      <c r="H99" s="2" t="s">
        <v>460</v>
      </c>
      <c r="I99" s="2" t="s">
        <v>461</v>
      </c>
      <c r="J99" s="2" t="s">
        <v>279</v>
      </c>
      <c r="K99" s="2" t="s">
        <v>44</v>
      </c>
      <c r="L99" s="2" t="s">
        <v>527</v>
      </c>
      <c r="M99" s="4">
        <v>45705.583865740737</v>
      </c>
      <c r="N99" s="2" t="str">
        <f>HYPERLINK("http://twitter.com/GlennMariniWANE/status/1891563459285803255")</f>
        <v>http://twitter.com/GlennMariniWANE/status/1891563459285803255</v>
      </c>
      <c r="O99" s="2" t="str">
        <f>HYPERLINK("https://www.wane.com/sports/komets/komets-corner-episode-11-february-17/")</f>
        <v>https://www.wane.com/sports/komets/komets-corner-episode-11-february-17/</v>
      </c>
    </row>
    <row r="100" spans="1:15" ht="79.2" x14ac:dyDescent="0.3">
      <c r="A100" s="2" t="s">
        <v>395</v>
      </c>
      <c r="B100" s="2" t="s">
        <v>396</v>
      </c>
      <c r="C100" s="2" t="s">
        <v>397</v>
      </c>
      <c r="D100" s="2" t="s">
        <v>398</v>
      </c>
      <c r="E100" s="2" t="str">
        <f>HYPERLINK("http://twitter.com/jawsfort")</f>
        <v>http://twitter.com/jawsfort</v>
      </c>
      <c r="F100" s="2" t="str">
        <f>HYPERLINK("https://muckrack.com/jawsfort")</f>
        <v>https://muckrack.com/jawsfort</v>
      </c>
      <c r="G100" s="2">
        <v>774</v>
      </c>
      <c r="H100" s="2" t="s">
        <v>391</v>
      </c>
      <c r="I100" s="2" t="s">
        <v>399</v>
      </c>
      <c r="J100" s="2" t="s">
        <v>400</v>
      </c>
      <c r="K100" s="2" t="s">
        <v>40</v>
      </c>
      <c r="L100" s="2" t="s">
        <v>528</v>
      </c>
      <c r="M100" s="4">
        <v>45702.008263888893</v>
      </c>
      <c r="N100" s="2" t="str">
        <f>HYPERLINK("http://twitter.com/jawsfort/status/1890267701505061176")</f>
        <v>http://twitter.com/jawsfort/status/1890267701505061176</v>
      </c>
      <c r="O100" s="2" t="str">
        <f>HYPERLINK("https://www.journalgazette.net/sports/komets-depth-to-be-tested-during-grueling-upcoming-stretch/article_11b80132-ea5e-11ef-b7cf-33a6e246eac2.html")</f>
        <v>https://www.journalgazette.net/sports/komets-depth-to-be-tested-during-grueling-upcoming-stretch/article_11b80132-ea5e-11ef-b7cf-33a6e246eac2.html</v>
      </c>
    </row>
    <row r="101" spans="1:15" ht="52.8" x14ac:dyDescent="0.3">
      <c r="A101" s="2" t="s">
        <v>230</v>
      </c>
      <c r="B101" s="2" t="s">
        <v>437</v>
      </c>
      <c r="C101" s="2"/>
      <c r="D101" s="2" t="s">
        <v>438</v>
      </c>
      <c r="E101" s="2" t="str">
        <f>HYPERLINK("http://twitter.com/GregBoysen")</f>
        <v>http://twitter.com/GregBoysen</v>
      </c>
      <c r="F101" s="2" t="str">
        <f>HYPERLINK("https://muckrack.com/greg-boysen")</f>
        <v>https://muckrack.com/greg-boysen</v>
      </c>
      <c r="G101" s="2">
        <v>6016</v>
      </c>
      <c r="H101" s="2" t="s">
        <v>439</v>
      </c>
      <c r="I101" s="2" t="s">
        <v>440</v>
      </c>
      <c r="J101" s="2" t="s">
        <v>441</v>
      </c>
      <c r="K101" s="2" t="s">
        <v>231</v>
      </c>
      <c r="L101" s="2" t="s">
        <v>529</v>
      </c>
      <c r="M101" s="4">
        <v>45700.422685185193</v>
      </c>
      <c r="N101" s="2" t="str">
        <f>HYPERLINK("http://twitter.com/GregBoysen/status/1889693109824458763")</f>
        <v>http://twitter.com/GregBoysen/status/1889693109824458763</v>
      </c>
      <c r="O101" s="2" t="str">
        <f>HYPERLINK("https://chicagohockeynow.com/2025/02/12/blackhawks-icehogs-prospects-artyom-levshunov-scores-nhl-trade-rumors/")</f>
        <v>https://chicagohockeynow.com/2025/02/12/blackhawks-icehogs-prospects-artyom-levshunov-scores-nhl-trade-rumors/</v>
      </c>
    </row>
    <row r="102" spans="1:15" ht="52.8" x14ac:dyDescent="0.3">
      <c r="A102" s="2" t="s">
        <v>530</v>
      </c>
      <c r="B102" s="2" t="s">
        <v>531</v>
      </c>
      <c r="C102" s="2" t="s">
        <v>532</v>
      </c>
      <c r="D102" s="2" t="s">
        <v>533</v>
      </c>
      <c r="E102" s="2" t="str">
        <f>HYPERLINK("http://twitter.com/The1Tab")</f>
        <v>http://twitter.com/The1Tab</v>
      </c>
      <c r="F102" s="2" t="str">
        <f>HYPERLINK("https://muckrack.com/tab-bamford")</f>
        <v>https://muckrack.com/tab-bamford</v>
      </c>
      <c r="G102" s="2">
        <v>47869</v>
      </c>
      <c r="H102" s="2" t="s">
        <v>534</v>
      </c>
      <c r="I102" s="2" t="s">
        <v>535</v>
      </c>
      <c r="J102" s="2" t="s">
        <v>400</v>
      </c>
      <c r="K102" s="2" t="s">
        <v>536</v>
      </c>
      <c r="L102" s="2" t="s">
        <v>537</v>
      </c>
      <c r="M102" s="4">
        <v>45696.585474537038</v>
      </c>
      <c r="N102" s="2" t="str">
        <f>HYPERLINK("http://twitter.com/The1Tab/status/1888302551835238441")</f>
        <v>http://twitter.com/The1Tab/status/1888302551835238441</v>
      </c>
      <c r="O102" s="2" t="str">
        <f>HYPERLINK("https://icehogs.com/news/icehogs-recall-goaltender-ben-gaudreau")</f>
        <v>https://icehogs.com/news/icehogs-recall-goaltender-ben-gaudreau</v>
      </c>
    </row>
    <row r="103" spans="1:15" ht="79.2" x14ac:dyDescent="0.3">
      <c r="A103" s="2" t="s">
        <v>395</v>
      </c>
      <c r="B103" s="2" t="s">
        <v>396</v>
      </c>
      <c r="C103" s="2" t="s">
        <v>397</v>
      </c>
      <c r="D103" s="2" t="s">
        <v>398</v>
      </c>
      <c r="E103" s="2" t="str">
        <f>HYPERLINK("http://twitter.com/jawsfort")</f>
        <v>http://twitter.com/jawsfort</v>
      </c>
      <c r="F103" s="2" t="str">
        <f>HYPERLINK("https://muckrack.com/jawsfort")</f>
        <v>https://muckrack.com/jawsfort</v>
      </c>
      <c r="G103" s="2">
        <v>774</v>
      </c>
      <c r="H103" s="2" t="s">
        <v>391</v>
      </c>
      <c r="I103" s="2" t="s">
        <v>399</v>
      </c>
      <c r="J103" s="2" t="s">
        <v>400</v>
      </c>
      <c r="K103" s="2" t="s">
        <v>40</v>
      </c>
      <c r="L103" s="2" t="s">
        <v>538</v>
      </c>
      <c r="M103" s="4">
        <v>45695.972395833327</v>
      </c>
      <c r="N103" s="2" t="str">
        <f>HYPERLINK("http://twitter.com/jawsfort/status/1888080377870196984")</f>
        <v>http://twitter.com/jawsfort/status/1888080377870196984</v>
      </c>
      <c r="O103" s="2" t="str">
        <f>HYPERLINK("https://www.journalgazette.net/sports/professional/komets/walleye-score-three-straight-goals-komets-comeback-falls-short/article_8cfad788-e5cd-11ef-bdc2-a38c3116f7b0.html")</f>
        <v>https://www.journalgazette.net/sports/professional/komets/walleye-score-three-straight-goals-komets-comeback-falls-short/article_8cfad788-e5cd-11ef-bdc2-a38c3116f7b0.html</v>
      </c>
    </row>
    <row r="104" spans="1:15" ht="79.2" x14ac:dyDescent="0.3">
      <c r="A104" s="2" t="s">
        <v>395</v>
      </c>
      <c r="B104" s="2" t="s">
        <v>396</v>
      </c>
      <c r="C104" s="2" t="s">
        <v>397</v>
      </c>
      <c r="D104" s="2" t="s">
        <v>398</v>
      </c>
      <c r="E104" s="2" t="str">
        <f>HYPERLINK("http://twitter.com/jawsfort")</f>
        <v>http://twitter.com/jawsfort</v>
      </c>
      <c r="F104" s="2" t="str">
        <f>HYPERLINK("https://muckrack.com/jawsfort")</f>
        <v>https://muckrack.com/jawsfort</v>
      </c>
      <c r="G104" s="2">
        <v>774</v>
      </c>
      <c r="H104" s="2" t="s">
        <v>391</v>
      </c>
      <c r="I104" s="2" t="s">
        <v>399</v>
      </c>
      <c r="J104" s="2" t="s">
        <v>400</v>
      </c>
      <c r="K104" s="2" t="s">
        <v>40</v>
      </c>
      <c r="L104" s="2" t="s">
        <v>539</v>
      </c>
      <c r="M104" s="4">
        <v>45696.590185185189</v>
      </c>
      <c r="N104" s="2" t="str">
        <f>HYPERLINK("http://twitter.com/jawsfort/status/1888304255318343681")</f>
        <v>http://twitter.com/jawsfort/status/1888304255318343681</v>
      </c>
      <c r="O104" s="2" t="str">
        <f>HYPERLINK("https://www.journalgazette.net/sports/professional/komets/walleye-score-three-straight-goals-komets-comeback-falls-short/article_8cfad788-e5cd-11ef-bdc2-a38c3116f7b0.html")</f>
        <v>https://www.journalgazette.net/sports/professional/komets/walleye-score-three-straight-goals-komets-comeback-falls-short/article_8cfad788-e5cd-11ef-bdc2-a38c3116f7b0.html</v>
      </c>
    </row>
    <row r="105" spans="1:15" ht="66" x14ac:dyDescent="0.3">
      <c r="A105" s="2" t="s">
        <v>235</v>
      </c>
      <c r="B105" s="2" t="s">
        <v>274</v>
      </c>
      <c r="C105" s="2" t="s">
        <v>472</v>
      </c>
      <c r="D105" s="2" t="s">
        <v>473</v>
      </c>
      <c r="E105" s="2" t="str">
        <f>HYPERLINK("http://twitter.com/Vicky_Jacobsen")</f>
        <v>http://twitter.com/Vicky_Jacobsen</v>
      </c>
      <c r="F105" s="2" t="str">
        <f>HYPERLINK("https://muckrack.com/victoria-jacobsen")</f>
        <v>https://muckrack.com/victoria-jacobsen</v>
      </c>
      <c r="G105" s="2">
        <v>2172</v>
      </c>
      <c r="H105" s="2" t="s">
        <v>391</v>
      </c>
      <c r="I105" s="2" t="s">
        <v>474</v>
      </c>
      <c r="J105" s="2" t="s">
        <v>279</v>
      </c>
      <c r="K105" s="2" t="s">
        <v>40</v>
      </c>
      <c r="L105" s="2" t="s">
        <v>540</v>
      </c>
      <c r="M105" s="4">
        <v>45695.829641203702</v>
      </c>
      <c r="N105" s="2" t="str">
        <f>HYPERLINK("http://twitter.com/Vicky_Jacobsen/status/1888028643227557909")</f>
        <v>http://twitter.com/Vicky_Jacobsen/status/1888028643227557909</v>
      </c>
      <c r="O105" s="2" t="str">
        <f>HYPERLINK("https://www.journalgazette.net/sports/pregame-blog-toledo-walleye-29-10-6-at-komets-26-15-1/article_dd3a7408-e5b2-11ef-bf33-e76442040e7d.html")</f>
        <v>https://www.journalgazette.net/sports/pregame-blog-toledo-walleye-29-10-6-at-komets-26-15-1/article_dd3a7408-e5b2-11ef-bf33-e76442040e7d.html</v>
      </c>
    </row>
    <row r="106" spans="1:15" ht="66" x14ac:dyDescent="0.3">
      <c r="A106" s="2" t="s">
        <v>395</v>
      </c>
      <c r="B106" s="2" t="s">
        <v>396</v>
      </c>
      <c r="C106" s="2" t="s">
        <v>397</v>
      </c>
      <c r="D106" s="2" t="s">
        <v>398</v>
      </c>
      <c r="E106" s="2" t="str">
        <f>HYPERLINK("http://twitter.com/jawsfort")</f>
        <v>http://twitter.com/jawsfort</v>
      </c>
      <c r="F106" s="2" t="str">
        <f>HYPERLINK("https://muckrack.com/jawsfort")</f>
        <v>https://muckrack.com/jawsfort</v>
      </c>
      <c r="G106" s="2">
        <v>774</v>
      </c>
      <c r="H106" s="2" t="s">
        <v>391</v>
      </c>
      <c r="I106" s="2" t="s">
        <v>399</v>
      </c>
      <c r="J106" s="2" t="s">
        <v>400</v>
      </c>
      <c r="K106" s="2" t="s">
        <v>40</v>
      </c>
      <c r="L106" s="2" t="s">
        <v>541</v>
      </c>
      <c r="M106" s="4">
        <v>45695.836793981478</v>
      </c>
      <c r="N106" s="2" t="str">
        <f>HYPERLINK("http://twitter.com/jawsfort/status/1888031236586713237")</f>
        <v>http://twitter.com/jawsfort/status/1888031236586713237</v>
      </c>
      <c r="O106" s="2" t="str">
        <f>HYPERLINK("https://www.journalgazette.net/sports/pregame-blog-toledo-walleye-29-10-6-at-komets-26-15-1/article_dd3a7408-e5b2-11ef-bf33-e76442040e7d.html")</f>
        <v>https://www.journalgazette.net/sports/pregame-blog-toledo-walleye-29-10-6-at-komets-26-15-1/article_dd3a7408-e5b2-11ef-bf33-e76442040e7d.html</v>
      </c>
    </row>
    <row r="107" spans="1:15" ht="66" x14ac:dyDescent="0.3">
      <c r="A107" s="2" t="s">
        <v>395</v>
      </c>
      <c r="B107" s="2" t="s">
        <v>396</v>
      </c>
      <c r="C107" s="2" t="s">
        <v>397</v>
      </c>
      <c r="D107" s="2" t="s">
        <v>398</v>
      </c>
      <c r="E107" s="2" t="str">
        <f>HYPERLINK("http://twitter.com/jawsfort")</f>
        <v>http://twitter.com/jawsfort</v>
      </c>
      <c r="F107" s="2" t="str">
        <f>HYPERLINK("https://muckrack.com/jawsfort")</f>
        <v>https://muckrack.com/jawsfort</v>
      </c>
      <c r="G107" s="2">
        <v>774</v>
      </c>
      <c r="H107" s="2" t="s">
        <v>391</v>
      </c>
      <c r="I107" s="2" t="s">
        <v>399</v>
      </c>
      <c r="J107" s="2" t="s">
        <v>400</v>
      </c>
      <c r="K107" s="2" t="s">
        <v>40</v>
      </c>
      <c r="L107" s="2" t="s">
        <v>542</v>
      </c>
      <c r="M107" s="4">
        <v>45692.799780092602</v>
      </c>
      <c r="N107" s="2" t="str">
        <f>HYPERLINK("http://twitter.com/jawsfort/status/1886930660624916628")</f>
        <v>http://twitter.com/jawsfort/status/1886930660624916628</v>
      </c>
      <c r="O107" s="2" t="str">
        <f>HYPERLINK("https://www.journalgazette.net/sports/professional/komets/three-komets-suspended-for-a-total-of-five-games-after-fight-with-fuel/article_ec9e161c-e34a-11ef-9227-630310097354.html")</f>
        <v>https://www.journalgazette.net/sports/professional/komets/three-komets-suspended-for-a-total-of-five-games-after-fight-with-fuel/article_ec9e161c-e34a-11ef-9227-630310097354.html</v>
      </c>
    </row>
    <row r="108" spans="1:15" ht="79.2" x14ac:dyDescent="0.3">
      <c r="A108" s="2" t="s">
        <v>232</v>
      </c>
      <c r="B108" s="2" t="s">
        <v>286</v>
      </c>
      <c r="C108" s="2" t="s">
        <v>458</v>
      </c>
      <c r="D108" s="2" t="s">
        <v>459</v>
      </c>
      <c r="E108" s="2" t="str">
        <f>HYPERLINK("http://twitter.com/GlennMariniWANE")</f>
        <v>http://twitter.com/GlennMariniWANE</v>
      </c>
      <c r="F108" s="2" t="str">
        <f>HYPERLINK("https://muckrack.com/glenn-marini")</f>
        <v>https://muckrack.com/glenn-marini</v>
      </c>
      <c r="G108" s="2">
        <v>13992</v>
      </c>
      <c r="H108" s="2" t="s">
        <v>460</v>
      </c>
      <c r="I108" s="2" t="s">
        <v>461</v>
      </c>
      <c r="J108" s="2" t="s">
        <v>279</v>
      </c>
      <c r="K108" s="2" t="s">
        <v>44</v>
      </c>
      <c r="L108" s="2" t="s">
        <v>543</v>
      </c>
      <c r="M108" s="4">
        <v>45691.56591435185</v>
      </c>
      <c r="N108" s="2" t="str">
        <f>HYPERLINK("http://twitter.com/GlennMariniWANE/status/1886483523751829638")</f>
        <v>http://twitter.com/GlennMariniWANE/status/1886483523751829638</v>
      </c>
      <c r="O108" s="2" t="str">
        <f>HYPERLINK("https://www.wane.com/sports/komets/komets-corner-episode-9-february-3/")</f>
        <v>https://www.wane.com/sports/komets/komets-corner-episode-9-february-3/</v>
      </c>
    </row>
    <row r="109" spans="1:15" ht="79.2" x14ac:dyDescent="0.3">
      <c r="A109" s="2" t="s">
        <v>234</v>
      </c>
      <c r="B109" s="2" t="s">
        <v>467</v>
      </c>
      <c r="C109" s="2"/>
      <c r="D109" s="2" t="s">
        <v>468</v>
      </c>
      <c r="E109" s="2" t="str">
        <f>HYPERLINK("http://twitter.com/cjdubbya")</f>
        <v>http://twitter.com/cjdubbya</v>
      </c>
      <c r="F109" s="2" t="str">
        <f>HYPERLINK("https://muckrack.com/josh-patterson-1")</f>
        <v>https://muckrack.com/josh-patterson-1</v>
      </c>
      <c r="G109" s="2">
        <v>776</v>
      </c>
      <c r="H109" s="2" t="s">
        <v>391</v>
      </c>
      <c r="I109" s="2" t="s">
        <v>469</v>
      </c>
      <c r="J109" s="2" t="s">
        <v>325</v>
      </c>
      <c r="K109" s="2" t="s">
        <v>40</v>
      </c>
      <c r="L109" s="2" t="s">
        <v>544</v>
      </c>
      <c r="M109" s="4">
        <v>45690.962835648148</v>
      </c>
      <c r="N109" s="2" t="str">
        <f>HYPERLINK("http://twitter.com/cjdubbya/status/1886264974261014780")</f>
        <v>http://twitter.com/cjdubbya/status/1886264974261014780</v>
      </c>
      <c r="O109" s="2" t="str">
        <f>HYPERLINK("https://www.journalgazette.net/sports/professional/komets/fuel-fell-fort-wayne-in-fight-filled-final-moments-teams-combine-for-144-penalty-minutes/article_47a9e0aa-e1e2-11ef-8109-7744f07e01a1.html")</f>
        <v>https://www.journalgazette.net/sports/professional/komets/fuel-fell-fort-wayne-in-fight-filled-final-moments-teams-combine-for-144-penalty-minutes/article_47a9e0aa-e1e2-11ef-8109-7744f07e01a1.html</v>
      </c>
    </row>
    <row r="110" spans="1:15" ht="79.2" x14ac:dyDescent="0.3">
      <c r="A110" s="2" t="s">
        <v>228</v>
      </c>
      <c r="B110" s="2" t="s">
        <v>423</v>
      </c>
      <c r="C110" s="2" t="s">
        <v>424</v>
      </c>
      <c r="D110" s="2" t="s">
        <v>425</v>
      </c>
      <c r="E110" s="2" t="str">
        <f>HYPERLINK("http://twitter.com/DylanSinn")</f>
        <v>http://twitter.com/DylanSinn</v>
      </c>
      <c r="F110" s="2" t="str">
        <f>HYPERLINK("https://muckrack.com/dylan-sinn")</f>
        <v>https://muckrack.com/dylan-sinn</v>
      </c>
      <c r="G110" s="2">
        <v>2119</v>
      </c>
      <c r="H110" s="2"/>
      <c r="I110" s="2" t="s">
        <v>426</v>
      </c>
      <c r="J110" s="2" t="s">
        <v>325</v>
      </c>
      <c r="K110" s="2" t="s">
        <v>40</v>
      </c>
      <c r="L110" s="2" t="s">
        <v>545</v>
      </c>
      <c r="M110" s="4">
        <v>45689.809629629628</v>
      </c>
      <c r="N110" s="2" t="str">
        <f>HYPERLINK("http://twitter.com/DylanSinn/status/1885847066397598060")</f>
        <v>http://twitter.com/DylanSinn/status/1885847066397598060</v>
      </c>
      <c r="O110" s="2" t="str">
        <f>HYPERLINK("https://www.journalgazette.net/sports/professional/komets/pregame-komets-25-14-1-vs-wheeling-nailers-28-10-2/article_ecd0a196-e0f6-11ef-8c09-7771ff4e9110.html")</f>
        <v>https://www.journalgazette.net/sports/professional/komets/pregame-komets-25-14-1-vs-wheeling-nailers-28-10-2/article_ecd0a196-e0f6-11ef-8c09-7771ff4e9110.html</v>
      </c>
    </row>
    <row r="111" spans="1:15" ht="66" x14ac:dyDescent="0.3">
      <c r="A111" s="2" t="s">
        <v>546</v>
      </c>
      <c r="B111" s="2" t="s">
        <v>547</v>
      </c>
      <c r="C111" s="2" t="s">
        <v>548</v>
      </c>
      <c r="D111" s="2" t="s">
        <v>549</v>
      </c>
      <c r="E111" s="2" t="str">
        <f>HYPERLINK("http://twitter.com/HaggertyNancy")</f>
        <v>http://twitter.com/HaggertyNancy</v>
      </c>
      <c r="F111" s="2" t="str">
        <f>HYPERLINK("https://muckrack.com/nancy-haggerty")</f>
        <v>https://muckrack.com/nancy-haggerty</v>
      </c>
      <c r="G111" s="2">
        <v>5864</v>
      </c>
      <c r="H111" s="2" t="s">
        <v>550</v>
      </c>
      <c r="I111" s="2" t="s">
        <v>551</v>
      </c>
      <c r="J111" s="2" t="s">
        <v>400</v>
      </c>
      <c r="K111" s="2" t="s">
        <v>244</v>
      </c>
      <c r="L111" s="2" t="s">
        <v>552</v>
      </c>
      <c r="M111" s="4">
        <v>45689.398645833331</v>
      </c>
      <c r="N111" s="2" t="str">
        <f>HYPERLINK("http://twitter.com/HaggertyNancy/status/1885698131922420096")</f>
        <v>http://twitter.com/HaggertyNancy/status/1885698131922420096</v>
      </c>
      <c r="O111" s="2" t="str">
        <f>HYPERLINK("https://www.lohud.com/story/sports/college/2025/02/01/liam-mclinskey-holy-cross-pearl-river-ny-don-bosco-hobey-baker-award/78122094007/")</f>
        <v>https://www.lohud.com/story/sports/college/2025/02/01/liam-mclinskey-holy-cross-pearl-river-ny-don-bosco-hobey-baker-award/78122094007/</v>
      </c>
    </row>
    <row r="112" spans="1:15" ht="79.2" x14ac:dyDescent="0.3">
      <c r="A112" s="2" t="s">
        <v>395</v>
      </c>
      <c r="B112" s="2" t="s">
        <v>396</v>
      </c>
      <c r="C112" s="2" t="s">
        <v>397</v>
      </c>
      <c r="D112" s="2" t="s">
        <v>398</v>
      </c>
      <c r="E112" s="2" t="str">
        <f>HYPERLINK("http://twitter.com/jawsfort")</f>
        <v>http://twitter.com/jawsfort</v>
      </c>
      <c r="F112" s="2" t="str">
        <f>HYPERLINK("https://muckrack.com/jawsfort")</f>
        <v>https://muckrack.com/jawsfort</v>
      </c>
      <c r="G112" s="2">
        <v>774</v>
      </c>
      <c r="H112" s="2" t="s">
        <v>391</v>
      </c>
      <c r="I112" s="2" t="s">
        <v>399</v>
      </c>
      <c r="J112" s="2" t="s">
        <v>400</v>
      </c>
      <c r="K112" s="2" t="s">
        <v>40</v>
      </c>
      <c r="L112" s="2" t="s">
        <v>553</v>
      </c>
      <c r="M112" s="4">
        <v>45688.952592592592</v>
      </c>
      <c r="N112" s="2" t="str">
        <f>HYPERLINK("http://twitter.com/jawsfort/status/1885536487237627983")</f>
        <v>http://twitter.com/jawsfort/status/1885536487237627983</v>
      </c>
      <c r="O112" s="2" t="str">
        <f>HYPERLINK("https://www.journalgazette.net/sports/komets-fall-short-at-toledo/article_d56aa99e-e02d-11ef-8594-f7bcd6249f05.html")</f>
        <v>https://www.journalgazette.net/sports/komets-fall-short-at-toledo/article_d56aa99e-e02d-11ef-8594-f7bcd6249f05.html</v>
      </c>
    </row>
    <row r="113" spans="1:15" ht="52.8" x14ac:dyDescent="0.3">
      <c r="A113" s="2" t="s">
        <v>554</v>
      </c>
      <c r="B113" s="2" t="s">
        <v>437</v>
      </c>
      <c r="C113" s="2" t="s">
        <v>555</v>
      </c>
      <c r="D113" s="2" t="s">
        <v>556</v>
      </c>
      <c r="E113" s="2" t="str">
        <f>HYPERLINK("http://twitter.com/NicoleHaase")</f>
        <v>http://twitter.com/NicoleHaase</v>
      </c>
      <c r="F113" s="2" t="str">
        <f>HYPERLINK("https://muckrack.com/nicole-haase")</f>
        <v>https://muckrack.com/nicole-haase</v>
      </c>
      <c r="G113" s="2">
        <v>4347</v>
      </c>
      <c r="H113" s="2" t="s">
        <v>557</v>
      </c>
      <c r="I113" s="2" t="s">
        <v>558</v>
      </c>
      <c r="J113" s="2" t="s">
        <v>400</v>
      </c>
      <c r="K113" s="2" t="s">
        <v>559</v>
      </c>
      <c r="L113" s="2" t="s">
        <v>560</v>
      </c>
      <c r="M113" s="4">
        <v>45688.844953703701</v>
      </c>
      <c r="N113" s="2" t="str">
        <f>HYPERLINK("http://twitter.com/NicoleHaase/status/1885497478402715895")</f>
        <v>http://twitter.com/NicoleHaase/status/1885497478402715895</v>
      </c>
      <c r="O113" s="2" t="str">
        <f>HYPERLINK("https://www.sportsgirlsclub.com/post/breaking-barriers-and-the-ice-women-belong-in-hockey")</f>
        <v>https://www.sportsgirlsclub.com/post/breaking-barriers-and-the-ice-women-belong-in-hockey</v>
      </c>
    </row>
    <row r="114" spans="1:15" ht="66" x14ac:dyDescent="0.3">
      <c r="A114" s="2" t="s">
        <v>561</v>
      </c>
      <c r="B114" s="2" t="s">
        <v>562</v>
      </c>
      <c r="C114" s="2" t="s">
        <v>563</v>
      </c>
      <c r="D114" s="2" t="s">
        <v>564</v>
      </c>
      <c r="E114" s="2" t="str">
        <f>HYPERLINK("http://twitter.com/kaitlin_lange")</f>
        <v>http://twitter.com/kaitlin_lange</v>
      </c>
      <c r="F114" s="2" t="str">
        <f>HYPERLINK("https://muckrack.com/kaitlin-lange")</f>
        <v>https://muckrack.com/kaitlin-lange</v>
      </c>
      <c r="G114" s="2">
        <v>8502</v>
      </c>
      <c r="H114" s="2" t="s">
        <v>521</v>
      </c>
      <c r="I114" s="2" t="s">
        <v>565</v>
      </c>
      <c r="J114" s="2" t="s">
        <v>566</v>
      </c>
      <c r="K114" s="2" t="s">
        <v>237</v>
      </c>
      <c r="L114" s="2" t="s">
        <v>567</v>
      </c>
      <c r="M114" s="4">
        <v>45688.573831018519</v>
      </c>
      <c r="N114" s="2" t="str">
        <f>HYPERLINK("http://twitter.com/kaitlin_lange/status/1885399228962193758")</f>
        <v>http://twitter.com/kaitlin_lange/status/1885399228962193758</v>
      </c>
      <c r="O114" s="2" t="str">
        <f>HYPERLINK("https://www.indystar.com/story/news/local/hamilton-county/fishers/2025/01/31/fishers-nickel-plate-trail-strengthened-iu-health-naming-rights/78084258007/")</f>
        <v>https://www.indystar.com/story/news/local/hamilton-county/fishers/2025/01/31/fishers-nickel-plate-trail-strengthened-iu-health-naming-rights/78084258007/</v>
      </c>
    </row>
    <row r="115" spans="1:15" ht="66" x14ac:dyDescent="0.3">
      <c r="A115" s="2" t="s">
        <v>395</v>
      </c>
      <c r="B115" s="2" t="s">
        <v>396</v>
      </c>
      <c r="C115" s="2" t="s">
        <v>397</v>
      </c>
      <c r="D115" s="2" t="s">
        <v>398</v>
      </c>
      <c r="E115" s="2" t="str">
        <f>HYPERLINK("http://twitter.com/jawsfort")</f>
        <v>http://twitter.com/jawsfort</v>
      </c>
      <c r="F115" s="2" t="str">
        <f>HYPERLINK("https://muckrack.com/jawsfort")</f>
        <v>https://muckrack.com/jawsfort</v>
      </c>
      <c r="G115" s="2">
        <v>774</v>
      </c>
      <c r="H115" s="2" t="s">
        <v>391</v>
      </c>
      <c r="I115" s="2" t="s">
        <v>399</v>
      </c>
      <c r="J115" s="2" t="s">
        <v>400</v>
      </c>
      <c r="K115" s="2" t="s">
        <v>40</v>
      </c>
      <c r="L115" s="2" t="s">
        <v>568</v>
      </c>
      <c r="M115" s="4">
        <v>45688.038761574076</v>
      </c>
      <c r="N115" s="2" t="str">
        <f>HYPERLINK("http://twitter.com/jawsfort/status/1885205324728049696")</f>
        <v>http://twitter.com/jawsfort/status/1885205324728049696</v>
      </c>
      <c r="O115" s="2" t="str">
        <f>HYPERLINK("https://www.journalgazette.net/sports/professional/komets/komets-surge-into-crucial-weekend-with-toledo-first-up/article_08aa49ea-df43-11ef-bd81-03033bd26a97.html")</f>
        <v>https://www.journalgazette.net/sports/professional/komets/komets-surge-into-crucial-weekend-with-toledo-first-up/article_08aa49ea-df43-11ef-bd81-03033bd26a97.html</v>
      </c>
    </row>
    <row r="116" spans="1:15" ht="92.4" x14ac:dyDescent="0.3">
      <c r="A116" s="2" t="s">
        <v>228</v>
      </c>
      <c r="B116" s="2" t="s">
        <v>423</v>
      </c>
      <c r="C116" s="2" t="s">
        <v>424</v>
      </c>
      <c r="D116" s="2" t="s">
        <v>425</v>
      </c>
      <c r="E116" s="2" t="str">
        <f>HYPERLINK("http://twitter.com/DylanSinn")</f>
        <v>http://twitter.com/DylanSinn</v>
      </c>
      <c r="F116" s="2" t="str">
        <f>HYPERLINK("https://muckrack.com/dylan-sinn")</f>
        <v>https://muckrack.com/dylan-sinn</v>
      </c>
      <c r="G116" s="2">
        <v>2119</v>
      </c>
      <c r="H116" s="2"/>
      <c r="I116" s="2" t="s">
        <v>426</v>
      </c>
      <c r="J116" s="2" t="s">
        <v>325</v>
      </c>
      <c r="K116" s="2" t="s">
        <v>40</v>
      </c>
      <c r="L116" s="2" t="s">
        <v>569</v>
      </c>
      <c r="M116" s="4">
        <v>45689.799467592587</v>
      </c>
      <c r="N116" s="2" t="str">
        <f>HYPERLINK("http://twitter.com/DylanSinn/status/1885843385136652420")</f>
        <v>http://twitter.com/DylanSinn/status/1885843385136652420</v>
      </c>
      <c r="O116" s="2" t="str">
        <f>HYPERLINK("https://www.journalgazette.net/sports/professional/komets/komets-surge-into-crucial-weekend-with-toledo-first-up/article_08aa49ea-df43-11ef-bd81-03033bd26a97.html")</f>
        <v>https://www.journalgazette.net/sports/professional/komets/komets-surge-into-crucial-weekend-with-toledo-first-up/article_08aa49ea-df43-11ef-bd81-03033bd26a97.html</v>
      </c>
    </row>
    <row r="117" spans="1:15" ht="39.6" x14ac:dyDescent="0.3">
      <c r="A117" s="2" t="s">
        <v>570</v>
      </c>
      <c r="B117" s="2" t="s">
        <v>571</v>
      </c>
      <c r="C117" s="2" t="s">
        <v>572</v>
      </c>
      <c r="D117" s="2" t="s">
        <v>573</v>
      </c>
      <c r="E117" s="2" t="str">
        <f>HYPERLINK("http://twitter.com/JuddSpicer")</f>
        <v>http://twitter.com/JuddSpicer</v>
      </c>
      <c r="F117" s="2" t="str">
        <f>HYPERLINK("https://muckrack.com/judd-spicer")</f>
        <v>https://muckrack.com/judd-spicer</v>
      </c>
      <c r="G117" s="2">
        <v>960</v>
      </c>
      <c r="H117" s="2" t="s">
        <v>574</v>
      </c>
      <c r="I117" s="2" t="s">
        <v>575</v>
      </c>
      <c r="J117" s="2" t="s">
        <v>325</v>
      </c>
      <c r="K117" s="2" t="s">
        <v>576</v>
      </c>
      <c r="L117" s="2" t="s">
        <v>577</v>
      </c>
      <c r="M117" s="4">
        <v>45686.698460648149</v>
      </c>
      <c r="N117" s="2" t="str">
        <f>HYPERLINK("http://twitter.com/JuddSpicer/status/1884719615047057726")</f>
        <v>http://twitter.com/JuddSpicer/status/1884719615047057726</v>
      </c>
      <c r="O117" s="2" t="str">
        <f>HYPERLINK("https://echl.com/transactions")</f>
        <v>https://echl.com/transactions</v>
      </c>
    </row>
    <row r="118" spans="1:15" ht="79.2" x14ac:dyDescent="0.3">
      <c r="A118" s="2" t="s">
        <v>395</v>
      </c>
      <c r="B118" s="2" t="s">
        <v>396</v>
      </c>
      <c r="C118" s="2" t="s">
        <v>397</v>
      </c>
      <c r="D118" s="2" t="s">
        <v>398</v>
      </c>
      <c r="E118" s="2" t="str">
        <f>HYPERLINK("http://twitter.com/jawsfort")</f>
        <v>http://twitter.com/jawsfort</v>
      </c>
      <c r="F118" s="2" t="str">
        <f>HYPERLINK("https://muckrack.com/jawsfort")</f>
        <v>https://muckrack.com/jawsfort</v>
      </c>
      <c r="G118" s="2">
        <v>774</v>
      </c>
      <c r="H118" s="2" t="s">
        <v>391</v>
      </c>
      <c r="I118" s="2" t="s">
        <v>399</v>
      </c>
      <c r="J118" s="2" t="s">
        <v>400</v>
      </c>
      <c r="K118" s="2" t="s">
        <v>40</v>
      </c>
      <c r="L118" s="2" t="s">
        <v>578</v>
      </c>
      <c r="M118" s="4">
        <v>45684.889270833337</v>
      </c>
      <c r="N118" s="2" t="str">
        <f>HYPERLINK("http://twitter.com/jawsfort/status/1884063986637037660")</f>
        <v>http://twitter.com/jawsfort/status/1884063986637037660</v>
      </c>
      <c r="O118" s="2" t="str">
        <f>HYPERLINK("https://www.journalgazette.net/sports/professional/komets/komets-finish-winning-weekend-with-rout-of-tahoe/article_1da03976-dc51-11ef-a002-df871e12cfe1.html")</f>
        <v>https://www.journalgazette.net/sports/professional/komets/komets-finish-winning-weekend-with-rout-of-tahoe/article_1da03976-dc51-11ef-a002-df871e12cfe1.html</v>
      </c>
    </row>
    <row r="119" spans="1:15" ht="79.2" x14ac:dyDescent="0.3">
      <c r="A119" s="2" t="s">
        <v>579</v>
      </c>
      <c r="B119" s="2" t="s">
        <v>580</v>
      </c>
      <c r="C119" s="2" t="s">
        <v>581</v>
      </c>
      <c r="D119" s="2" t="s">
        <v>582</v>
      </c>
      <c r="E119" s="2" t="str">
        <f>HYPERLINK("http://twitter.com/olivia___jacobs")</f>
        <v>http://twitter.com/olivia___jacobs</v>
      </c>
      <c r="F119" s="2" t="str">
        <f>HYPERLINK("https://muckrack.com/olivia-jacobs")</f>
        <v>https://muckrack.com/olivia-jacobs</v>
      </c>
      <c r="G119" s="2">
        <v>371</v>
      </c>
      <c r="H119" s="2" t="s">
        <v>583</v>
      </c>
      <c r="I119" s="2" t="s">
        <v>584</v>
      </c>
      <c r="J119" s="2"/>
      <c r="K119" s="2" t="s">
        <v>73</v>
      </c>
      <c r="L119" s="2" t="s">
        <v>585</v>
      </c>
      <c r="M119" s="4">
        <v>45683.455277777779</v>
      </c>
      <c r="N119" s="2" t="str">
        <f>HYPERLINK("http://twitter.com/olivia___jacobs/status/1883544325642182881")</f>
        <v>http://twitter.com/olivia___jacobs/status/1883544325642182881</v>
      </c>
      <c r="O119" s="2" t="str">
        <f>HYPERLINK("https://pantagraph.com/sports/professional/hockey/minor/bloomington-bison-goaltender-yaniv-perets-shutout-cincinnati-cyclones/article_18c4f5fe-db75-11ef-b15e-0757f60e9936.html")</f>
        <v>https://pantagraph.com/sports/professional/hockey/minor/bloomington-bison-goaltender-yaniv-perets-shutout-cincinnati-cyclones/article_18c4f5fe-db75-11ef-b15e-0757f60e9936.html</v>
      </c>
    </row>
    <row r="120" spans="1:15" ht="79.2" x14ac:dyDescent="0.3">
      <c r="A120" s="2" t="s">
        <v>579</v>
      </c>
      <c r="B120" s="2" t="s">
        <v>580</v>
      </c>
      <c r="C120" s="2" t="s">
        <v>581</v>
      </c>
      <c r="D120" s="2" t="s">
        <v>582</v>
      </c>
      <c r="E120" s="2" t="str">
        <f>HYPERLINK("http://twitter.com/olivia___jacobs")</f>
        <v>http://twitter.com/olivia___jacobs</v>
      </c>
      <c r="F120" s="2" t="str">
        <f>HYPERLINK("https://muckrack.com/olivia-jacobs")</f>
        <v>https://muckrack.com/olivia-jacobs</v>
      </c>
      <c r="G120" s="2">
        <v>371</v>
      </c>
      <c r="H120" s="2" t="s">
        <v>583</v>
      </c>
      <c r="I120" s="2" t="s">
        <v>584</v>
      </c>
      <c r="J120" s="2"/>
      <c r="K120" s="2" t="s">
        <v>73</v>
      </c>
      <c r="L120" s="2" t="s">
        <v>586</v>
      </c>
      <c r="M120" s="4">
        <v>45681.991469907407</v>
      </c>
      <c r="N120" s="2" t="str">
        <f>HYPERLINK("http://twitter.com/olivia___jacobs/status/1883013859411456001")</f>
        <v>http://twitter.com/olivia___jacobs/status/1883013859411456001</v>
      </c>
      <c r="O120" s="2" t="str">
        <f>HYPERLINK("https://pantagraph.com/sports/professional/hockey/bloomington-bison-indy-fuel-game-canceled-due-to-unsafe-ice-conditions/article_5a521180-dac3-11ef-b611-d312b3a3bcca.html")</f>
        <v>https://pantagraph.com/sports/professional/hockey/bloomington-bison-indy-fuel-game-canceled-due-to-unsafe-ice-conditions/article_5a521180-dac3-11ef-b611-d312b3a3bcca.html</v>
      </c>
    </row>
    <row r="121" spans="1:15" ht="66" x14ac:dyDescent="0.3">
      <c r="A121" s="2" t="s">
        <v>360</v>
      </c>
      <c r="B121" s="2" t="s">
        <v>361</v>
      </c>
      <c r="C121" s="2" t="s">
        <v>362</v>
      </c>
      <c r="D121" s="2" t="s">
        <v>363</v>
      </c>
      <c r="E121" s="2" t="str">
        <f>HYPERLINK("http://twitter.com/onairwitheva")</f>
        <v>http://twitter.com/onairwitheva</v>
      </c>
      <c r="F121" s="2" t="str">
        <f>HYPERLINK("https://muckrack.com/eva-hallman")</f>
        <v>https://muckrack.com/eva-hallman</v>
      </c>
      <c r="G121" s="2">
        <v>837</v>
      </c>
      <c r="H121" s="2"/>
      <c r="I121" s="2" t="s">
        <v>364</v>
      </c>
      <c r="J121" s="2" t="s">
        <v>365</v>
      </c>
      <c r="K121" s="2" t="s">
        <v>44</v>
      </c>
      <c r="L121" s="2" t="s">
        <v>587</v>
      </c>
      <c r="M121" s="4">
        <v>45683.563333333332</v>
      </c>
      <c r="N121" s="2" t="str">
        <f>HYPERLINK("http://twitter.com/onairwitheva/status/1883583483244863522")</f>
        <v>http://twitter.com/onairwitheva/status/1883583483244863522</v>
      </c>
      <c r="O121" s="2" t="str">
        <f>HYPERLINK("https://www.indystar.com/picture-gallery/sports/2025/01/24/see-behind-the-scenes-with-indy-fuels-broadcaster-eva-hallman/77586766007/")</f>
        <v>https://www.indystar.com/picture-gallery/sports/2025/01/24/see-behind-the-scenes-with-indy-fuels-broadcaster-eva-hallman/77586766007/</v>
      </c>
    </row>
    <row r="122" spans="1:15" ht="66" x14ac:dyDescent="0.3">
      <c r="A122" s="2" t="s">
        <v>360</v>
      </c>
      <c r="B122" s="2" t="s">
        <v>361</v>
      </c>
      <c r="C122" s="2" t="s">
        <v>362</v>
      </c>
      <c r="D122" s="2" t="s">
        <v>363</v>
      </c>
      <c r="E122" s="2" t="str">
        <f>HYPERLINK("http://twitter.com/onairwitheva")</f>
        <v>http://twitter.com/onairwitheva</v>
      </c>
      <c r="F122" s="2" t="str">
        <f>HYPERLINK("https://muckrack.com/eva-hallman")</f>
        <v>https://muckrack.com/eva-hallman</v>
      </c>
      <c r="G122" s="2">
        <v>837</v>
      </c>
      <c r="H122" s="2"/>
      <c r="I122" s="2" t="s">
        <v>364</v>
      </c>
      <c r="J122" s="2" t="s">
        <v>365</v>
      </c>
      <c r="K122" s="2" t="s">
        <v>44</v>
      </c>
      <c r="L122" s="2" t="s">
        <v>588</v>
      </c>
      <c r="M122" s="4">
        <v>45683.56622685185</v>
      </c>
      <c r="N122" s="2" t="str">
        <f>HYPERLINK("http://twitter.com/onairwitheva/status/1883584533850972317")</f>
        <v>http://twitter.com/onairwitheva/status/1883584533850972317</v>
      </c>
      <c r="O122" s="2" t="str">
        <f>HYPERLINK("https://www.indystar.com/picture-gallery/sports/2025/01/24/see-behind-the-scenes-with-indy-fuels-broadcaster-eva-hallman/77586766007/")</f>
        <v>https://www.indystar.com/picture-gallery/sports/2025/01/24/see-behind-the-scenes-with-indy-fuels-broadcaster-eva-hallman/77586766007/</v>
      </c>
    </row>
    <row r="123" spans="1:15" ht="79.2" x14ac:dyDescent="0.3">
      <c r="A123" s="2" t="s">
        <v>579</v>
      </c>
      <c r="B123" s="2" t="s">
        <v>580</v>
      </c>
      <c r="C123" s="2" t="s">
        <v>581</v>
      </c>
      <c r="D123" s="2" t="s">
        <v>582</v>
      </c>
      <c r="E123" s="2" t="str">
        <f>HYPERLINK("http://twitter.com/olivia___jacobs")</f>
        <v>http://twitter.com/olivia___jacobs</v>
      </c>
      <c r="F123" s="2" t="str">
        <f>HYPERLINK("https://muckrack.com/olivia-jacobs")</f>
        <v>https://muckrack.com/olivia-jacobs</v>
      </c>
      <c r="G123" s="2">
        <v>371</v>
      </c>
      <c r="H123" s="2" t="s">
        <v>583</v>
      </c>
      <c r="I123" s="2" t="s">
        <v>584</v>
      </c>
      <c r="J123" s="2"/>
      <c r="K123" s="2" t="s">
        <v>73</v>
      </c>
      <c r="L123" s="2" t="s">
        <v>589</v>
      </c>
      <c r="M123" s="4">
        <v>45680.780902777777</v>
      </c>
      <c r="N123" s="2" t="str">
        <f>HYPERLINK("http://twitter.com/olivia___jacobs/status/1882575163449122931")</f>
        <v>http://twitter.com/olivia___jacobs/status/1882575163449122931</v>
      </c>
      <c r="O123" s="2" t="str">
        <f>HYPERLINK("https://pantagraph.com/life-entertainment/local/looking-for-something-to-do-this-weekend-in-central-illinois-heres-the-list/article_708634de-d444-11ef-965c-5baba0da6812.html")</f>
        <v>https://pantagraph.com/life-entertainment/local/looking-for-something-to-do-this-weekend-in-central-illinois-heres-the-list/article_708634de-d444-11ef-965c-5baba0da6812.html</v>
      </c>
    </row>
    <row r="124" spans="1:15" ht="79.2" x14ac:dyDescent="0.3">
      <c r="A124" s="2" t="s">
        <v>245</v>
      </c>
      <c r="B124" s="2" t="s">
        <v>590</v>
      </c>
      <c r="C124" s="2" t="s">
        <v>591</v>
      </c>
      <c r="D124" s="2" t="s">
        <v>592</v>
      </c>
      <c r="E124" s="2" t="str">
        <f>HYPERLINK("http://twitter.com/Adamkblat")</f>
        <v>http://twitter.com/Adamkblat</v>
      </c>
      <c r="F124" s="2" t="str">
        <f>HYPERLINK("https://muckrack.com/adam-kierszenblat")</f>
        <v>https://muckrack.com/adam-kierszenblat</v>
      </c>
      <c r="G124" s="2">
        <v>2213</v>
      </c>
      <c r="H124" s="2" t="s">
        <v>593</v>
      </c>
      <c r="I124" s="2" t="s">
        <v>594</v>
      </c>
      <c r="J124" s="2" t="s">
        <v>325</v>
      </c>
      <c r="K124" s="2" t="s">
        <v>595</v>
      </c>
      <c r="L124" s="2" t="s">
        <v>596</v>
      </c>
      <c r="M124" s="4">
        <v>45679.733796296299</v>
      </c>
      <c r="N124" s="2" t="str">
        <f>HYPERLINK("http://twitter.com/Adamkblat/status/1882195704384454981")</f>
        <v>http://twitter.com/Adamkblat/status/1882195704384454981</v>
      </c>
      <c r="O124" s="2" t="str">
        <f>HYPERLINK("https://kwings.com/news/2025/01/kalamazoo-forward-ben-berard-named-to-2024-25-echl-midseason-all-stars")</f>
        <v>https://kwings.com/news/2025/01/kalamazoo-forward-ben-berard-named-to-2024-25-echl-midseason-all-stars</v>
      </c>
    </row>
    <row r="125" spans="1:15" ht="79.2" x14ac:dyDescent="0.3">
      <c r="A125" s="2" t="s">
        <v>597</v>
      </c>
      <c r="B125" s="2" t="s">
        <v>598</v>
      </c>
      <c r="C125" s="2" t="s">
        <v>599</v>
      </c>
      <c r="D125" s="2" t="s">
        <v>600</v>
      </c>
      <c r="E125" s="2" t="str">
        <f>HYPERLINK("http://twitter.com/BenLypka")</f>
        <v>http://twitter.com/BenLypka</v>
      </c>
      <c r="F125" s="2" t="str">
        <f>HYPERLINK("https://muckrack.com/ben-lypka")</f>
        <v>https://muckrack.com/ben-lypka</v>
      </c>
      <c r="G125" s="2">
        <v>4640</v>
      </c>
      <c r="H125" s="2" t="s">
        <v>601</v>
      </c>
      <c r="I125" s="2" t="s">
        <v>602</v>
      </c>
      <c r="J125" s="2" t="s">
        <v>325</v>
      </c>
      <c r="K125" s="2" t="s">
        <v>603</v>
      </c>
      <c r="L125" s="2" t="s">
        <v>596</v>
      </c>
      <c r="M125" s="4">
        <v>45679.897662037038</v>
      </c>
      <c r="N125" s="2" t="str">
        <f>HYPERLINK("http://twitter.com/BenLypka/status/1882255088590397627")</f>
        <v>http://twitter.com/BenLypka/status/1882255088590397627</v>
      </c>
      <c r="O125" s="2" t="str">
        <f>HYPERLINK("https://kwings.com/news/2025/01/kalamazoo-forward-ben-berard-named-to-2024-25-echl-midseason-all-stars")</f>
        <v>https://kwings.com/news/2025/01/kalamazoo-forward-ben-berard-named-to-2024-25-echl-midseason-all-stars</v>
      </c>
    </row>
    <row r="126" spans="1:15" ht="52.8" x14ac:dyDescent="0.3">
      <c r="A126" s="2" t="s">
        <v>395</v>
      </c>
      <c r="B126" s="2" t="s">
        <v>396</v>
      </c>
      <c r="C126" s="2" t="s">
        <v>397</v>
      </c>
      <c r="D126" s="2" t="s">
        <v>398</v>
      </c>
      <c r="E126" s="2" t="str">
        <f>HYPERLINK("http://twitter.com/jawsfort")</f>
        <v>http://twitter.com/jawsfort</v>
      </c>
      <c r="F126" s="2" t="str">
        <f>HYPERLINK("https://muckrack.com/jawsfort")</f>
        <v>https://muckrack.com/jawsfort</v>
      </c>
      <c r="G126" s="2">
        <v>774</v>
      </c>
      <c r="H126" s="2" t="s">
        <v>391</v>
      </c>
      <c r="I126" s="2" t="s">
        <v>399</v>
      </c>
      <c r="J126" s="2" t="s">
        <v>400</v>
      </c>
      <c r="K126" s="2" t="s">
        <v>40</v>
      </c>
      <c r="L126" s="2" t="s">
        <v>604</v>
      </c>
      <c r="M126" s="4">
        <v>45680.577407407407</v>
      </c>
      <c r="N126" s="2" t="str">
        <f>HYPERLINK("http://twitter.com/jawsfort/status/1882501419548467559")</f>
        <v>http://twitter.com/jawsfort/status/1882501419548467559</v>
      </c>
      <c r="O126" s="2" t="str">
        <f>HYPERLINK("https://www.journalgazette.net/sports/ice-chips-komets-mayhew-gets-all-star-nod/article_c9e3d738-d904-11ef-8a71-ff55785eecef.html")</f>
        <v>https://www.journalgazette.net/sports/ice-chips-komets-mayhew-gets-all-star-nod/article_c9e3d738-d904-11ef-8a71-ff55785eecef.html</v>
      </c>
    </row>
    <row r="127" spans="1:15" ht="79.2" x14ac:dyDescent="0.3">
      <c r="A127" s="2" t="s">
        <v>28</v>
      </c>
      <c r="B127" s="2" t="s">
        <v>274</v>
      </c>
      <c r="C127" s="2" t="s">
        <v>275</v>
      </c>
      <c r="D127" s="2" t="s">
        <v>276</v>
      </c>
      <c r="E127" s="2" t="str">
        <f>HYPERLINK("http://twitter.com/MonroeBlade")</f>
        <v>http://twitter.com/MonroeBlade</v>
      </c>
      <c r="F127" s="2" t="str">
        <f>HYPERLINK("https://muckrack.com/mark-monroe")</f>
        <v>https://muckrack.com/mark-monroe</v>
      </c>
      <c r="G127" s="2">
        <v>5022</v>
      </c>
      <c r="H127" s="2" t="s">
        <v>277</v>
      </c>
      <c r="I127" s="2" t="s">
        <v>278</v>
      </c>
      <c r="J127" s="2" t="s">
        <v>279</v>
      </c>
      <c r="K127" s="2" t="s">
        <v>29</v>
      </c>
      <c r="L127" s="2" t="s">
        <v>605</v>
      </c>
      <c r="M127" s="4">
        <v>45679.633726851847</v>
      </c>
      <c r="N127" s="2" t="str">
        <f>HYPERLINK("http://twitter.com/MonroeBlade/status/1882159443523297750")</f>
        <v>http://twitter.com/MonroeBlade/status/1882159443523297750</v>
      </c>
      <c r="O127" s="2" t="str">
        <f>HYPERLINK("https://echl.com/news/2025/01/echl-announces-2024-25-midseason-all-stars")</f>
        <v>https://echl.com/news/2025/01/echl-announces-2024-25-midseason-all-stars</v>
      </c>
    </row>
    <row r="128" spans="1:15" ht="79.2" x14ac:dyDescent="0.3">
      <c r="A128" s="2" t="s">
        <v>606</v>
      </c>
      <c r="B128" s="2" t="s">
        <v>607</v>
      </c>
      <c r="C128" s="2" t="s">
        <v>608</v>
      </c>
      <c r="D128" s="2" t="s">
        <v>609</v>
      </c>
      <c r="E128" s="2" t="str">
        <f>HYPERLINK("http://twitter.com/EJCExam_Sports")</f>
        <v>http://twitter.com/EJCExam_Sports</v>
      </c>
      <c r="F128" s="2" t="str">
        <f>HYPERLINK("https://muckrack.com/karl-zinke")</f>
        <v>https://muckrack.com/karl-zinke</v>
      </c>
      <c r="G128" s="2">
        <v>2255</v>
      </c>
      <c r="H128" s="2" t="s">
        <v>610</v>
      </c>
      <c r="I128" s="2" t="s">
        <v>611</v>
      </c>
      <c r="J128" s="2" t="s">
        <v>279</v>
      </c>
      <c r="K128" s="2" t="s">
        <v>510</v>
      </c>
      <c r="L128" s="2" t="s">
        <v>605</v>
      </c>
      <c r="M128" s="4">
        <v>45679.717407407406</v>
      </c>
      <c r="N128" s="2" t="str">
        <f>HYPERLINK("http://twitter.com/EJCExam_Sports/status/1882189766466339270")</f>
        <v>http://twitter.com/EJCExam_Sports/status/1882189766466339270</v>
      </c>
      <c r="O128" s="2" t="str">
        <f>HYPERLINK("https://echl.com/news/2025/01/echl-announces-2024-25-midseason-all-stars")</f>
        <v>https://echl.com/news/2025/01/echl-announces-2024-25-midseason-all-stars</v>
      </c>
    </row>
    <row r="129" spans="1:15" ht="66" x14ac:dyDescent="0.3">
      <c r="A129" s="2" t="s">
        <v>246</v>
      </c>
      <c r="B129" s="2" t="s">
        <v>274</v>
      </c>
      <c r="C129" s="2" t="s">
        <v>612</v>
      </c>
      <c r="D129" s="2" t="s">
        <v>613</v>
      </c>
      <c r="E129" s="2" t="str">
        <f>HYPERLINK("http://twitter.com/jeje66")</f>
        <v>http://twitter.com/jeje66</v>
      </c>
      <c r="F129" s="2" t="str">
        <f>HYPERLINK("https://muckrack.com/jeff-johnson-1")</f>
        <v>https://muckrack.com/jeff-johnson-1</v>
      </c>
      <c r="G129" s="2">
        <v>13409</v>
      </c>
      <c r="H129" s="2" t="s">
        <v>614</v>
      </c>
      <c r="I129" s="2" t="s">
        <v>615</v>
      </c>
      <c r="J129" s="2" t="s">
        <v>400</v>
      </c>
      <c r="K129" s="2" t="s">
        <v>247</v>
      </c>
      <c r="L129" s="2" t="s">
        <v>616</v>
      </c>
      <c r="M129" s="4">
        <v>45677.806805555563</v>
      </c>
      <c r="N129" s="2" t="str">
        <f>HYPERLINK("http://twitter.com/jeje66/status/1881497389531619670")</f>
        <v>http://twitter.com/jeje66/status/1881497389531619670</v>
      </c>
      <c r="O129" s="2" t="str">
        <f>HYPERLINK("https://www.thegazette.com/minor-league-sports/corridor-cross-checks-guerin-slezak-of-c-r-roughriders-is-a-young-captain-rugged-defensive-defens/")</f>
        <v>https://www.thegazette.com/minor-league-sports/corridor-cross-checks-guerin-slezak-of-c-r-roughriders-is-a-young-captain-rugged-defensive-defens/</v>
      </c>
    </row>
    <row r="130" spans="1:15" ht="66" x14ac:dyDescent="0.3">
      <c r="A130" s="2" t="s">
        <v>579</v>
      </c>
      <c r="B130" s="2" t="s">
        <v>580</v>
      </c>
      <c r="C130" s="2" t="s">
        <v>581</v>
      </c>
      <c r="D130" s="2" t="s">
        <v>582</v>
      </c>
      <c r="E130" s="2" t="str">
        <f>HYPERLINK("http://twitter.com/olivia___jacobs")</f>
        <v>http://twitter.com/olivia___jacobs</v>
      </c>
      <c r="F130" s="2" t="str">
        <f>HYPERLINK("https://muckrack.com/olivia-jacobs")</f>
        <v>https://muckrack.com/olivia-jacobs</v>
      </c>
      <c r="G130" s="2">
        <v>371</v>
      </c>
      <c r="H130" s="2" t="s">
        <v>583</v>
      </c>
      <c r="I130" s="2" t="s">
        <v>584</v>
      </c>
      <c r="J130" s="2"/>
      <c r="K130" s="2" t="s">
        <v>73</v>
      </c>
      <c r="L130" s="2" t="s">
        <v>617</v>
      </c>
      <c r="M130" s="4">
        <v>45676.852638888893</v>
      </c>
      <c r="N130" s="2" t="str">
        <f>HYPERLINK("http://twitter.com/olivia___jacobs/status/1881151610799456516")</f>
        <v>http://twitter.com/olivia___jacobs/status/1881151610799456516</v>
      </c>
      <c r="O130" s="2" t="str">
        <f>HYPERLINK("https://pantagraph.com/sports/professional/hockey/minor/bloomington-bison-fall-short-of-sweeping-utah-grizzlies/article_7cdfffce-d6c6-11ef-8411-7b8eb18a824f.html")</f>
        <v>https://pantagraph.com/sports/professional/hockey/minor/bloomington-bison-fall-short-of-sweeping-utah-grizzlies/article_7cdfffce-d6c6-11ef-8411-7b8eb18a824f.html</v>
      </c>
    </row>
    <row r="131" spans="1:15" ht="66" x14ac:dyDescent="0.3">
      <c r="A131" s="2" t="s">
        <v>367</v>
      </c>
      <c r="B131" s="2" t="s">
        <v>368</v>
      </c>
      <c r="C131" s="2" t="s">
        <v>369</v>
      </c>
      <c r="D131" s="2" t="s">
        <v>370</v>
      </c>
      <c r="E131" s="2" t="str">
        <f>HYPERLINK("http://twitter.com/justin_powell24")</f>
        <v>http://twitter.com/justin_powell24</v>
      </c>
      <c r="F131" s="2" t="str">
        <f>HYPERLINK("https://muckrack.com/justin-powell-7")</f>
        <v>https://muckrack.com/justin-powell-7</v>
      </c>
      <c r="G131" s="2">
        <v>536</v>
      </c>
      <c r="H131" s="2"/>
      <c r="I131" s="2" t="s">
        <v>371</v>
      </c>
      <c r="J131" s="2" t="s">
        <v>372</v>
      </c>
      <c r="K131" s="2" t="s">
        <v>242</v>
      </c>
      <c r="L131" s="2" t="s">
        <v>618</v>
      </c>
      <c r="M131" s="4">
        <v>45675.221782407411</v>
      </c>
      <c r="N131" s="2" t="str">
        <f>HYPERLINK("http://twitter.com/justin_powell24/status/1880560605855408277")</f>
        <v>http://twitter.com/justin_powell24/status/1880560605855408277</v>
      </c>
      <c r="O131" s="2" t="str">
        <f>HYPERLINK("https://indyfuelhockey.com/news/2025/01/fuel-shut-out-kalamazoo-as-wideman-breaks-record")</f>
        <v>https://indyfuelhockey.com/news/2025/01/fuel-shut-out-kalamazoo-as-wideman-breaks-record</v>
      </c>
    </row>
    <row r="132" spans="1:15" ht="66" x14ac:dyDescent="0.3">
      <c r="A132" s="2" t="s">
        <v>579</v>
      </c>
      <c r="B132" s="2" t="s">
        <v>580</v>
      </c>
      <c r="C132" s="2" t="s">
        <v>581</v>
      </c>
      <c r="D132" s="2" t="s">
        <v>582</v>
      </c>
      <c r="E132" s="2" t="str">
        <f>HYPERLINK("http://twitter.com/olivia___jacobs")</f>
        <v>http://twitter.com/olivia___jacobs</v>
      </c>
      <c r="F132" s="2" t="str">
        <f>HYPERLINK("https://muckrack.com/olivia-jacobs")</f>
        <v>https://muckrack.com/olivia-jacobs</v>
      </c>
      <c r="G132" s="2">
        <v>371</v>
      </c>
      <c r="H132" s="2" t="s">
        <v>583</v>
      </c>
      <c r="I132" s="2" t="s">
        <v>584</v>
      </c>
      <c r="J132" s="2"/>
      <c r="K132" s="2" t="s">
        <v>73</v>
      </c>
      <c r="L132" s="2" t="s">
        <v>619</v>
      </c>
      <c r="M132" s="4">
        <v>45673.613449074073</v>
      </c>
      <c r="N132" s="2" t="str">
        <f>HYPERLINK("http://twitter.com/olivia___jacobs/status/1879977767036678608")</f>
        <v>http://twitter.com/olivia___jacobs/status/1879977767036678608</v>
      </c>
      <c r="O132" s="2" t="str">
        <f>HYPERLINK("https://pantagraph.com/sports/professional/hockey/minor/bloomington-bison-firsts-adam-morris-echl-grossinger-barski/article_7a1426a0-d417-11ef-826e-4f3b21cf8dcb.html")</f>
        <v>https://pantagraph.com/sports/professional/hockey/minor/bloomington-bison-firsts-adam-morris-echl-grossinger-barski/article_7a1426a0-d417-11ef-826e-4f3b21cf8dcb.html</v>
      </c>
    </row>
    <row r="133" spans="1:15" ht="39.6" x14ac:dyDescent="0.3">
      <c r="A133" s="2" t="s">
        <v>620</v>
      </c>
      <c r="B133" s="2" t="s">
        <v>286</v>
      </c>
      <c r="C133" s="2" t="s">
        <v>621</v>
      </c>
      <c r="D133" s="2" t="s">
        <v>622</v>
      </c>
      <c r="E133" s="2" t="str">
        <f>HYPERLINK("http://twitter.com/DaveEidWGME")</f>
        <v>http://twitter.com/DaveEidWGME</v>
      </c>
      <c r="F133" s="2" t="str">
        <f>HYPERLINK("https://muckrack.com/dave-eid-1")</f>
        <v>https://muckrack.com/dave-eid-1</v>
      </c>
      <c r="G133" s="2">
        <v>9650</v>
      </c>
      <c r="H133" s="2"/>
      <c r="I133" s="2" t="s">
        <v>623</v>
      </c>
      <c r="J133" s="2" t="s">
        <v>325</v>
      </c>
      <c r="K133" s="2" t="s">
        <v>248</v>
      </c>
      <c r="L133" s="2" t="s">
        <v>624</v>
      </c>
      <c r="M133" s="4">
        <v>45673.360439814824</v>
      </c>
      <c r="N133" s="2" t="str">
        <f>HYPERLINK("http://twitter.com/DaveEidWGME/status/1879886079735505057")</f>
        <v>http://twitter.com/DaveEidWGME/status/1879886079735505057</v>
      </c>
      <c r="O133" s="2" t="str">
        <f>HYPERLINK("https://wgme.com/sports/content/maine-mariners-rally-to-defeat-indy-fuel-in-overtime-thriller")</f>
        <v>https://wgme.com/sports/content/maine-mariners-rally-to-defeat-indy-fuel-in-overtime-thriller</v>
      </c>
    </row>
    <row r="134" spans="1:15" ht="79.2" x14ac:dyDescent="0.3">
      <c r="A134" s="2" t="s">
        <v>625</v>
      </c>
      <c r="B134" s="2" t="s">
        <v>626</v>
      </c>
      <c r="C134" s="2" t="s">
        <v>627</v>
      </c>
      <c r="D134" s="2" t="s">
        <v>628</v>
      </c>
      <c r="E134" s="2" t="str">
        <f>HYPERLINK("http://twitter.com/DustinGroveTV")</f>
        <v>http://twitter.com/DustinGroveTV</v>
      </c>
      <c r="F134" s="2" t="str">
        <f>HYPERLINK("https://muckrack.com/dustin-grove")</f>
        <v>https://muckrack.com/dustin-grove</v>
      </c>
      <c r="G134" s="2">
        <v>3563</v>
      </c>
      <c r="H134" s="2" t="s">
        <v>629</v>
      </c>
      <c r="I134" s="2" t="s">
        <v>630</v>
      </c>
      <c r="J134" s="2" t="s">
        <v>386</v>
      </c>
      <c r="K134" s="2" t="s">
        <v>165</v>
      </c>
      <c r="L134" s="2" t="s">
        <v>631</v>
      </c>
      <c r="M134" s="4">
        <v>45673.391423611109</v>
      </c>
      <c r="N134" s="2" t="str">
        <f>HYPERLINK("http://twitter.com/DustinGroveTV/status/1879897307979882879")</f>
        <v>http://twitter.com/DustinGroveTV/status/1879897307979882879</v>
      </c>
      <c r="O134" s="2" t="str">
        <f>HYPERLINK("https://www.wthr.com/article/weather/chuck-lofton-wthr-13-sunrise-meteorologist-indianapolis-retirement-announcement-video-thank-you/531-2ab2e3ad-fd66-4a4e-bd99-595b992a650a")</f>
        <v>https://www.wthr.com/article/weather/chuck-lofton-wthr-13-sunrise-meteorologist-indianapolis-retirement-announcement-video-thank-you/531-2ab2e3ad-fd66-4a4e-bd99-595b992a650a</v>
      </c>
    </row>
    <row r="135" spans="1:15" ht="118.8" x14ac:dyDescent="0.3">
      <c r="A135" s="2" t="s">
        <v>381</v>
      </c>
      <c r="B135" s="2" t="s">
        <v>382</v>
      </c>
      <c r="C135" s="2" t="s">
        <v>383</v>
      </c>
      <c r="D135" s="2" t="s">
        <v>384</v>
      </c>
      <c r="E135" s="2" t="str">
        <f>HYPERLINK("http://twitter.com/SamJohnsonNews")</f>
        <v>http://twitter.com/SamJohnsonNews</v>
      </c>
      <c r="F135" s="2" t="str">
        <f>HYPERLINK("https://muckrack.com/samantha-johnson-19")</f>
        <v>https://muckrack.com/samantha-johnson-19</v>
      </c>
      <c r="G135" s="2">
        <v>3795</v>
      </c>
      <c r="H135" s="2" t="s">
        <v>331</v>
      </c>
      <c r="I135" s="2" t="s">
        <v>385</v>
      </c>
      <c r="J135" s="2" t="s">
        <v>386</v>
      </c>
      <c r="K135" s="2" t="s">
        <v>165</v>
      </c>
      <c r="L135" s="2" t="s">
        <v>632</v>
      </c>
      <c r="M135" s="4">
        <v>45673.396122685182</v>
      </c>
      <c r="N135" s="2" t="str">
        <f>HYPERLINK("http://twitter.com/SamJohnsonNews/status/1879899010661773404")</f>
        <v>http://twitter.com/SamJohnsonNews/status/1879899010661773404</v>
      </c>
      <c r="O135" s="2" t="str">
        <f>HYPERLINK("https://www.wthr.com/article/weather/chuck-lofton-wthr-13-sunrise-meteorologist-indianapolis-retirement-announcement-video-thank-you/531-2ab2e3ad-fd66-4a4e-bd99-595b992a650a")</f>
        <v>https://www.wthr.com/article/weather/chuck-lofton-wthr-13-sunrise-meteorologist-indianapolis-retirement-announcement-video-thank-you/531-2ab2e3ad-fd66-4a4e-bd99-595b992a650a</v>
      </c>
    </row>
    <row r="136" spans="1:15" ht="66" x14ac:dyDescent="0.3">
      <c r="A136" s="2" t="s">
        <v>23</v>
      </c>
      <c r="B136" s="2" t="s">
        <v>338</v>
      </c>
      <c r="C136" s="2" t="s">
        <v>339</v>
      </c>
      <c r="D136" s="2" t="s">
        <v>340</v>
      </c>
      <c r="E136" s="2" t="str">
        <f>HYPERLINK("http://twitter.com/chrismpeters")</f>
        <v>http://twitter.com/chrismpeters</v>
      </c>
      <c r="F136" s="2" t="str">
        <f>HYPERLINK("https://muckrack.com/chris-peters")</f>
        <v>https://muckrack.com/chris-peters</v>
      </c>
      <c r="G136" s="2">
        <v>31676</v>
      </c>
      <c r="H136" s="2" t="s">
        <v>341</v>
      </c>
      <c r="I136" s="2" t="s">
        <v>342</v>
      </c>
      <c r="J136" s="2" t="s">
        <v>325</v>
      </c>
      <c r="K136" s="2" t="s">
        <v>343</v>
      </c>
      <c r="L136" s="2" t="s">
        <v>633</v>
      </c>
      <c r="M136" s="4">
        <v>45671.473263888889</v>
      </c>
      <c r="N136" s="2" t="str">
        <f>HYPERLINK("http://twitter.com/chrismpeters/status/1879202189727715483")</f>
        <v>http://twitter.com/chrismpeters/status/1879202189727715483</v>
      </c>
      <c r="O136" s="2" t="str">
        <f>HYPERLINK("https://www.flohockey.tv/articles/13468000-echl-commissioner-on-expansion-attendance-growth-ownership-rules-and-more")</f>
        <v>https://www.flohockey.tv/articles/13468000-echl-commissioner-on-expansion-attendance-growth-ownership-rules-and-more</v>
      </c>
    </row>
    <row r="137" spans="1:15" ht="79.2" x14ac:dyDescent="0.3">
      <c r="A137" s="2" t="s">
        <v>246</v>
      </c>
      <c r="B137" s="2" t="s">
        <v>274</v>
      </c>
      <c r="C137" s="2" t="s">
        <v>612</v>
      </c>
      <c r="D137" s="2" t="s">
        <v>613</v>
      </c>
      <c r="E137" s="2" t="str">
        <f>HYPERLINK("http://twitter.com/jeje66")</f>
        <v>http://twitter.com/jeje66</v>
      </c>
      <c r="F137" s="2" t="str">
        <f>HYPERLINK("https://muckrack.com/jeff-johnson-1")</f>
        <v>https://muckrack.com/jeff-johnson-1</v>
      </c>
      <c r="G137" s="2">
        <v>13409</v>
      </c>
      <c r="H137" s="2" t="s">
        <v>614</v>
      </c>
      <c r="I137" s="2" t="s">
        <v>615</v>
      </c>
      <c r="J137" s="2" t="s">
        <v>400</v>
      </c>
      <c r="K137" s="2" t="s">
        <v>247</v>
      </c>
      <c r="L137" s="2" t="s">
        <v>634</v>
      </c>
      <c r="M137" s="4">
        <v>45670.656481481477</v>
      </c>
      <c r="N137" s="2" t="str">
        <f>HYPERLINK("http://twitter.com/jeje66/status/1878906199191802236")</f>
        <v>http://twitter.com/jeje66/status/1878906199191802236</v>
      </c>
      <c r="O137" s="2" t="str">
        <f>HYPERLINK("https://www.thegazette.com/minor-league-sports/corridor-cross-checks-iowa-heartlanders-on-a-win-streak/")</f>
        <v>https://www.thegazette.com/minor-league-sports/corridor-cross-checks-iowa-heartlanders-on-a-win-streak/</v>
      </c>
    </row>
    <row r="138" spans="1:15" ht="79.2" x14ac:dyDescent="0.3">
      <c r="A138" s="2" t="s">
        <v>579</v>
      </c>
      <c r="B138" s="2" t="s">
        <v>580</v>
      </c>
      <c r="C138" s="2" t="s">
        <v>581</v>
      </c>
      <c r="D138" s="2" t="s">
        <v>582</v>
      </c>
      <c r="E138" s="2" t="str">
        <f>HYPERLINK("http://twitter.com/olivia___jacobs")</f>
        <v>http://twitter.com/olivia___jacobs</v>
      </c>
      <c r="F138" s="2" t="str">
        <f>HYPERLINK("https://muckrack.com/olivia-jacobs")</f>
        <v>https://muckrack.com/olivia-jacobs</v>
      </c>
      <c r="G138" s="2">
        <v>371</v>
      </c>
      <c r="H138" s="2" t="s">
        <v>583</v>
      </c>
      <c r="I138" s="2" t="s">
        <v>584</v>
      </c>
      <c r="J138" s="2"/>
      <c r="K138" s="2" t="s">
        <v>73</v>
      </c>
      <c r="L138" s="2" t="s">
        <v>635</v>
      </c>
      <c r="M138" s="4">
        <v>45669.814016203702</v>
      </c>
      <c r="N138" s="2" t="str">
        <f>HYPERLINK("http://twitter.com/olivia___jacobs/status/1878600898697670706")</f>
        <v>http://twitter.com/olivia___jacobs/status/1878600898697670706</v>
      </c>
      <c r="O138" s="2" t="str">
        <f>HYPERLINK("https://pantagraph.com/sports/professional/hockey/minor/bloomington-bison-goalie-mark-sinclair-first-shutout-team-history-kalamazoo-wings-grossinger/article_50e62d3e-cfc9-11ef-9441-233e457d8754.html")</f>
        <v>https://pantagraph.com/sports/professional/hockey/minor/bloomington-bison-goalie-mark-sinclair-first-shutout-team-history-kalamazoo-wings-grossinger/article_50e62d3e-cfc9-11ef-9441-233e457d8754.html</v>
      </c>
    </row>
    <row r="139" spans="1:15" ht="79.2" x14ac:dyDescent="0.3">
      <c r="A139" s="2" t="s">
        <v>395</v>
      </c>
      <c r="B139" s="2" t="s">
        <v>396</v>
      </c>
      <c r="C139" s="2" t="s">
        <v>397</v>
      </c>
      <c r="D139" s="2" t="s">
        <v>398</v>
      </c>
      <c r="E139" s="2" t="str">
        <f>HYPERLINK("http://twitter.com/jawsfort")</f>
        <v>http://twitter.com/jawsfort</v>
      </c>
      <c r="F139" s="2" t="str">
        <f>HYPERLINK("https://muckrack.com/jawsfort")</f>
        <v>https://muckrack.com/jawsfort</v>
      </c>
      <c r="G139" s="2">
        <v>774</v>
      </c>
      <c r="H139" s="2" t="s">
        <v>391</v>
      </c>
      <c r="I139" s="2" t="s">
        <v>399</v>
      </c>
      <c r="J139" s="2" t="s">
        <v>400</v>
      </c>
      <c r="K139" s="2" t="s">
        <v>40</v>
      </c>
      <c r="L139" s="2" t="s">
        <v>636</v>
      </c>
      <c r="M139" s="4">
        <v>45659.979733796303</v>
      </c>
      <c r="N139" s="2" t="str">
        <f>HYPERLINK("http://twitter.com/jawsfort/status/1875037071817241066")</f>
        <v>http://twitter.com/jawsfort/status/1875037071817241066</v>
      </c>
      <c r="O139" s="2" t="str">
        <f>HYPERLINK("https://www.journalgazette.net/sports/professional/komets/komets-expect-to-get-walleyes-best-rival-had-56-days-to-mull-fort-waynes-dominant/article_a5717a24-c958-11ef-b26f-37dc9f24adf7.html")</f>
        <v>https://www.journalgazette.net/sports/professional/komets/komets-expect-to-get-walleyes-best-rival-had-56-days-to-mull-fort-waynes-dominant/article_a5717a24-c958-11ef-b26f-37dc9f24adf7.html</v>
      </c>
    </row>
    <row r="140" spans="1:15" ht="79.2" x14ac:dyDescent="0.3">
      <c r="A140" s="2" t="s">
        <v>395</v>
      </c>
      <c r="B140" s="2" t="s">
        <v>396</v>
      </c>
      <c r="C140" s="2" t="s">
        <v>397</v>
      </c>
      <c r="D140" s="2" t="s">
        <v>398</v>
      </c>
      <c r="E140" s="2" t="str">
        <f>HYPERLINK("http://twitter.com/jawsfort")</f>
        <v>http://twitter.com/jawsfort</v>
      </c>
      <c r="F140" s="2" t="str">
        <f>HYPERLINK("https://muckrack.com/jawsfort")</f>
        <v>https://muckrack.com/jawsfort</v>
      </c>
      <c r="G140" s="2">
        <v>774</v>
      </c>
      <c r="H140" s="2" t="s">
        <v>391</v>
      </c>
      <c r="I140" s="2" t="s">
        <v>399</v>
      </c>
      <c r="J140" s="2" t="s">
        <v>400</v>
      </c>
      <c r="K140" s="2" t="s">
        <v>40</v>
      </c>
      <c r="L140" s="2" t="s">
        <v>636</v>
      </c>
      <c r="M140" s="4">
        <v>45660.646018518521</v>
      </c>
      <c r="N140" s="2" t="str">
        <f>HYPERLINK("http://twitter.com/jawsfort/status/1875278528142540928")</f>
        <v>http://twitter.com/jawsfort/status/1875278528142540928</v>
      </c>
      <c r="O140" s="2" t="str">
        <f>HYPERLINK("https://www.journalgazette.net/sports/professional/komets/komets-expect-to-get-walleyes-best-rival-had-56-days-to-mull-fort-waynes-dominant/article_a5717a24-c958-11ef-b26f-37dc9f24adf7.html")</f>
        <v>https://www.journalgazette.net/sports/professional/komets/komets-expect-to-get-walleyes-best-rival-had-56-days-to-mull-fort-waynes-dominant/article_a5717a24-c958-11ef-b26f-37dc9f24adf7.html</v>
      </c>
    </row>
    <row r="141" spans="1:15" ht="39.6" x14ac:dyDescent="0.3">
      <c r="A141" s="2" t="s">
        <v>367</v>
      </c>
      <c r="B141" s="2" t="s">
        <v>368</v>
      </c>
      <c r="C141" s="2" t="s">
        <v>369</v>
      </c>
      <c r="D141" s="2" t="s">
        <v>370</v>
      </c>
      <c r="E141" s="2" t="str">
        <f>HYPERLINK("http://twitter.com/justin_powell24")</f>
        <v>http://twitter.com/justin_powell24</v>
      </c>
      <c r="F141" s="2" t="str">
        <f>HYPERLINK("https://muckrack.com/justin-powell-7")</f>
        <v>https://muckrack.com/justin-powell-7</v>
      </c>
      <c r="G141" s="2">
        <v>536</v>
      </c>
      <c r="H141" s="2"/>
      <c r="I141" s="2" t="s">
        <v>371</v>
      </c>
      <c r="J141" s="2" t="s">
        <v>372</v>
      </c>
      <c r="K141" s="2" t="s">
        <v>242</v>
      </c>
      <c r="L141" s="2" t="s">
        <v>637</v>
      </c>
      <c r="M141" s="4">
        <v>45659.479085648149</v>
      </c>
      <c r="N141" s="2" t="str">
        <f>HYPERLINK("http://twitter.com/justin_powell24/status/1874855646035915122")</f>
        <v>http://twitter.com/justin_powell24/status/1874855646035915122</v>
      </c>
      <c r="O141" s="2" t="str">
        <f>HYPERLINK("https://indyfuelhockey.com/news/2025/01/fuel-sign-forward-william-provost")</f>
        <v>https://indyfuelhockey.com/news/2025/01/fuel-sign-forward-william-provost</v>
      </c>
    </row>
    <row r="142" spans="1:15" ht="79.2" x14ac:dyDescent="0.3">
      <c r="A142" s="2" t="s">
        <v>395</v>
      </c>
      <c r="B142" s="2" t="s">
        <v>396</v>
      </c>
      <c r="C142" s="2" t="s">
        <v>397</v>
      </c>
      <c r="D142" s="2" t="s">
        <v>398</v>
      </c>
      <c r="E142" s="2" t="str">
        <f>HYPERLINK("http://twitter.com/jawsfort")</f>
        <v>http://twitter.com/jawsfort</v>
      </c>
      <c r="F142" s="2" t="str">
        <f>HYPERLINK("https://muckrack.com/jawsfort")</f>
        <v>https://muckrack.com/jawsfort</v>
      </c>
      <c r="G142" s="2">
        <v>774</v>
      </c>
      <c r="H142" s="2" t="s">
        <v>391</v>
      </c>
      <c r="I142" s="2" t="s">
        <v>399</v>
      </c>
      <c r="J142" s="2" t="s">
        <v>400</v>
      </c>
      <c r="K142" s="2" t="s">
        <v>40</v>
      </c>
      <c r="L142" s="2" t="s">
        <v>638</v>
      </c>
      <c r="M142" s="4">
        <v>45657.974826388891</v>
      </c>
      <c r="N142" s="2" t="str">
        <f>HYPERLINK("http://twitter.com/jawsfort/status/1874310517919232449")</f>
        <v>http://twitter.com/jawsfort/status/1874310517919232449</v>
      </c>
      <c r="O142" s="2" t="str">
        <f>HYPERLINK("https://www.journalgazette.net/sports/professional/komets/komets-bounced-again-on-new-years-eve-fall-to-expansion-bison/article_5d20c996-c7d7-11ef-bea5-670f5a03a36e.html")</f>
        <v>https://www.journalgazette.net/sports/professional/komets/komets-bounced-again-on-new-years-eve-fall-to-expansion-bison/article_5d20c996-c7d7-11ef-bea5-670f5a03a36e.html</v>
      </c>
    </row>
    <row r="143" spans="1:15" ht="79.2" x14ac:dyDescent="0.3">
      <c r="A143" s="2" t="s">
        <v>395</v>
      </c>
      <c r="B143" s="2" t="s">
        <v>396</v>
      </c>
      <c r="C143" s="2" t="s">
        <v>397</v>
      </c>
      <c r="D143" s="2" t="s">
        <v>398</v>
      </c>
      <c r="E143" s="2" t="str">
        <f>HYPERLINK("http://twitter.com/jawsfort")</f>
        <v>http://twitter.com/jawsfort</v>
      </c>
      <c r="F143" s="2" t="str">
        <f>HYPERLINK("https://muckrack.com/jawsfort")</f>
        <v>https://muckrack.com/jawsfort</v>
      </c>
      <c r="G143" s="2">
        <v>774</v>
      </c>
      <c r="H143" s="2" t="s">
        <v>391</v>
      </c>
      <c r="I143" s="2" t="s">
        <v>399</v>
      </c>
      <c r="J143" s="2" t="s">
        <v>400</v>
      </c>
      <c r="K143" s="2" t="s">
        <v>40</v>
      </c>
      <c r="L143" s="2" t="s">
        <v>639</v>
      </c>
      <c r="M143" s="4">
        <v>45657.698182870372</v>
      </c>
      <c r="N143" s="2" t="str">
        <f>HYPERLINK("http://twitter.com/jawsfort/status/1874210266055139758")</f>
        <v>http://twitter.com/jawsfort/status/1874210266055139758</v>
      </c>
      <c r="O143" s="2" t="str">
        <f>HYPERLINK("https://www.journalgazette.net/sports/professional/komets/youre-seeing-him-really-blossom-komets-connor-ungar-shines-after-dismal-start-to-career/article_bfeb54e4-c78f-11ef-ab45-17304c299e72.html")</f>
        <v>https://www.journalgazette.net/sports/professional/komets/youre-seeing-him-really-blossom-komets-connor-ungar-shines-after-dismal-start-to-career/article_bfeb54e4-c78f-11ef-ab45-17304c299e72.html</v>
      </c>
    </row>
    <row r="144" spans="1:15" ht="52.8" x14ac:dyDescent="0.3">
      <c r="A144" s="2" t="s">
        <v>498</v>
      </c>
      <c r="B144" s="2" t="s">
        <v>499</v>
      </c>
      <c r="C144" s="2" t="s">
        <v>500</v>
      </c>
      <c r="D144" s="2" t="s">
        <v>501</v>
      </c>
      <c r="E144" s="2" t="str">
        <f>HYPERLINK("http://twitter.com/starwatchtim")</f>
        <v>http://twitter.com/starwatchtim</v>
      </c>
      <c r="F144" s="2" t="str">
        <f>HYPERLINK("https://muckrack.com/starwatchtim")</f>
        <v>https://muckrack.com/starwatchtim</v>
      </c>
      <c r="G144" s="2">
        <v>7282</v>
      </c>
      <c r="H144" s="2" t="s">
        <v>502</v>
      </c>
      <c r="I144" s="2" t="s">
        <v>503</v>
      </c>
      <c r="J144" s="2" t="s">
        <v>504</v>
      </c>
      <c r="K144" s="2" t="s">
        <v>237</v>
      </c>
      <c r="L144" s="2" t="s">
        <v>640</v>
      </c>
      <c r="M144" s="4">
        <v>45657.363425925927</v>
      </c>
      <c r="N144" s="2" t="str">
        <f>HYPERLINK("http://twitter.com/starwatchtim/status/1874088956905873580")</f>
        <v>http://twitter.com/starwatchtim/status/1874088956905873580</v>
      </c>
      <c r="O144" s="2" t="str">
        <f>HYPERLINK("https://www.indystar.com/story/news/2024/12/31/tito-jackson-carl-erskine-and-more-notable-hoosiers-who-died-in-2024/76920936007/")</f>
        <v>https://www.indystar.com/story/news/2024/12/31/tito-jackson-carl-erskine-and-more-notable-hoosiers-who-died-in-2024/76920936007/</v>
      </c>
    </row>
    <row r="145" spans="1:15" ht="66" x14ac:dyDescent="0.3">
      <c r="A145" s="2" t="s">
        <v>395</v>
      </c>
      <c r="B145" s="2" t="s">
        <v>396</v>
      </c>
      <c r="C145" s="2" t="s">
        <v>397</v>
      </c>
      <c r="D145" s="2" t="s">
        <v>398</v>
      </c>
      <c r="E145" s="2" t="str">
        <f>HYPERLINK("http://twitter.com/jawsfort")</f>
        <v>http://twitter.com/jawsfort</v>
      </c>
      <c r="F145" s="2" t="str">
        <f>HYPERLINK("https://muckrack.com/jawsfort")</f>
        <v>https://muckrack.com/jawsfort</v>
      </c>
      <c r="G145" s="2">
        <v>774</v>
      </c>
      <c r="H145" s="2" t="s">
        <v>391</v>
      </c>
      <c r="I145" s="2" t="s">
        <v>399</v>
      </c>
      <c r="J145" s="2" t="s">
        <v>400</v>
      </c>
      <c r="K145" s="2" t="s">
        <v>40</v>
      </c>
      <c r="L145" s="2" t="s">
        <v>641</v>
      </c>
      <c r="M145" s="4">
        <v>45656.910092592603</v>
      </c>
      <c r="N145" s="2" t="str">
        <f>HYPERLINK("http://twitter.com/jawsfort/status/1873924673832182225")</f>
        <v>http://twitter.com/jawsfort/status/1873924673832182225</v>
      </c>
      <c r="O145" s="2" t="str">
        <f>HYPERLINK("https://www.journalgazette.net/sports/professional/komets/5-players-who-have-elevated-their-play-as-komets-have-won-7-of-8/article_a9bb133e-c673-11ef-9cdf-1f915d45efd1.html")</f>
        <v>https://www.journalgazette.net/sports/professional/komets/5-players-who-have-elevated-their-play-as-komets-have-won-7-of-8/article_a9bb133e-c673-11ef-9cdf-1f915d45efd1.html</v>
      </c>
    </row>
    <row r="146" spans="1:15" ht="66" x14ac:dyDescent="0.3">
      <c r="A146" s="2" t="s">
        <v>395</v>
      </c>
      <c r="B146" s="2" t="s">
        <v>396</v>
      </c>
      <c r="C146" s="2" t="s">
        <v>397</v>
      </c>
      <c r="D146" s="2" t="s">
        <v>398</v>
      </c>
      <c r="E146" s="2" t="str">
        <f>HYPERLINK("http://twitter.com/jawsfort")</f>
        <v>http://twitter.com/jawsfort</v>
      </c>
      <c r="F146" s="2" t="str">
        <f>HYPERLINK("https://muckrack.com/jawsfort")</f>
        <v>https://muckrack.com/jawsfort</v>
      </c>
      <c r="G146" s="2">
        <v>774</v>
      </c>
      <c r="H146" s="2" t="s">
        <v>391</v>
      </c>
      <c r="I146" s="2" t="s">
        <v>399</v>
      </c>
      <c r="J146" s="2" t="s">
        <v>400</v>
      </c>
      <c r="K146" s="2" t="s">
        <v>40</v>
      </c>
      <c r="L146" s="2" t="s">
        <v>641</v>
      </c>
      <c r="M146" s="4">
        <v>45657.697534722232</v>
      </c>
      <c r="N146" s="2" t="str">
        <f>HYPERLINK("http://twitter.com/jawsfort/status/1874210033531314413")</f>
        <v>http://twitter.com/jawsfort/status/1874210033531314413</v>
      </c>
      <c r="O146" s="2" t="str">
        <f>HYPERLINK("https://www.journalgazette.net/sports/professional/komets/5-players-who-have-elevated-their-play-as-komets-have-won-7-of-8/article_a9bb133e-c673-11ef-9cdf-1f915d45efd1.html")</f>
        <v>https://www.journalgazette.net/sports/professional/komets/5-players-who-have-elevated-their-play-as-komets-have-won-7-of-8/article_a9bb133e-c673-11ef-9cdf-1f915d45efd1.html</v>
      </c>
    </row>
    <row r="147" spans="1:15" ht="118.8" x14ac:dyDescent="0.3">
      <c r="A147" s="2" t="s">
        <v>196</v>
      </c>
      <c r="B147" s="2" t="s">
        <v>642</v>
      </c>
      <c r="C147" s="2" t="s">
        <v>643</v>
      </c>
      <c r="D147" s="2" t="s">
        <v>644</v>
      </c>
      <c r="E147" s="2" t="str">
        <f>HYPERLINK("http://twitter.com/Josh_Ayen")</f>
        <v>http://twitter.com/Josh_Ayen</v>
      </c>
      <c r="F147" s="2" t="str">
        <f>HYPERLINK("https://muckrack.com/josh-ayen")</f>
        <v>https://muckrack.com/josh-ayen</v>
      </c>
      <c r="G147" s="2">
        <v>2317</v>
      </c>
      <c r="H147" s="2" t="s">
        <v>391</v>
      </c>
      <c r="I147" s="2" t="s">
        <v>645</v>
      </c>
      <c r="J147" s="2" t="s">
        <v>325</v>
      </c>
      <c r="K147" s="2" t="s">
        <v>44</v>
      </c>
      <c r="L147" s="2" t="s">
        <v>646</v>
      </c>
      <c r="M147" s="4">
        <v>45656.555069444446</v>
      </c>
      <c r="N147" s="2" t="str">
        <f>HYPERLINK("http://twitter.com/Josh_Ayen/status/1873796015771508856")</f>
        <v>http://twitter.com/Josh_Ayen/status/1873796015771508856</v>
      </c>
      <c r="O147" s="2" t="str">
        <f>HYPERLINK("https://www.wane.com/sports/komets/komets-corner-episode-4-december-30/")</f>
        <v>https://www.wane.com/sports/komets/komets-corner-episode-4-december-30/</v>
      </c>
    </row>
    <row r="148" spans="1:15" ht="66" x14ac:dyDescent="0.3">
      <c r="A148" s="2" t="s">
        <v>579</v>
      </c>
      <c r="B148" s="2" t="s">
        <v>580</v>
      </c>
      <c r="C148" s="2" t="s">
        <v>581</v>
      </c>
      <c r="D148" s="2" t="s">
        <v>582</v>
      </c>
      <c r="E148" s="2" t="str">
        <f>HYPERLINK("http://twitter.com/olivia___jacobs")</f>
        <v>http://twitter.com/olivia___jacobs</v>
      </c>
      <c r="F148" s="2" t="str">
        <f>HYPERLINK("https://muckrack.com/olivia-jacobs")</f>
        <v>https://muckrack.com/olivia-jacobs</v>
      </c>
      <c r="G148" s="2">
        <v>371</v>
      </c>
      <c r="H148" s="2" t="s">
        <v>583</v>
      </c>
      <c r="I148" s="2" t="s">
        <v>584</v>
      </c>
      <c r="J148" s="2"/>
      <c r="K148" s="2" t="s">
        <v>73</v>
      </c>
      <c r="L148" s="2" t="s">
        <v>647</v>
      </c>
      <c r="M148" s="4">
        <v>45655.743171296293</v>
      </c>
      <c r="N148" s="2" t="str">
        <f>HYPERLINK("http://twitter.com/olivia___jacobs/status/1873501793277432070")</f>
        <v>http://twitter.com/olivia___jacobs/status/1873501793277432070</v>
      </c>
      <c r="O148" s="2" t="str">
        <f>HYPERLINK("https://pantagraph.com/sports/professional/hockey/minor/bloomington-bison-hockey-chongmin-lee/article_c15dd2b6-c230-11ef-af13-230084a4a829.html")</f>
        <v>https://pantagraph.com/sports/professional/hockey/minor/bloomington-bison-hockey-chongmin-lee/article_c15dd2b6-c230-11ef-af13-230084a4a829.html</v>
      </c>
    </row>
    <row r="149" spans="1:15" ht="52.8" x14ac:dyDescent="0.3">
      <c r="A149" s="2" t="s">
        <v>23</v>
      </c>
      <c r="B149" s="2" t="s">
        <v>338</v>
      </c>
      <c r="C149" s="2" t="s">
        <v>339</v>
      </c>
      <c r="D149" s="2" t="s">
        <v>340</v>
      </c>
      <c r="E149" s="2" t="str">
        <f>HYPERLINK("http://twitter.com/chrismpeters")</f>
        <v>http://twitter.com/chrismpeters</v>
      </c>
      <c r="F149" s="2" t="str">
        <f>HYPERLINK("https://muckrack.com/chris-peters")</f>
        <v>https://muckrack.com/chris-peters</v>
      </c>
      <c r="G149" s="2">
        <v>31676</v>
      </c>
      <c r="H149" s="2" t="s">
        <v>341</v>
      </c>
      <c r="I149" s="2" t="s">
        <v>342</v>
      </c>
      <c r="J149" s="2" t="s">
        <v>325</v>
      </c>
      <c r="K149" s="2" t="s">
        <v>343</v>
      </c>
      <c r="L149" s="2" t="s">
        <v>648</v>
      </c>
      <c r="M149" s="4">
        <v>45650.974409722221</v>
      </c>
      <c r="N149" s="2" t="str">
        <f>HYPERLINK("http://twitter.com/chrismpeters/status/1871773652712394835")</f>
        <v>http://twitter.com/chrismpeters/status/1871773652712394835</v>
      </c>
      <c r="O149" s="2" t="str">
        <f>HYPERLINK("https://www.flohockey.tv/articles/13324082-echl-holiday-break-gifts-teams-could-really-use-this-season")</f>
        <v>https://www.flohockey.tv/articles/13324082-echl-holiday-break-gifts-teams-could-really-use-this-season</v>
      </c>
    </row>
    <row r="150" spans="1:15" ht="52.8" x14ac:dyDescent="0.3">
      <c r="A150" s="2" t="s">
        <v>649</v>
      </c>
      <c r="B150" s="2" t="s">
        <v>453</v>
      </c>
      <c r="C150" s="2" t="s">
        <v>650</v>
      </c>
      <c r="D150" s="2" t="s">
        <v>651</v>
      </c>
      <c r="E150" s="2" t="str">
        <f>HYPERLINK("http://twitter.com/JaromirBlagr")</f>
        <v>http://twitter.com/JaromirBlagr</v>
      </c>
      <c r="F150" s="2" t="str">
        <f>HYPERLINK("https://muckrack.com/doyle-woody")</f>
        <v>https://muckrack.com/doyle-woody</v>
      </c>
      <c r="G150" s="2">
        <v>1197</v>
      </c>
      <c r="H150" s="2" t="s">
        <v>652</v>
      </c>
      <c r="I150" s="2" t="s">
        <v>653</v>
      </c>
      <c r="J150" s="2" t="s">
        <v>325</v>
      </c>
      <c r="K150" s="2" t="s">
        <v>654</v>
      </c>
      <c r="L150" s="2" t="s">
        <v>655</v>
      </c>
      <c r="M150" s="4">
        <v>45649.809594907398</v>
      </c>
      <c r="N150" s="2" t="str">
        <f>HYPERLINK("http://twitter.com/JaromirBlagr/status/1871351536703742138")</f>
        <v>http://twitter.com/JaromirBlagr/status/1871351536703742138</v>
      </c>
      <c r="O150" s="2" t="str">
        <f>HYPERLINK("https://alaskasportsreport.com/2024/12/hausinger-presents-hat-trick-just-before-the-holiday-break-plus-ak-pro-stat-updates/")</f>
        <v>https://alaskasportsreport.com/2024/12/hausinger-presents-hat-trick-just-before-the-holiday-break-plus-ak-pro-stat-updates/</v>
      </c>
    </row>
    <row r="151" spans="1:15" ht="79.2" x14ac:dyDescent="0.3">
      <c r="A151" s="2" t="s">
        <v>232</v>
      </c>
      <c r="B151" s="2" t="s">
        <v>286</v>
      </c>
      <c r="C151" s="2" t="s">
        <v>458</v>
      </c>
      <c r="D151" s="2" t="s">
        <v>459</v>
      </c>
      <c r="E151" s="2" t="str">
        <f>HYPERLINK("http://twitter.com/GlennMariniWANE")</f>
        <v>http://twitter.com/GlennMariniWANE</v>
      </c>
      <c r="F151" s="2" t="str">
        <f>HYPERLINK("https://muckrack.com/glenn-marini")</f>
        <v>https://muckrack.com/glenn-marini</v>
      </c>
      <c r="G151" s="2">
        <v>13992</v>
      </c>
      <c r="H151" s="2" t="s">
        <v>460</v>
      </c>
      <c r="I151" s="2" t="s">
        <v>461</v>
      </c>
      <c r="J151" s="2" t="s">
        <v>279</v>
      </c>
      <c r="K151" s="2" t="s">
        <v>44</v>
      </c>
      <c r="L151" s="2" t="s">
        <v>656</v>
      </c>
      <c r="M151" s="4">
        <v>45649.56045138889</v>
      </c>
      <c r="N151" s="2" t="str">
        <f>HYPERLINK("http://twitter.com/GlennMariniWANE/status/1871261250023526477")</f>
        <v>http://twitter.com/GlennMariniWANE/status/1871261250023526477</v>
      </c>
      <c r="O151" s="2" t="str">
        <f>HYPERLINK("https://www.wane.com/sports/komets/komets-corner-episode-3-december-23/")</f>
        <v>https://www.wane.com/sports/komets/komets-corner-episode-3-december-23/</v>
      </c>
    </row>
    <row r="152" spans="1:15" ht="79.2" x14ac:dyDescent="0.3">
      <c r="A152" s="2" t="s">
        <v>395</v>
      </c>
      <c r="B152" s="2" t="s">
        <v>396</v>
      </c>
      <c r="C152" s="2" t="s">
        <v>397</v>
      </c>
      <c r="D152" s="2" t="s">
        <v>398</v>
      </c>
      <c r="E152" s="2" t="str">
        <f>HYPERLINK("http://twitter.com/jawsfort")</f>
        <v>http://twitter.com/jawsfort</v>
      </c>
      <c r="F152" s="2" t="str">
        <f>HYPERLINK("https://muckrack.com/jawsfort")</f>
        <v>https://muckrack.com/jawsfort</v>
      </c>
      <c r="G152" s="2">
        <v>774</v>
      </c>
      <c r="H152" s="2" t="s">
        <v>391</v>
      </c>
      <c r="I152" s="2" t="s">
        <v>399</v>
      </c>
      <c r="J152" s="2" t="s">
        <v>400</v>
      </c>
      <c r="K152" s="2" t="s">
        <v>40</v>
      </c>
      <c r="L152" s="2" t="s">
        <v>657</v>
      </c>
      <c r="M152" s="4">
        <v>45647.951701388891</v>
      </c>
      <c r="N152" s="2" t="str">
        <f>HYPERLINK("http://twitter.com/jawsfort/status/1870678258678718690")</f>
        <v>http://twitter.com/jawsfort/status/1870678258678718690</v>
      </c>
      <c r="O152" s="2" t="str">
        <f>HYPERLINK("https://www.journalgazette.net/sports/professional/komets/komets-start-with-bang-as-turcotte-fights-indys-cameron-but-lose-1st-trip-to-fishers/article_0252abc0-c001-11ef-9a98-73b5346da8ea.html")</f>
        <v>https://www.journalgazette.net/sports/professional/komets/komets-start-with-bang-as-turcotte-fights-indys-cameron-but-lose-1st-trip-to-fishers/article_0252abc0-c001-11ef-9a98-73b5346da8ea.html</v>
      </c>
    </row>
    <row r="153" spans="1:15" ht="79.2" x14ac:dyDescent="0.3">
      <c r="A153" s="2" t="s">
        <v>658</v>
      </c>
      <c r="B153" s="2" t="s">
        <v>659</v>
      </c>
      <c r="C153" s="2" t="s">
        <v>660</v>
      </c>
      <c r="D153" s="2" t="s">
        <v>661</v>
      </c>
      <c r="E153" s="2" t="str">
        <f>HYPERLINK("http://twitter.com/KyleNeddenriep")</f>
        <v>http://twitter.com/KyleNeddenriep</v>
      </c>
      <c r="F153" s="2" t="str">
        <f>HYPERLINK("https://muckrack.com/kyleneddenriep")</f>
        <v>https://muckrack.com/kyleneddenriep</v>
      </c>
      <c r="G153" s="2">
        <v>54973</v>
      </c>
      <c r="H153" s="2" t="s">
        <v>521</v>
      </c>
      <c r="I153" s="2" t="s">
        <v>662</v>
      </c>
      <c r="J153" s="2" t="s">
        <v>279</v>
      </c>
      <c r="K153" s="2" t="s">
        <v>237</v>
      </c>
      <c r="L153" s="2" t="s">
        <v>663</v>
      </c>
      <c r="M153" s="4">
        <v>45647.506805555553</v>
      </c>
      <c r="N153" s="2" t="str">
        <f>HYPERLINK("http://twitter.com/KyleNeddenriep/status/1870517033944969398")</f>
        <v>http://twitter.com/KyleNeddenriep/status/1870517033944969398</v>
      </c>
      <c r="O153" s="2" t="str">
        <f>HYPERLINK("https://www.indystar.com/story/sports/high-school/2024/12/21/fishers-vs-hse-basketball-fishers-event-center-opens-to-big-mudsock-crowd/77129670007/")</f>
        <v>https://www.indystar.com/story/sports/high-school/2024/12/21/fishers-vs-hse-basketball-fishers-event-center-opens-to-big-mudsock-crowd/77129670007/</v>
      </c>
    </row>
    <row r="154" spans="1:15" ht="66" x14ac:dyDescent="0.3">
      <c r="A154" s="2" t="s">
        <v>395</v>
      </c>
      <c r="B154" s="2" t="s">
        <v>396</v>
      </c>
      <c r="C154" s="2" t="s">
        <v>397</v>
      </c>
      <c r="D154" s="2" t="s">
        <v>398</v>
      </c>
      <c r="E154" s="2" t="str">
        <f>HYPERLINK("http://twitter.com/jawsfort")</f>
        <v>http://twitter.com/jawsfort</v>
      </c>
      <c r="F154" s="2" t="str">
        <f>HYPERLINK("https://muckrack.com/jawsfort")</f>
        <v>https://muckrack.com/jawsfort</v>
      </c>
      <c r="G154" s="2">
        <v>774</v>
      </c>
      <c r="H154" s="2" t="s">
        <v>391</v>
      </c>
      <c r="I154" s="2" t="s">
        <v>399</v>
      </c>
      <c r="J154" s="2" t="s">
        <v>400</v>
      </c>
      <c r="K154" s="2" t="s">
        <v>40</v>
      </c>
      <c r="L154" s="2" t="s">
        <v>664</v>
      </c>
      <c r="M154" s="4">
        <v>45646.994247685187</v>
      </c>
      <c r="N154" s="2" t="str">
        <f>HYPERLINK("http://twitter.com/jawsfort/status/1870331291092013069")</f>
        <v>http://twitter.com/jawsfort/status/1870331291092013069</v>
      </c>
      <c r="O154" s="2" t="str">
        <f>HYPERLINK("https://www.journalgazette.net/sports/professional/komets/strong-at-both-ends-komets-solve-fuel-for-victory/article_4b81cd34-bf30-11ef-906d-bb8c05201438.html")</f>
        <v>https://www.journalgazette.net/sports/professional/komets/strong-at-both-ends-komets-solve-fuel-for-victory/article_4b81cd34-bf30-11ef-906d-bb8c05201438.html</v>
      </c>
    </row>
    <row r="155" spans="1:15" ht="66" x14ac:dyDescent="0.3">
      <c r="A155" s="2" t="s">
        <v>395</v>
      </c>
      <c r="B155" s="2" t="s">
        <v>396</v>
      </c>
      <c r="C155" s="2" t="s">
        <v>397</v>
      </c>
      <c r="D155" s="2" t="s">
        <v>398</v>
      </c>
      <c r="E155" s="2" t="str">
        <f>HYPERLINK("http://twitter.com/jawsfort")</f>
        <v>http://twitter.com/jawsfort</v>
      </c>
      <c r="F155" s="2" t="str">
        <f>HYPERLINK("https://muckrack.com/jawsfort")</f>
        <v>https://muckrack.com/jawsfort</v>
      </c>
      <c r="G155" s="2">
        <v>774</v>
      </c>
      <c r="H155" s="2" t="s">
        <v>391</v>
      </c>
      <c r="I155" s="2" t="s">
        <v>399</v>
      </c>
      <c r="J155" s="2" t="s">
        <v>400</v>
      </c>
      <c r="K155" s="2" t="s">
        <v>40</v>
      </c>
      <c r="L155" s="2" t="s">
        <v>665</v>
      </c>
      <c r="M155" s="4">
        <v>45647.739293981482</v>
      </c>
      <c r="N155" s="2" t="str">
        <f>HYPERLINK("http://twitter.com/jawsfort/status/1870601287705985033")</f>
        <v>http://twitter.com/jawsfort/status/1870601287705985033</v>
      </c>
      <c r="O155" s="2" t="str">
        <f>HYPERLINK("https://www.journalgazette.net/sports/professional/komets/strong-at-both-ends-komets-solve-fuel-for-victory/article_4b81cd34-bf30-11ef-906d-bb8c05201438.html")</f>
        <v>https://www.journalgazette.net/sports/professional/komets/strong-at-both-ends-komets-solve-fuel-for-victory/article_4b81cd34-bf30-11ef-906d-bb8c05201438.html</v>
      </c>
    </row>
    <row r="156" spans="1:15" ht="79.2" x14ac:dyDescent="0.3">
      <c r="A156" s="2" t="s">
        <v>395</v>
      </c>
      <c r="B156" s="2" t="s">
        <v>396</v>
      </c>
      <c r="C156" s="2" t="s">
        <v>397</v>
      </c>
      <c r="D156" s="2" t="s">
        <v>398</v>
      </c>
      <c r="E156" s="2" t="str">
        <f>HYPERLINK("http://twitter.com/jawsfort")</f>
        <v>http://twitter.com/jawsfort</v>
      </c>
      <c r="F156" s="2" t="str">
        <f>HYPERLINK("https://muckrack.com/jawsfort")</f>
        <v>https://muckrack.com/jawsfort</v>
      </c>
      <c r="G156" s="2">
        <v>774</v>
      </c>
      <c r="H156" s="2" t="s">
        <v>391</v>
      </c>
      <c r="I156" s="2" t="s">
        <v>399</v>
      </c>
      <c r="J156" s="2" t="s">
        <v>400</v>
      </c>
      <c r="K156" s="2" t="s">
        <v>40</v>
      </c>
      <c r="L156" s="2" t="s">
        <v>666</v>
      </c>
      <c r="M156" s="4">
        <v>45645.937256944453</v>
      </c>
      <c r="N156" s="2" t="str">
        <f>HYPERLINK("http://twitter.com/jawsfort/status/1869948248728752609")</f>
        <v>http://twitter.com/jawsfort/status/1869948248728752609</v>
      </c>
      <c r="O156" s="2" t="str">
        <f>HYPERLINK("https://www.journalgazette.net/sports/professional/komets/komets-must-figure-out-indys-stifling-defense-which-is-like-solving-a-rubiks-cube/article_a05a888c-be31-11ef-b187-9b2cef39c74e.html")</f>
        <v>https://www.journalgazette.net/sports/professional/komets/komets-must-figure-out-indys-stifling-defense-which-is-like-solving-a-rubiks-cube/article_a05a888c-be31-11ef-b187-9b2cef39c74e.html</v>
      </c>
    </row>
    <row r="157" spans="1:15" ht="79.2" x14ac:dyDescent="0.3">
      <c r="A157" s="2" t="s">
        <v>395</v>
      </c>
      <c r="B157" s="2" t="s">
        <v>396</v>
      </c>
      <c r="C157" s="2" t="s">
        <v>397</v>
      </c>
      <c r="D157" s="2" t="s">
        <v>398</v>
      </c>
      <c r="E157" s="2" t="str">
        <f>HYPERLINK("http://twitter.com/jawsfort")</f>
        <v>http://twitter.com/jawsfort</v>
      </c>
      <c r="F157" s="2" t="str">
        <f>HYPERLINK("https://muckrack.com/jawsfort")</f>
        <v>https://muckrack.com/jawsfort</v>
      </c>
      <c r="G157" s="2">
        <v>774</v>
      </c>
      <c r="H157" s="2" t="s">
        <v>391</v>
      </c>
      <c r="I157" s="2" t="s">
        <v>399</v>
      </c>
      <c r="J157" s="2" t="s">
        <v>400</v>
      </c>
      <c r="K157" s="2" t="s">
        <v>40</v>
      </c>
      <c r="L157" s="2" t="s">
        <v>667</v>
      </c>
      <c r="M157" s="4">
        <v>45643.943576388891</v>
      </c>
      <c r="N157" s="2" t="str">
        <f>HYPERLINK("http://twitter.com/jawsfort/status/1869225762752176145")</f>
        <v>http://twitter.com/jawsfort/status/1869225762752176145</v>
      </c>
      <c r="O157" s="2" t="str">
        <f>HYPERLINK("https://www.journalgazette.net/sports/professional/komets/komets-forward-dugan-seems-to-have-recaptured-game-after-uncharacteristic-start/article_edd8ee8e-bc2c-11ef-9617-074363b199b3.html")</f>
        <v>https://www.journalgazette.net/sports/professional/komets/komets-forward-dugan-seems-to-have-recaptured-game-after-uncharacteristic-start/article_edd8ee8e-bc2c-11ef-9617-074363b199b3.html</v>
      </c>
    </row>
    <row r="158" spans="1:15" ht="79.2" x14ac:dyDescent="0.3">
      <c r="A158" s="2" t="s">
        <v>327</v>
      </c>
      <c r="B158" s="2" t="s">
        <v>328</v>
      </c>
      <c r="C158" s="2" t="s">
        <v>329</v>
      </c>
      <c r="D158" s="2" t="s">
        <v>330</v>
      </c>
      <c r="E158" s="2" t="str">
        <f>HYPERLINK("http://twitter.com/ADChernoff")</f>
        <v>http://twitter.com/ADChernoff</v>
      </c>
      <c r="F158" s="2" t="str">
        <f>HYPERLINK("https://muckrack.com/andrew-chernoff")</f>
        <v>https://muckrack.com/andrew-chernoff</v>
      </c>
      <c r="G158" s="2">
        <v>7780</v>
      </c>
      <c r="H158" s="2" t="s">
        <v>331</v>
      </c>
      <c r="I158" s="2" t="s">
        <v>332</v>
      </c>
      <c r="J158" s="2" t="s">
        <v>279</v>
      </c>
      <c r="K158" s="2" t="s">
        <v>333</v>
      </c>
      <c r="L158" s="2" t="s">
        <v>668</v>
      </c>
      <c r="M158" s="4">
        <v>45643.375011574077</v>
      </c>
      <c r="N158" s="2" t="str">
        <f>HYPERLINK("http://twitter.com/ADChernoff/status/1869019725369393483")</f>
        <v>http://twitter.com/ADChernoff/status/1869019725369393483</v>
      </c>
      <c r="O158" s="2" t="str">
        <f>HYPERLINK("https://www.wishtv.com/sports/fishers-event-center-to-host-first-pro-volleyball-federation-all-star-match/")</f>
        <v>https://www.wishtv.com/sports/fishers-event-center-to-host-first-pro-volleyball-federation-all-star-match/</v>
      </c>
    </row>
    <row r="159" spans="1:15" ht="52.8" x14ac:dyDescent="0.3">
      <c r="A159" s="2" t="s">
        <v>404</v>
      </c>
      <c r="B159" s="2" t="s">
        <v>405</v>
      </c>
      <c r="C159" s="2" t="s">
        <v>406</v>
      </c>
      <c r="D159" s="2" t="s">
        <v>407</v>
      </c>
      <c r="E159" s="2" t="str">
        <f>HYPERLINK("http://twitter.com/ByPeteTobey")</f>
        <v>http://twitter.com/ByPeteTobey</v>
      </c>
      <c r="F159" s="2" t="str">
        <f>HYPERLINK("https://muckrack.com/pete-tobey")</f>
        <v>https://muckrack.com/pete-tobey</v>
      </c>
      <c r="G159" s="2">
        <v>4341</v>
      </c>
      <c r="H159" s="2" t="s">
        <v>408</v>
      </c>
      <c r="I159" s="2" t="s">
        <v>409</v>
      </c>
      <c r="J159" s="2" t="s">
        <v>279</v>
      </c>
      <c r="K159" s="2" t="s">
        <v>224</v>
      </c>
      <c r="L159" s="2" t="s">
        <v>669</v>
      </c>
      <c r="M159" s="4">
        <v>45642.372743055559</v>
      </c>
      <c r="N159" s="2" t="str">
        <f>HYPERLINK("http://twitter.com/ByPeteTobey/status/1868656514590019726")</f>
        <v>http://twitter.com/ByPeteTobey/status/1868656514590019726</v>
      </c>
      <c r="O159" s="2" t="str">
        <f>HYPERLINK("https://poststar.com/sports/adirondack-thunder-echl-teddy-bear-toss-night/article_e0659c8c-baad-11ef-baef-8b22be9fbd7b.html")</f>
        <v>https://poststar.com/sports/adirondack-thunder-echl-teddy-bear-toss-night/article_e0659c8c-baad-11ef-baef-8b22be9fbd7b.html</v>
      </c>
    </row>
    <row r="160" spans="1:15" ht="79.2" x14ac:dyDescent="0.3">
      <c r="A160" s="2" t="s">
        <v>395</v>
      </c>
      <c r="B160" s="2" t="s">
        <v>396</v>
      </c>
      <c r="C160" s="2" t="s">
        <v>397</v>
      </c>
      <c r="D160" s="2" t="s">
        <v>398</v>
      </c>
      <c r="E160" s="2" t="str">
        <f>HYPERLINK("http://twitter.com/jawsfort")</f>
        <v>http://twitter.com/jawsfort</v>
      </c>
      <c r="F160" s="2" t="str">
        <f>HYPERLINK("https://muckrack.com/jawsfort")</f>
        <v>https://muckrack.com/jawsfort</v>
      </c>
      <c r="G160" s="2">
        <v>774</v>
      </c>
      <c r="H160" s="2" t="s">
        <v>391</v>
      </c>
      <c r="I160" s="2" t="s">
        <v>399</v>
      </c>
      <c r="J160" s="2" t="s">
        <v>400</v>
      </c>
      <c r="K160" s="2" t="s">
        <v>40</v>
      </c>
      <c r="L160" s="2" t="s">
        <v>670</v>
      </c>
      <c r="M160" s="4">
        <v>45641.508900462963</v>
      </c>
      <c r="N160" s="2" t="str">
        <f>HYPERLINK("http://twitter.com/jawsfort/status/1868343465869758625")</f>
        <v>http://twitter.com/jawsfort/status/1868343465869758625</v>
      </c>
      <c r="O160" s="2" t="str">
        <f>HYPERLINK("https://www.journalgazette.net/sports/professional/komets/komets-offense-breaks-out-8-goals-from-8-different-scorers-in-romp-over-struggling-americans/article_be45029e-ba78-11ef-88f4-3bc68ec87423.html")</f>
        <v>https://www.journalgazette.net/sports/professional/komets/komets-offense-breaks-out-8-goals-from-8-different-scorers-in-romp-over-struggling-americans/article_be45029e-ba78-11ef-88f4-3bc68ec87423.html</v>
      </c>
    </row>
    <row r="161" spans="1:15" ht="92.4" x14ac:dyDescent="0.3">
      <c r="A161" s="2" t="s">
        <v>671</v>
      </c>
      <c r="B161" s="2" t="s">
        <v>672</v>
      </c>
      <c r="C161" s="2" t="s">
        <v>673</v>
      </c>
      <c r="D161" s="2" t="s">
        <v>674</v>
      </c>
      <c r="E161" s="2" t="str">
        <f>HYPERLINK("http://twitter.com/BradBrownTV")</f>
        <v>http://twitter.com/BradBrownTV</v>
      </c>
      <c r="F161" s="2" t="str">
        <f>HYPERLINK("https://muckrack.com/brad-brown-6")</f>
        <v>https://muckrack.com/brad-brown-6</v>
      </c>
      <c r="G161" s="2">
        <v>1516</v>
      </c>
      <c r="H161" s="2" t="s">
        <v>331</v>
      </c>
      <c r="I161" s="2" t="s">
        <v>675</v>
      </c>
      <c r="J161" s="2" t="s">
        <v>279</v>
      </c>
      <c r="K161" s="2" t="s">
        <v>676</v>
      </c>
      <c r="L161" s="2" t="s">
        <v>677</v>
      </c>
      <c r="M161" s="4">
        <v>45640.941562499997</v>
      </c>
      <c r="N161" s="2" t="str">
        <f>HYPERLINK("http://twitter.com/BradBrownTV/status/1868137870806110507")</f>
        <v>http://twitter.com/BradBrownTV/status/1868137870806110507</v>
      </c>
      <c r="O161" s="2" t="str">
        <f>HYPERLINK("https://indyfuelhockey.com/news/2024/12/fuel-break-franchise-teddy-bear-record-in-sell-out-game")</f>
        <v>https://indyfuelhockey.com/news/2024/12/fuel-break-franchise-teddy-bear-record-in-sell-out-game</v>
      </c>
    </row>
    <row r="162" spans="1:15" ht="52.8" x14ac:dyDescent="0.3">
      <c r="A162" s="2" t="s">
        <v>367</v>
      </c>
      <c r="B162" s="2" t="s">
        <v>368</v>
      </c>
      <c r="C162" s="2" t="s">
        <v>369</v>
      </c>
      <c r="D162" s="2" t="s">
        <v>370</v>
      </c>
      <c r="E162" s="2" t="str">
        <f>HYPERLINK("http://twitter.com/justin_powell24")</f>
        <v>http://twitter.com/justin_powell24</v>
      </c>
      <c r="F162" s="2" t="str">
        <f>HYPERLINK("https://muckrack.com/justin-powell-7")</f>
        <v>https://muckrack.com/justin-powell-7</v>
      </c>
      <c r="G162" s="2">
        <v>536</v>
      </c>
      <c r="H162" s="2"/>
      <c r="I162" s="2" t="s">
        <v>371</v>
      </c>
      <c r="J162" s="2" t="s">
        <v>372</v>
      </c>
      <c r="K162" s="2" t="s">
        <v>242</v>
      </c>
      <c r="L162" s="2" t="s">
        <v>677</v>
      </c>
      <c r="M162" s="4">
        <v>45642.342326388891</v>
      </c>
      <c r="N162" s="2" t="str">
        <f>HYPERLINK("http://twitter.com/justin_powell24/status/1868645490155512072")</f>
        <v>http://twitter.com/justin_powell24/status/1868645490155512072</v>
      </c>
      <c r="O162" s="2" t="str">
        <f>HYPERLINK("https://indyfuelhockey.com/news/2024/12/fuel-break-franchise-teddy-bear-record-in-sell-out-game")</f>
        <v>https://indyfuelhockey.com/news/2024/12/fuel-break-franchise-teddy-bear-record-in-sell-out-game</v>
      </c>
    </row>
    <row r="163" spans="1:15" ht="79.2" x14ac:dyDescent="0.3">
      <c r="A163" s="2" t="s">
        <v>395</v>
      </c>
      <c r="B163" s="2" t="s">
        <v>396</v>
      </c>
      <c r="C163" s="2" t="s">
        <v>397</v>
      </c>
      <c r="D163" s="2" t="s">
        <v>398</v>
      </c>
      <c r="E163" s="2" t="str">
        <f>HYPERLINK("http://twitter.com/jawsfort")</f>
        <v>http://twitter.com/jawsfort</v>
      </c>
      <c r="F163" s="2" t="str">
        <f>HYPERLINK("https://muckrack.com/jawsfort")</f>
        <v>https://muckrack.com/jawsfort</v>
      </c>
      <c r="G163" s="2">
        <v>774</v>
      </c>
      <c r="H163" s="2" t="s">
        <v>391</v>
      </c>
      <c r="I163" s="2" t="s">
        <v>399</v>
      </c>
      <c r="J163" s="2" t="s">
        <v>400</v>
      </c>
      <c r="K163" s="2" t="s">
        <v>40</v>
      </c>
      <c r="L163" s="2" t="s">
        <v>678</v>
      </c>
      <c r="M163" s="4">
        <v>45639.964918981481</v>
      </c>
      <c r="N163" s="2" t="str">
        <f>HYPERLINK("http://twitter.com/jawsfort/status/1867783947947790557")</f>
        <v>http://twitter.com/jawsfort/status/1867783947947790557</v>
      </c>
      <c r="O163" s="2" t="str">
        <f>HYPERLINK("https://www.journalgazette.net/sports/professional/komets/komets-win-defensive-minded-game-over-bison-as-brochu-stops-27-shots/article_7740c86c-b9ae-11ef-982d-43ed0d6b87e6.html")</f>
        <v>https://www.journalgazette.net/sports/professional/komets/komets-win-defensive-minded-game-over-bison-as-brochu-stops-27-shots/article_7740c86c-b9ae-11ef-982d-43ed0d6b87e6.html</v>
      </c>
    </row>
    <row r="164" spans="1:15" ht="79.2" x14ac:dyDescent="0.3">
      <c r="A164" s="2" t="s">
        <v>236</v>
      </c>
      <c r="B164" s="2" t="s">
        <v>679</v>
      </c>
      <c r="C164" s="2" t="s">
        <v>680</v>
      </c>
      <c r="D164" s="2" t="s">
        <v>681</v>
      </c>
      <c r="E164" s="2" t="str">
        <f>HYPERLINK("http://twitter.com/John_Tuohy")</f>
        <v>http://twitter.com/John_Tuohy</v>
      </c>
      <c r="F164" s="2" t="str">
        <f>HYPERLINK("https://muckrack.com/john_tuohy")</f>
        <v>https://muckrack.com/john_tuohy</v>
      </c>
      <c r="G164" s="2">
        <v>3688</v>
      </c>
      <c r="H164" s="2" t="s">
        <v>331</v>
      </c>
      <c r="I164" s="2" t="s">
        <v>682</v>
      </c>
      <c r="J164" s="2" t="s">
        <v>683</v>
      </c>
      <c r="K164" s="2" t="s">
        <v>237</v>
      </c>
      <c r="L164" s="2" t="s">
        <v>684</v>
      </c>
      <c r="M164" s="4">
        <v>45637.486562500002</v>
      </c>
      <c r="N164" s="2" t="str">
        <f>HYPERLINK("http://twitter.com/John_Tuohy/status/1866885823204909215")</f>
        <v>http://twitter.com/John_Tuohy/status/1866885823204909215</v>
      </c>
      <c r="O164" s="2" t="str">
        <f>HYPERLINK("https://www.indystar.com/story/news/local/hamilton-county/fishers/2024/12/11/how-fishers-arena-got-the-march-madness-court-where-purdue-played/76863596007/")</f>
        <v>https://www.indystar.com/story/news/local/hamilton-county/fishers/2024/12/11/how-fishers-arena-got-the-march-madness-court-where-purdue-played/76863596007/</v>
      </c>
    </row>
    <row r="165" spans="1:15" ht="52.8" x14ac:dyDescent="0.3">
      <c r="A165" s="2" t="s">
        <v>360</v>
      </c>
      <c r="B165" s="2" t="s">
        <v>361</v>
      </c>
      <c r="C165" s="2" t="s">
        <v>362</v>
      </c>
      <c r="D165" s="2" t="s">
        <v>363</v>
      </c>
      <c r="E165" s="2" t="str">
        <f>HYPERLINK("http://twitter.com/onairwitheva")</f>
        <v>http://twitter.com/onairwitheva</v>
      </c>
      <c r="F165" s="2" t="str">
        <f>HYPERLINK("https://muckrack.com/eva-hallman")</f>
        <v>https://muckrack.com/eva-hallman</v>
      </c>
      <c r="G165" s="2">
        <v>837</v>
      </c>
      <c r="H165" s="2"/>
      <c r="I165" s="2" t="s">
        <v>364</v>
      </c>
      <c r="J165" s="2" t="s">
        <v>365</v>
      </c>
      <c r="K165" s="2" t="s">
        <v>44</v>
      </c>
      <c r="L165" s="2" t="s">
        <v>685</v>
      </c>
      <c r="M165" s="4">
        <v>45636.691793981481</v>
      </c>
      <c r="N165" s="2" t="str">
        <f>HYPERLINK("http://twitter.com/onairwitheva/status/1866597808234537309")</f>
        <v>http://twitter.com/onairwitheva/status/1866597808234537309</v>
      </c>
      <c r="O165" s="2" t="str">
        <f>HYPERLINK("https://indyfuelhockey.com/news/2024/12/indy-fuel-pit-stop-week-8")</f>
        <v>https://indyfuelhockey.com/news/2024/12/indy-fuel-pit-stop-week-8</v>
      </c>
    </row>
    <row r="166" spans="1:15" ht="52.8" x14ac:dyDescent="0.3">
      <c r="A166" s="2" t="s">
        <v>360</v>
      </c>
      <c r="B166" s="2" t="s">
        <v>361</v>
      </c>
      <c r="C166" s="2" t="s">
        <v>362</v>
      </c>
      <c r="D166" s="2" t="s">
        <v>363</v>
      </c>
      <c r="E166" s="2" t="str">
        <f>HYPERLINK("http://twitter.com/onairwitheva")</f>
        <v>http://twitter.com/onairwitheva</v>
      </c>
      <c r="F166" s="2" t="str">
        <f>HYPERLINK("https://muckrack.com/eva-hallman")</f>
        <v>https://muckrack.com/eva-hallman</v>
      </c>
      <c r="G166" s="2">
        <v>837</v>
      </c>
      <c r="H166" s="2"/>
      <c r="I166" s="2" t="s">
        <v>364</v>
      </c>
      <c r="J166" s="2" t="s">
        <v>365</v>
      </c>
      <c r="K166" s="2" t="s">
        <v>44</v>
      </c>
      <c r="L166" s="2" t="s">
        <v>686</v>
      </c>
      <c r="M166" s="4">
        <v>45631.894687499997</v>
      </c>
      <c r="N166" s="2" t="str">
        <f>HYPERLINK("http://twitter.com/onairwitheva/status/1864859391574335652")</f>
        <v>http://twitter.com/onairwitheva/status/1864859391574335652</v>
      </c>
      <c r="O166" s="2" t="str">
        <f>HYPERLINK("https://indyfuelhockey.com/news/2024/12/fuel-to-host-historic-home-opener-in-new-arena")</f>
        <v>https://indyfuelhockey.com/news/2024/12/fuel-to-host-historic-home-opener-in-new-arena</v>
      </c>
    </row>
    <row r="167" spans="1:15" ht="39.6" x14ac:dyDescent="0.3">
      <c r="A167" s="2" t="s">
        <v>687</v>
      </c>
      <c r="B167" s="2" t="s">
        <v>688</v>
      </c>
      <c r="C167" s="2" t="s">
        <v>689</v>
      </c>
      <c r="D167" s="2" t="s">
        <v>690</v>
      </c>
      <c r="E167" s="2" t="str">
        <f>HYPERLINK("http://twitter.com/dmarieolsen")</f>
        <v>http://twitter.com/dmarieolsen</v>
      </c>
      <c r="F167" s="2" t="str">
        <f>HYPERLINK("https://muckrack.com/dawn-olsen")</f>
        <v>https://muckrack.com/dawn-olsen</v>
      </c>
      <c r="G167" s="2">
        <v>2467</v>
      </c>
      <c r="H167" s="2" t="s">
        <v>331</v>
      </c>
      <c r="I167" s="2" t="s">
        <v>691</v>
      </c>
      <c r="J167" s="2" t="s">
        <v>692</v>
      </c>
      <c r="K167" s="2" t="s">
        <v>654</v>
      </c>
      <c r="L167" s="2" t="s">
        <v>693</v>
      </c>
      <c r="M167" s="4">
        <v>45629.517094907409</v>
      </c>
      <c r="N167" s="2" t="str">
        <f>HYPERLINK("http://twitter.com/dmarieolsen/status/1863997784891838940")</f>
        <v>http://twitter.com/dmarieolsen/status/1863997784891838940</v>
      </c>
      <c r="O167" s="2" t="str">
        <f>HYPERLINK("https://cbs4indy.com/pack-the-pantries/help-fox59-cbs4-pack-the-pantries-on-giving-tuesday/")</f>
        <v>https://cbs4indy.com/pack-the-pantries/help-fox59-cbs4-pack-the-pantries-on-giving-tuesday/</v>
      </c>
    </row>
    <row r="168" spans="1:15" ht="66" x14ac:dyDescent="0.3">
      <c r="A168" s="2" t="s">
        <v>246</v>
      </c>
      <c r="B168" s="2" t="s">
        <v>274</v>
      </c>
      <c r="C168" s="2" t="s">
        <v>612</v>
      </c>
      <c r="D168" s="2" t="s">
        <v>613</v>
      </c>
      <c r="E168" s="2" t="str">
        <f>HYPERLINK("http://twitter.com/jeje66")</f>
        <v>http://twitter.com/jeje66</v>
      </c>
      <c r="F168" s="2" t="str">
        <f>HYPERLINK("https://muckrack.com/jeff-johnson-1")</f>
        <v>https://muckrack.com/jeff-johnson-1</v>
      </c>
      <c r="G168" s="2">
        <v>13409</v>
      </c>
      <c r="H168" s="2" t="s">
        <v>614</v>
      </c>
      <c r="I168" s="2" t="s">
        <v>615</v>
      </c>
      <c r="J168" s="2" t="s">
        <v>400</v>
      </c>
      <c r="K168" s="2" t="s">
        <v>247</v>
      </c>
      <c r="L168" s="2" t="s">
        <v>694</v>
      </c>
      <c r="M168" s="4">
        <v>45628.779976851853</v>
      </c>
      <c r="N168" s="2" t="str">
        <f>HYPERLINK("http://twitter.com/jeje66/status/1863730660805869913")</f>
        <v>http://twitter.com/jeje66/status/1863730660805869913</v>
      </c>
      <c r="O168" s="2" t="str">
        <f>HYPERLINK("https://www.thegazette.com/minor-league-sports/corridor-cross-checks-thanks-to-his-brother-a-j-reyelts-of-the-cedar-rapids-roughriders-became-a/")</f>
        <v>https://www.thegazette.com/minor-league-sports/corridor-cross-checks-thanks-to-his-brother-a-j-reyelts-of-the-cedar-rapids-roughriders-became-a/</v>
      </c>
    </row>
    <row r="169" spans="1:15" ht="52.8" x14ac:dyDescent="0.3">
      <c r="A169" s="2" t="s">
        <v>367</v>
      </c>
      <c r="B169" s="2" t="s">
        <v>368</v>
      </c>
      <c r="C169" s="2" t="s">
        <v>369</v>
      </c>
      <c r="D169" s="2" t="s">
        <v>370</v>
      </c>
      <c r="E169" s="2" t="str">
        <f>HYPERLINK("http://twitter.com/justin_powell24")</f>
        <v>http://twitter.com/justin_powell24</v>
      </c>
      <c r="F169" s="2" t="str">
        <f>HYPERLINK("https://muckrack.com/justin-powell-7")</f>
        <v>https://muckrack.com/justin-powell-7</v>
      </c>
      <c r="G169" s="2">
        <v>536</v>
      </c>
      <c r="H169" s="2"/>
      <c r="I169" s="2" t="s">
        <v>371</v>
      </c>
      <c r="J169" s="2" t="s">
        <v>372</v>
      </c>
      <c r="K169" s="2" t="s">
        <v>242</v>
      </c>
      <c r="L169" s="2" t="s">
        <v>695</v>
      </c>
      <c r="M169" s="4">
        <v>45627.020821759259</v>
      </c>
      <c r="N169" s="2" t="str">
        <f>HYPERLINK("http://twitter.com/justin_powell24/status/1863093164866723961")</f>
        <v>http://twitter.com/justin_powell24/status/1863093164866723961</v>
      </c>
      <c r="O169" s="2" t="str">
        <f>HYPERLINK("https://indyfuelhockey.com/news/2024/11/fuel-sweep-series-in-utah")</f>
        <v>https://indyfuelhockey.com/news/2024/11/fuel-sweep-series-in-utah</v>
      </c>
    </row>
    <row r="170" spans="1:15" ht="66" x14ac:dyDescent="0.3">
      <c r="A170" s="2" t="s">
        <v>696</v>
      </c>
      <c r="B170" s="2" t="s">
        <v>697</v>
      </c>
      <c r="C170" s="2" t="s">
        <v>698</v>
      </c>
      <c r="D170" s="2" t="s">
        <v>699</v>
      </c>
      <c r="E170" s="2" t="str">
        <f>HYPERLINK("http://twitter.com/FifeFreePressEd")</f>
        <v>http://twitter.com/FifeFreePressEd</v>
      </c>
      <c r="F170" s="2" t="str">
        <f>HYPERLINK("https://muckrack.com/allan-crow-1")</f>
        <v>https://muckrack.com/allan-crow-1</v>
      </c>
      <c r="G170" s="2">
        <v>6504</v>
      </c>
      <c r="H170" s="2" t="s">
        <v>700</v>
      </c>
      <c r="I170" s="2" t="s">
        <v>701</v>
      </c>
      <c r="J170" s="2" t="s">
        <v>702</v>
      </c>
      <c r="K170" s="2" t="s">
        <v>703</v>
      </c>
      <c r="L170" s="2" t="s">
        <v>704</v>
      </c>
      <c r="M170" s="4">
        <v>45624.187199074076</v>
      </c>
      <c r="N170" s="2" t="str">
        <f>HYPERLINK("http://twitter.com/FifeFreePressEd/status/1862066294012473557")</f>
        <v>http://twitter.com/FifeFreePressEd/status/1862066294012473557</v>
      </c>
      <c r="O170" s="2" t="str">
        <f>HYPERLINK("https://www.fifetoday.co.uk/sport/ice-hockey/fife-flyers-tom-coolen-work-hard-work-it-out-4886730")</f>
        <v>https://www.fifetoday.co.uk/sport/ice-hockey/fife-flyers-tom-coolen-work-hard-work-it-out-4886730</v>
      </c>
    </row>
    <row r="171" spans="1:15" ht="79.2" x14ac:dyDescent="0.3">
      <c r="A171" s="2" t="s">
        <v>250</v>
      </c>
      <c r="B171" s="2" t="s">
        <v>705</v>
      </c>
      <c r="C171" s="2" t="s">
        <v>706</v>
      </c>
      <c r="D171" s="2" t="s">
        <v>707</v>
      </c>
      <c r="E171" s="2" t="str">
        <f>HYPERLINK("http://twitter.com/317lindquist")</f>
        <v>http://twitter.com/317lindquist</v>
      </c>
      <c r="F171" s="2" t="str">
        <f>HYPERLINK("https://muckrack.com/317lindquist")</f>
        <v>https://muckrack.com/317lindquist</v>
      </c>
      <c r="G171" s="2">
        <v>23496</v>
      </c>
      <c r="H171" s="2" t="s">
        <v>521</v>
      </c>
      <c r="I171" s="2" t="s">
        <v>708</v>
      </c>
      <c r="J171" s="2" t="s">
        <v>709</v>
      </c>
      <c r="K171" s="2" t="s">
        <v>710</v>
      </c>
      <c r="L171" s="2" t="s">
        <v>711</v>
      </c>
      <c r="M171" s="4">
        <v>45619.497141203698</v>
      </c>
      <c r="N171" s="2" t="str">
        <f>HYPERLINK("http://twitter.com/317lindquist/status/1860366673628324128")</f>
        <v>http://twitter.com/317lindquist/status/1860366673628324128</v>
      </c>
      <c r="O171" s="2" t="str">
        <f>HYPERLINK("https://www.ibj.com/articles/concert-launches-fishers-arena-where-parking-policy-faces-learning-curve")</f>
        <v>https://www.ibj.com/articles/concert-launches-fishers-arena-where-parking-policy-faces-learning-curve</v>
      </c>
    </row>
    <row r="172" spans="1:15" ht="79.2" x14ac:dyDescent="0.3">
      <c r="A172" s="2" t="s">
        <v>579</v>
      </c>
      <c r="B172" s="2" t="s">
        <v>580</v>
      </c>
      <c r="C172" s="2" t="s">
        <v>581</v>
      </c>
      <c r="D172" s="2" t="s">
        <v>582</v>
      </c>
      <c r="E172" s="2" t="str">
        <f>HYPERLINK("http://twitter.com/olivia___jacobs")</f>
        <v>http://twitter.com/olivia___jacobs</v>
      </c>
      <c r="F172" s="2" t="str">
        <f>HYPERLINK("https://muckrack.com/olivia-jacobs")</f>
        <v>https://muckrack.com/olivia-jacobs</v>
      </c>
      <c r="G172" s="2">
        <v>371</v>
      </c>
      <c r="H172" s="2" t="s">
        <v>583</v>
      </c>
      <c r="I172" s="2" t="s">
        <v>584</v>
      </c>
      <c r="J172" s="2"/>
      <c r="K172" s="2" t="s">
        <v>73</v>
      </c>
      <c r="L172" s="2" t="s">
        <v>712</v>
      </c>
      <c r="M172" s="4">
        <v>45617.40048611111</v>
      </c>
      <c r="N172" s="2" t="str">
        <f>HYPERLINK("http://twitter.com/olivia___jacobs/status/1859606871797072359")</f>
        <v>http://twitter.com/olivia___jacobs/status/1859606871797072359</v>
      </c>
      <c r="O172" s="2" t="str">
        <f>HYPERLINK("https://pantagraph.com/life-entertainment/local/looking-for-something-to-do-this-weekend-in-central-illinois-heres-the-list/article_1e060776-a2ca-11ef-b513-1f5805c95032.html")</f>
        <v>https://pantagraph.com/life-entertainment/local/looking-for-something-to-do-this-weekend-in-central-illinois-heres-the-list/article_1e060776-a2ca-11ef-b513-1f5805c95032.html</v>
      </c>
    </row>
    <row r="173" spans="1:15" ht="52.8" x14ac:dyDescent="0.3">
      <c r="A173" s="2" t="s">
        <v>696</v>
      </c>
      <c r="B173" s="2" t="s">
        <v>697</v>
      </c>
      <c r="C173" s="2" t="s">
        <v>698</v>
      </c>
      <c r="D173" s="2" t="s">
        <v>699</v>
      </c>
      <c r="E173" s="2" t="str">
        <f>HYPERLINK("http://twitter.com/FifeFreePressEd")</f>
        <v>http://twitter.com/FifeFreePressEd</v>
      </c>
      <c r="F173" s="2" t="str">
        <f>HYPERLINK("https://muckrack.com/allan-crow-1")</f>
        <v>https://muckrack.com/allan-crow-1</v>
      </c>
      <c r="G173" s="2">
        <v>6504</v>
      </c>
      <c r="H173" s="2" t="s">
        <v>700</v>
      </c>
      <c r="I173" s="2" t="s">
        <v>701</v>
      </c>
      <c r="J173" s="2" t="s">
        <v>702</v>
      </c>
      <c r="K173" s="2" t="s">
        <v>703</v>
      </c>
      <c r="L173" s="2" t="s">
        <v>713</v>
      </c>
      <c r="M173" s="4">
        <v>45617.419340277767</v>
      </c>
      <c r="N173" s="2" t="str">
        <f>HYPERLINK("http://twitter.com/FifeFreePressEd/status/1859613704435757414")</f>
        <v>http://twitter.com/FifeFreePressEd/status/1859613704435757414</v>
      </c>
      <c r="O173" s="2" t="str">
        <f>HYPERLINK("https://www.fifetoday.co.uk/sport/ice-hockey/fife-flyers-add-fifth-round-nhl-draft-centreman-to-line-up-4877534")</f>
        <v>https://www.fifetoday.co.uk/sport/ice-hockey/fife-flyers-add-fifth-round-nhl-draft-centreman-to-line-up-4877534</v>
      </c>
    </row>
    <row r="174" spans="1:15" ht="79.2" x14ac:dyDescent="0.3">
      <c r="A174" s="2" t="s">
        <v>249</v>
      </c>
      <c r="B174" s="2" t="s">
        <v>382</v>
      </c>
      <c r="C174" s="2" t="s">
        <v>714</v>
      </c>
      <c r="D174" s="2" t="s">
        <v>715</v>
      </c>
      <c r="E174" s="2" t="str">
        <f>HYPERLINK("http://twitter.com/MickeyShuey")</f>
        <v>http://twitter.com/MickeyShuey</v>
      </c>
      <c r="F174" s="2" t="str">
        <f>HYPERLINK("https://muckrack.com/mickeyshuey")</f>
        <v>https://muckrack.com/mickeyshuey</v>
      </c>
      <c r="G174" s="2">
        <v>1868</v>
      </c>
      <c r="H174" s="2" t="s">
        <v>331</v>
      </c>
      <c r="I174" s="2" t="s">
        <v>716</v>
      </c>
      <c r="J174" s="2" t="s">
        <v>717</v>
      </c>
      <c r="K174" s="2" t="s">
        <v>243</v>
      </c>
      <c r="L174" s="2" t="s">
        <v>718</v>
      </c>
      <c r="M174" s="4">
        <v>45609.279490740737</v>
      </c>
      <c r="N174" s="2" t="str">
        <f>HYPERLINK("http://twitter.com/MickeyShuey/status/1856663920515145976")</f>
        <v>http://twitter.com/MickeyShuey/status/1856663920515145976</v>
      </c>
      <c r="O174" s="2" t="str">
        <f>HYPERLINK("https://www.ibj.com/articles/corteva-inks-deal-for-naming-rights-to-fairgrounds-coliseum")</f>
        <v>https://www.ibj.com/articles/corteva-inks-deal-for-naming-rights-to-fairgrounds-coliseum</v>
      </c>
    </row>
    <row r="175" spans="1:15" ht="92.4" x14ac:dyDescent="0.3">
      <c r="A175" s="2" t="s">
        <v>28</v>
      </c>
      <c r="B175" s="2" t="s">
        <v>274</v>
      </c>
      <c r="C175" s="2" t="s">
        <v>275</v>
      </c>
      <c r="D175" s="2" t="s">
        <v>276</v>
      </c>
      <c r="E175" s="2" t="str">
        <f>HYPERLINK("http://twitter.com/MonroeBlade")</f>
        <v>http://twitter.com/MonroeBlade</v>
      </c>
      <c r="F175" s="2" t="str">
        <f>HYPERLINK("https://muckrack.com/mark-monroe")</f>
        <v>https://muckrack.com/mark-monroe</v>
      </c>
      <c r="G175" s="2">
        <v>5022</v>
      </c>
      <c r="H175" s="2" t="s">
        <v>277</v>
      </c>
      <c r="I175" s="2" t="s">
        <v>278</v>
      </c>
      <c r="J175" s="2" t="s">
        <v>279</v>
      </c>
      <c r="K175" s="2" t="s">
        <v>29</v>
      </c>
      <c r="L175" s="2" t="s">
        <v>719</v>
      </c>
      <c r="M175" s="4">
        <v>45606.908888888887</v>
      </c>
      <c r="N175" s="2" t="str">
        <f>HYPERLINK("http://twitter.com/MonroeBlade/status/1855804844998832537")</f>
        <v>http://twitter.com/MonroeBlade/status/1855804844998832537</v>
      </c>
      <c r="O175" s="2" t="str">
        <f>HYPERLINK("https://www.toledoblade.com/sports/walleye/2024/11/10/walleye-vs-kalamazoo/stories/20241110164")</f>
        <v>https://www.toledoblade.com/sports/walleye/2024/11/10/walleye-vs-kalamazoo/stories/20241110164</v>
      </c>
    </row>
    <row r="176" spans="1:15" ht="52.8" x14ac:dyDescent="0.3">
      <c r="A176" s="2" t="s">
        <v>367</v>
      </c>
      <c r="B176" s="2" t="s">
        <v>368</v>
      </c>
      <c r="C176" s="2" t="s">
        <v>369</v>
      </c>
      <c r="D176" s="2" t="s">
        <v>370</v>
      </c>
      <c r="E176" s="2" t="str">
        <f>HYPERLINK("http://twitter.com/justin_powell24")</f>
        <v>http://twitter.com/justin_powell24</v>
      </c>
      <c r="F176" s="2" t="str">
        <f>HYPERLINK("https://muckrack.com/justin-powell-7")</f>
        <v>https://muckrack.com/justin-powell-7</v>
      </c>
      <c r="G176" s="2">
        <v>536</v>
      </c>
      <c r="H176" s="2"/>
      <c r="I176" s="2" t="s">
        <v>371</v>
      </c>
      <c r="J176" s="2" t="s">
        <v>372</v>
      </c>
      <c r="K176" s="2" t="s">
        <v>242</v>
      </c>
      <c r="L176" s="2" t="s">
        <v>720</v>
      </c>
      <c r="M176" s="4">
        <v>45598.947500000002</v>
      </c>
      <c r="N176" s="2" t="str">
        <f>HYPERLINK("http://twitter.com/justin_powell24/status/1852904634177704099")</f>
        <v>http://twitter.com/justin_powell24/status/1852904634177704099</v>
      </c>
      <c r="O176" s="2" t="str">
        <f>HYPERLINK("https://indyfuelhockey.com/news/2024/11/fuel-hand-wings-first-loss-of-the-season")</f>
        <v>https://indyfuelhockey.com/news/2024/11/fuel-hand-wings-first-loss-of-the-season</v>
      </c>
    </row>
    <row r="177" spans="1:15" ht="66" x14ac:dyDescent="0.3">
      <c r="A177" s="2" t="s">
        <v>579</v>
      </c>
      <c r="B177" s="2" t="s">
        <v>580</v>
      </c>
      <c r="C177" s="2" t="s">
        <v>581</v>
      </c>
      <c r="D177" s="2" t="s">
        <v>582</v>
      </c>
      <c r="E177" s="2" t="str">
        <f>HYPERLINK("http://twitter.com/olivia___jacobs")</f>
        <v>http://twitter.com/olivia___jacobs</v>
      </c>
      <c r="F177" s="2" t="str">
        <f>HYPERLINK("https://muckrack.com/olivia-jacobs")</f>
        <v>https://muckrack.com/olivia-jacobs</v>
      </c>
      <c r="G177" s="2">
        <v>371</v>
      </c>
      <c r="H177" s="2" t="s">
        <v>583</v>
      </c>
      <c r="I177" s="2" t="s">
        <v>584</v>
      </c>
      <c r="J177" s="2"/>
      <c r="K177" s="2" t="s">
        <v>73</v>
      </c>
      <c r="L177" s="2" t="s">
        <v>721</v>
      </c>
      <c r="M177" s="4">
        <v>45597.775335648148</v>
      </c>
      <c r="N177" s="2" t="str">
        <f>HYPERLINK("http://twitter.com/olivia___jacobs/status/1852479856648311008")</f>
        <v>http://twitter.com/olivia___jacobs/status/1852479856648311008</v>
      </c>
      <c r="O177" s="2" t="str">
        <f>HYPERLINK("https://pantagraph.com/opinion/column/central-illinois-bloomington-bison-echl-ahl-nhl-league-hopping/article_2c29df92-9877-11ef-8c97-572810dafe16.html")</f>
        <v>https://pantagraph.com/opinion/column/central-illinois-bloomington-bison-echl-ahl-nhl-league-hopping/article_2c29df92-9877-11ef-8c97-572810dafe16.html</v>
      </c>
    </row>
    <row r="178" spans="1:15" ht="52.8" x14ac:dyDescent="0.3">
      <c r="A178" s="2" t="s">
        <v>498</v>
      </c>
      <c r="B178" s="2" t="s">
        <v>499</v>
      </c>
      <c r="C178" s="2" t="s">
        <v>500</v>
      </c>
      <c r="D178" s="2" t="s">
        <v>501</v>
      </c>
      <c r="E178" s="2" t="str">
        <f>HYPERLINK("http://twitter.com/starwatchtim")</f>
        <v>http://twitter.com/starwatchtim</v>
      </c>
      <c r="F178" s="2" t="str">
        <f>HYPERLINK("https://muckrack.com/starwatchtim")</f>
        <v>https://muckrack.com/starwatchtim</v>
      </c>
      <c r="G178" s="2">
        <v>7282</v>
      </c>
      <c r="H178" s="2" t="s">
        <v>502</v>
      </c>
      <c r="I178" s="2" t="s">
        <v>503</v>
      </c>
      <c r="J178" s="2" t="s">
        <v>504</v>
      </c>
      <c r="K178" s="2" t="s">
        <v>237</v>
      </c>
      <c r="L178" s="2" t="s">
        <v>722</v>
      </c>
      <c r="M178" s="4">
        <v>45593.362013888887</v>
      </c>
      <c r="N178" s="2" t="str">
        <f>HYPERLINK("http://twitter.com/starwatchtim/status/1850880520718008516")</f>
        <v>http://twitter.com/starwatchtim/status/1850880520718008516</v>
      </c>
      <c r="O178" s="2" t="str">
        <f>HYPERLINK("https://www.indystar.com/story/entertainment/2024/10/28/fishers-event-center-set-to-open-in-november-take-an-early-look-inside/75775600007/")</f>
        <v>https://www.indystar.com/story/entertainment/2024/10/28/fishers-event-center-set-to-open-in-november-take-an-early-look-inside/75775600007/</v>
      </c>
    </row>
    <row r="179" spans="1:15" ht="79.2" x14ac:dyDescent="0.3">
      <c r="A179" s="2" t="s">
        <v>395</v>
      </c>
      <c r="B179" s="2" t="s">
        <v>396</v>
      </c>
      <c r="C179" s="2" t="s">
        <v>397</v>
      </c>
      <c r="D179" s="2" t="s">
        <v>398</v>
      </c>
      <c r="E179" s="2" t="str">
        <f>HYPERLINK("http://twitter.com/jawsfort")</f>
        <v>http://twitter.com/jawsfort</v>
      </c>
      <c r="F179" s="2" t="str">
        <f>HYPERLINK("https://muckrack.com/jawsfort")</f>
        <v>https://muckrack.com/jawsfort</v>
      </c>
      <c r="G179" s="2">
        <v>774</v>
      </c>
      <c r="H179" s="2" t="s">
        <v>391</v>
      </c>
      <c r="I179" s="2" t="s">
        <v>399</v>
      </c>
      <c r="J179" s="2" t="s">
        <v>400</v>
      </c>
      <c r="K179" s="2" t="s">
        <v>40</v>
      </c>
      <c r="L179" s="2" t="s">
        <v>723</v>
      </c>
      <c r="M179" s="4">
        <v>45589.85429398148</v>
      </c>
      <c r="N179" s="2" t="str">
        <f>HYPERLINK("http://twitter.com/jawsfort/status/1849609364618834078")</f>
        <v>http://twitter.com/jawsfort/status/1849609364618834078</v>
      </c>
      <c r="O179" s="2" t="str">
        <f>HYPERLINK("https://www.journalgazette.net/sports/professional/komets/brochu-has-had-remarkable-ride-from-spare-goalie-with-komets-to-nhl-prospect/article_c95965fe-91aa-11ef-86d3-0310eac0bead.html")</f>
        <v>https://www.journalgazette.net/sports/professional/komets/brochu-has-had-remarkable-ride-from-spare-goalie-with-komets-to-nhl-prospect/article_c95965fe-91aa-11ef-86d3-0310eac0bead.html</v>
      </c>
    </row>
    <row r="180" spans="1:15" ht="52.8" x14ac:dyDescent="0.3">
      <c r="A180" s="2" t="s">
        <v>724</v>
      </c>
      <c r="B180" s="2" t="s">
        <v>725</v>
      </c>
      <c r="C180" s="2"/>
      <c r="D180" s="2" t="s">
        <v>726</v>
      </c>
      <c r="E180" s="2" t="str">
        <f>HYPERLINK("http://twitter.com/fangsbites")</f>
        <v>http://twitter.com/fangsbites</v>
      </c>
      <c r="F180" s="2" t="str">
        <f>HYPERLINK("https://muckrack.com/ken-fang")</f>
        <v>https://muckrack.com/ken-fang</v>
      </c>
      <c r="G180" s="2">
        <v>8109</v>
      </c>
      <c r="H180" s="2" t="s">
        <v>727</v>
      </c>
      <c r="I180" s="2" t="s">
        <v>728</v>
      </c>
      <c r="J180" s="2" t="s">
        <v>325</v>
      </c>
      <c r="K180" s="2" t="s">
        <v>253</v>
      </c>
      <c r="L180" s="2" t="s">
        <v>729</v>
      </c>
      <c r="M180" s="4">
        <v>45587.670266203713</v>
      </c>
      <c r="N180" s="2" t="str">
        <f>HYPERLINK("http://twitter.com/fangsbites/status/1848817901400429038")</f>
        <v>http://twitter.com/fangsbites/status/1848817901400429038</v>
      </c>
      <c r="O180" s="2" t="str">
        <f>HYPERLINK("https://awfulannouncing.com/hockey/muskegon-hockey-broadcaster-terry-ficorelli-celebrates-calling-3900-games-and-counting.html")</f>
        <v>https://awfulannouncing.com/hockey/muskegon-hockey-broadcaster-terry-ficorelli-celebrates-calling-3900-games-and-counting.html</v>
      </c>
    </row>
    <row r="181" spans="1:15" ht="92.4" x14ac:dyDescent="0.3">
      <c r="A181" s="2" t="s">
        <v>730</v>
      </c>
      <c r="B181" s="2" t="s">
        <v>453</v>
      </c>
      <c r="C181" s="2"/>
      <c r="D181" s="2" t="s">
        <v>731</v>
      </c>
      <c r="E181" s="2" t="str">
        <f>HYPERLINK("http://twitter.com/WriterAlDaniel")</f>
        <v>http://twitter.com/WriterAlDaniel</v>
      </c>
      <c r="F181" s="2" t="str">
        <f>HYPERLINK("https://muckrack.com/al-daniel")</f>
        <v>https://muckrack.com/al-daniel</v>
      </c>
      <c r="G181" s="2">
        <v>327</v>
      </c>
      <c r="H181" s="2"/>
      <c r="I181" s="2" t="s">
        <v>732</v>
      </c>
      <c r="J181" s="2" t="s">
        <v>325</v>
      </c>
      <c r="K181" s="2" t="s">
        <v>654</v>
      </c>
      <c r="L181" s="2" t="s">
        <v>733</v>
      </c>
      <c r="M181" s="4">
        <v>45587.732048611113</v>
      </c>
      <c r="N181" s="2" t="str">
        <f>HYPERLINK("http://twitter.com/WriterAlDaniel/status/1848840291551211925")</f>
        <v>http://twitter.com/WriterAlDaniel/status/1848840291551211925</v>
      </c>
      <c r="O181" s="2" t="str">
        <f>HYPERLINK("https://awfulannouncing.com/hockey/muskegon-hockey-broadcaster-terry-ficorelli-celebrates-calling-3900-games-and-counting.html")</f>
        <v>https://awfulannouncing.com/hockey/muskegon-hockey-broadcaster-terry-ficorelli-celebrates-calling-3900-games-and-counting.html</v>
      </c>
    </row>
    <row r="182" spans="1:15" ht="66" x14ac:dyDescent="0.3">
      <c r="A182" s="2" t="s">
        <v>730</v>
      </c>
      <c r="B182" s="2" t="s">
        <v>453</v>
      </c>
      <c r="C182" s="2"/>
      <c r="D182" s="2" t="s">
        <v>731</v>
      </c>
      <c r="E182" s="2" t="str">
        <f>HYPERLINK("http://twitter.com/WriterAlDaniel")</f>
        <v>http://twitter.com/WriterAlDaniel</v>
      </c>
      <c r="F182" s="2" t="str">
        <f>HYPERLINK("https://muckrack.com/al-daniel")</f>
        <v>https://muckrack.com/al-daniel</v>
      </c>
      <c r="G182" s="2">
        <v>327</v>
      </c>
      <c r="H182" s="2"/>
      <c r="I182" s="2" t="s">
        <v>732</v>
      </c>
      <c r="J182" s="2" t="s">
        <v>325</v>
      </c>
      <c r="K182" s="2" t="s">
        <v>654</v>
      </c>
      <c r="L182" s="2" t="s">
        <v>734</v>
      </c>
      <c r="M182" s="4">
        <v>45594.463935185187</v>
      </c>
      <c r="N182" s="2" t="str">
        <f>HYPERLINK("http://twitter.com/WriterAlDaniel/status/1851279842534199419")</f>
        <v>http://twitter.com/WriterAlDaniel/status/1851279842534199419</v>
      </c>
      <c r="O182" s="2" t="str">
        <f>HYPERLINK("https://awfulannouncing.com/hockey/muskegon-hockey-broadcaster-terry-ficorelli-celebrates-calling-3900-games-and-counting.html")</f>
        <v>https://awfulannouncing.com/hockey/muskegon-hockey-broadcaster-terry-ficorelli-celebrates-calling-3900-games-and-counting.html</v>
      </c>
    </row>
    <row r="183" spans="1:15" ht="92.4" x14ac:dyDescent="0.3">
      <c r="A183" s="2" t="s">
        <v>735</v>
      </c>
      <c r="B183" s="2" t="s">
        <v>736</v>
      </c>
      <c r="C183" s="2" t="s">
        <v>737</v>
      </c>
      <c r="D183" s="2" t="s">
        <v>738</v>
      </c>
      <c r="E183" s="2" t="str">
        <f>HYPERLINK("http://twitter.com/hoosieragtoday")</f>
        <v>http://twitter.com/hoosieragtoday</v>
      </c>
      <c r="F183" s="2" t="str">
        <f>HYPERLINK("https://muckrack.com/gary-truitt")</f>
        <v>https://muckrack.com/gary-truitt</v>
      </c>
      <c r="G183" s="2">
        <v>5130</v>
      </c>
      <c r="H183" s="2" t="s">
        <v>629</v>
      </c>
      <c r="I183" s="2" t="s">
        <v>739</v>
      </c>
      <c r="J183" s="2" t="s">
        <v>740</v>
      </c>
      <c r="K183" s="2" t="s">
        <v>254</v>
      </c>
      <c r="L183" s="2" t="s">
        <v>741</v>
      </c>
      <c r="M183" s="4">
        <v>45591.788344907407</v>
      </c>
      <c r="N183" s="2" t="str">
        <f>HYPERLINK("http://twitter.com/hoosieragtoday/status/1850310243756199982")</f>
        <v>http://twitter.com/hoosieragtoday/status/1850310243756199982</v>
      </c>
      <c r="O183" s="2" t="str">
        <f>HYPERLINK("https://www.hoosieragtoday.com/2024/10/20/high-oleic-soybean-oil-featured-at-colts-pacers-boilers-hoosiers-venues/")</f>
        <v>https://www.hoosieragtoday.com/2024/10/20/high-oleic-soybean-oil-featured-at-colts-pacers-boilers-hoosiers-venues/</v>
      </c>
    </row>
    <row r="184" spans="1:15" ht="66" x14ac:dyDescent="0.3">
      <c r="A184" s="2" t="s">
        <v>579</v>
      </c>
      <c r="B184" s="2" t="s">
        <v>580</v>
      </c>
      <c r="C184" s="2" t="s">
        <v>581</v>
      </c>
      <c r="D184" s="2" t="s">
        <v>582</v>
      </c>
      <c r="E184" s="2" t="str">
        <f>HYPERLINK("http://twitter.com/olivia___jacobs")</f>
        <v>http://twitter.com/olivia___jacobs</v>
      </c>
      <c r="F184" s="2" t="str">
        <f>HYPERLINK("https://muckrack.com/olivia-jacobs")</f>
        <v>https://muckrack.com/olivia-jacobs</v>
      </c>
      <c r="G184" s="2">
        <v>371</v>
      </c>
      <c r="H184" s="2" t="s">
        <v>583</v>
      </c>
      <c r="I184" s="2" t="s">
        <v>584</v>
      </c>
      <c r="J184" s="2"/>
      <c r="K184" s="2" t="s">
        <v>73</v>
      </c>
      <c r="L184" s="2" t="s">
        <v>742</v>
      </c>
      <c r="M184" s="4">
        <v>45583.688969907409</v>
      </c>
      <c r="N184" s="2" t="str">
        <f>HYPERLINK("http://twitter.com/olivia___jacobs/status/1847375126813433960")</f>
        <v>http://twitter.com/olivia___jacobs/status/1847375126813433960</v>
      </c>
      <c r="O184" s="2" t="str">
        <f>HYPERLINK("https://pantagraph.com/opinion/column/column-after-bison-dress-rehearsal-get-ready-for-the-real-thing/article_80e8da9e-8d71-11ef-aa77-7f06a3f10967.html")</f>
        <v>https://pantagraph.com/opinion/column/column-after-bison-dress-rehearsal-get-ready-for-the-real-thing/article_80e8da9e-8d71-11ef-aa77-7f06a3f10967.html</v>
      </c>
    </row>
    <row r="185" spans="1:15" ht="52.8" x14ac:dyDescent="0.3">
      <c r="A185" s="2" t="s">
        <v>255</v>
      </c>
      <c r="B185" s="2" t="s">
        <v>382</v>
      </c>
      <c r="C185" s="2" t="s">
        <v>743</v>
      </c>
      <c r="D185" s="2" t="s">
        <v>744</v>
      </c>
      <c r="E185" s="2" t="str">
        <f>HYPERLINK("http://twitter.com/CFreemanJAX")</f>
        <v>http://twitter.com/CFreemanJAX</v>
      </c>
      <c r="F185" s="2" t="str">
        <f>HYPERLINK("https://muckrack.com/clayton-freeman")</f>
        <v>https://muckrack.com/clayton-freeman</v>
      </c>
      <c r="G185" s="2">
        <v>12784</v>
      </c>
      <c r="H185" s="2" t="s">
        <v>745</v>
      </c>
      <c r="I185" s="2" t="s">
        <v>746</v>
      </c>
      <c r="J185" s="2" t="s">
        <v>279</v>
      </c>
      <c r="K185" s="2" t="s">
        <v>256</v>
      </c>
      <c r="L185" s="2" t="s">
        <v>747</v>
      </c>
      <c r="M185" s="4">
        <v>45583.346539351849</v>
      </c>
      <c r="N185" s="2" t="str">
        <f>HYPERLINK("http://twitter.com/CFreemanJAX/status/1847251034885742756")</f>
        <v>http://twitter.com/CFreemanJAX/status/1847251034885742756</v>
      </c>
      <c r="O185" s="2" t="str">
        <f>HYPERLINK("https://www.jacksonville.com/story/sports/nhl/2024/10/18/jacksonville-icemen-2024-25-echl-season-preview/75630765007/")</f>
        <v>https://www.jacksonville.com/story/sports/nhl/2024/10/18/jacksonville-icemen-2024-25-echl-season-preview/75630765007/</v>
      </c>
    </row>
    <row r="186" spans="1:15" ht="52.8" x14ac:dyDescent="0.3">
      <c r="A186" s="2" t="s">
        <v>255</v>
      </c>
      <c r="B186" s="2" t="s">
        <v>382</v>
      </c>
      <c r="C186" s="2" t="s">
        <v>743</v>
      </c>
      <c r="D186" s="2" t="s">
        <v>744</v>
      </c>
      <c r="E186" s="2" t="str">
        <f>HYPERLINK("http://twitter.com/CFreemanJAX")</f>
        <v>http://twitter.com/CFreemanJAX</v>
      </c>
      <c r="F186" s="2" t="str">
        <f>HYPERLINK("https://muckrack.com/clayton-freeman")</f>
        <v>https://muckrack.com/clayton-freeman</v>
      </c>
      <c r="G186" s="2">
        <v>12784</v>
      </c>
      <c r="H186" s="2" t="s">
        <v>745</v>
      </c>
      <c r="I186" s="2" t="s">
        <v>746</v>
      </c>
      <c r="J186" s="2" t="s">
        <v>279</v>
      </c>
      <c r="K186" s="2" t="s">
        <v>256</v>
      </c>
      <c r="L186" s="2" t="s">
        <v>748</v>
      </c>
      <c r="M186" s="4">
        <v>45583.636840277781</v>
      </c>
      <c r="N186" s="2" t="str">
        <f>HYPERLINK("http://twitter.com/CFreemanJAX/status/1847356237341667826")</f>
        <v>http://twitter.com/CFreemanJAX/status/1847356237341667826</v>
      </c>
      <c r="O186" s="2" t="str">
        <f>HYPERLINK("https://www.jacksonville.com/story/sports/nhl/2024/10/18/jacksonville-icemen-2024-25-echl-season-preview/75630765007/")</f>
        <v>https://www.jacksonville.com/story/sports/nhl/2024/10/18/jacksonville-icemen-2024-25-echl-season-preview/75630765007/</v>
      </c>
    </row>
    <row r="187" spans="1:15" ht="66" x14ac:dyDescent="0.3">
      <c r="A187" s="2" t="s">
        <v>251</v>
      </c>
      <c r="B187" s="2" t="s">
        <v>286</v>
      </c>
      <c r="C187" s="2" t="s">
        <v>749</v>
      </c>
      <c r="D187" s="2" t="s">
        <v>750</v>
      </c>
      <c r="E187" s="2" t="str">
        <f>HYPERLINK("http://twitter.com/AmyZimmerWJCL")</f>
        <v>http://twitter.com/AmyZimmerWJCL</v>
      </c>
      <c r="F187" s="2" t="str">
        <f>HYPERLINK("https://muckrack.com/amy-zimmer-4")</f>
        <v>https://muckrack.com/amy-zimmer-4</v>
      </c>
      <c r="G187" s="2">
        <v>6240</v>
      </c>
      <c r="H187" s="2" t="s">
        <v>751</v>
      </c>
      <c r="I187" s="2" t="s">
        <v>752</v>
      </c>
      <c r="J187" s="2" t="s">
        <v>279</v>
      </c>
      <c r="K187" s="2" t="s">
        <v>753</v>
      </c>
      <c r="L187" s="2" t="s">
        <v>754</v>
      </c>
      <c r="M187" s="4">
        <v>45582.988703703697</v>
      </c>
      <c r="N187" s="2" t="str">
        <f>HYPERLINK("http://twitter.com/AmyZimmerWJCL/status/1847121360851443974")</f>
        <v>http://twitter.com/AmyZimmerWJCL/status/1847121360851443974</v>
      </c>
      <c r="O187" s="2" t="str">
        <f>HYPERLINK("https://www.wjcl.com/article/ghost-pirates-coachs-corner-previewing-teams-opening-night-with-new-head-coach/62644365")</f>
        <v>https://www.wjcl.com/article/ghost-pirates-coachs-corner-previewing-teams-opening-night-with-new-head-coach/62644365</v>
      </c>
    </row>
    <row r="188" spans="1:15" ht="79.2" x14ac:dyDescent="0.3">
      <c r="A188" s="2" t="s">
        <v>395</v>
      </c>
      <c r="B188" s="2" t="s">
        <v>396</v>
      </c>
      <c r="C188" s="2" t="s">
        <v>397</v>
      </c>
      <c r="D188" s="2" t="s">
        <v>398</v>
      </c>
      <c r="E188" s="2" t="str">
        <f>HYPERLINK("http://twitter.com/jawsfort")</f>
        <v>http://twitter.com/jawsfort</v>
      </c>
      <c r="F188" s="2" t="str">
        <f>HYPERLINK("https://muckrack.com/jawsfort")</f>
        <v>https://muckrack.com/jawsfort</v>
      </c>
      <c r="G188" s="2">
        <v>774</v>
      </c>
      <c r="H188" s="2" t="s">
        <v>391</v>
      </c>
      <c r="I188" s="2" t="s">
        <v>399</v>
      </c>
      <c r="J188" s="2" t="s">
        <v>400</v>
      </c>
      <c r="K188" s="2" t="s">
        <v>40</v>
      </c>
      <c r="L188" s="2" t="s">
        <v>755</v>
      </c>
      <c r="M188" s="4">
        <v>45582.00403935185</v>
      </c>
      <c r="N188" s="2" t="str">
        <f>HYPERLINK("http://twitter.com/jawsfort/status/1846764530216382945")</f>
        <v>http://twitter.com/jawsfort/status/1846764530216382945</v>
      </c>
      <c r="O188" s="2" t="str">
        <f>HYPERLINK("https://www.journalgazette.net/sports/professional/komets/these-legs-they-still-move-good-anthony-petruzzelli-hopes-to-reenergize-komets-in-return/article_1c5ec092-898a-11ef-8a6a-936f756c94cc.html")</f>
        <v>https://www.journalgazette.net/sports/professional/komets/these-legs-they-still-move-good-anthony-petruzzelli-hopes-to-reenergize-komets-in-return/article_1c5ec092-898a-11ef-8a6a-936f756c94cc.html</v>
      </c>
    </row>
    <row r="189" spans="1:15" ht="66" x14ac:dyDescent="0.3">
      <c r="A189" s="2" t="s">
        <v>251</v>
      </c>
      <c r="B189" s="2" t="s">
        <v>286</v>
      </c>
      <c r="C189" s="2" t="s">
        <v>749</v>
      </c>
      <c r="D189" s="2" t="s">
        <v>750</v>
      </c>
      <c r="E189" s="2" t="str">
        <f>HYPERLINK("http://twitter.com/AmyZimmerWJCL")</f>
        <v>http://twitter.com/AmyZimmerWJCL</v>
      </c>
      <c r="F189" s="2" t="str">
        <f>HYPERLINK("https://muckrack.com/amy-zimmer-4")</f>
        <v>https://muckrack.com/amy-zimmer-4</v>
      </c>
      <c r="G189" s="2">
        <v>6240</v>
      </c>
      <c r="H189" s="2" t="s">
        <v>751</v>
      </c>
      <c r="I189" s="2" t="s">
        <v>752</v>
      </c>
      <c r="J189" s="2" t="s">
        <v>279</v>
      </c>
      <c r="K189" s="2" t="s">
        <v>753</v>
      </c>
      <c r="L189" s="2" t="s">
        <v>756</v>
      </c>
      <c r="M189" s="4">
        <v>45579.650879629633</v>
      </c>
      <c r="N189" s="2" t="str">
        <f>HYPERLINK("http://twitter.com/AmyZimmerWJCL/status/1845911772013768724")</f>
        <v>http://twitter.com/AmyZimmerWJCL/status/1845911772013768724</v>
      </c>
      <c r="O189" s="2" t="str">
        <f>HYPERLINK("https://www.wjcl.com/article/savannah-ghost-pirates-wjcl-22-announce-partnership-for-live-broadcast-of-home-games/62599346")</f>
        <v>https://www.wjcl.com/article/savannah-ghost-pirates-wjcl-22-announce-partnership-for-live-broadcast-of-home-games/62599346</v>
      </c>
    </row>
    <row r="190" spans="1:15" ht="52.8" x14ac:dyDescent="0.3">
      <c r="A190" s="2" t="s">
        <v>757</v>
      </c>
      <c r="B190" s="2" t="s">
        <v>758</v>
      </c>
      <c r="C190" s="2" t="s">
        <v>759</v>
      </c>
      <c r="D190" s="2" t="s">
        <v>760</v>
      </c>
      <c r="E190" s="2" t="str">
        <f>HYPERLINK("http://twitter.com/benhart2")</f>
        <v>http://twitter.com/benhart2</v>
      </c>
      <c r="F190" s="2" t="str">
        <f>HYPERLINK("https://muckrack.com/benhart2")</f>
        <v>https://muckrack.com/benhart2</v>
      </c>
      <c r="G190" s="2">
        <v>1092</v>
      </c>
      <c r="H190" s="2" t="s">
        <v>761</v>
      </c>
      <c r="I190" s="2" t="s">
        <v>762</v>
      </c>
      <c r="J190" s="2" t="s">
        <v>386</v>
      </c>
      <c r="K190" s="2" t="s">
        <v>252</v>
      </c>
      <c r="L190" s="2" t="s">
        <v>763</v>
      </c>
      <c r="M190" s="4">
        <v>45579.875659722216</v>
      </c>
      <c r="N190" s="2" t="str">
        <f>HYPERLINK("http://twitter.com/benhart2/status/1845993230820659675")</f>
        <v>http://twitter.com/benhart2/status/1845993230820659675</v>
      </c>
      <c r="O190" s="2" t="str">
        <f>HYPERLINK("https://www.wjcl.com/article/savannah-ghost-pirates-wjcl-22-announce-partnership-for-live-broadcast-of-home-games/62599346")</f>
        <v>https://www.wjcl.com/article/savannah-ghost-pirates-wjcl-22-announce-partnership-for-live-broadcast-of-home-games/62599346</v>
      </c>
    </row>
    <row r="191" spans="1:15" ht="79.2" x14ac:dyDescent="0.3">
      <c r="A191" s="2" t="s">
        <v>257</v>
      </c>
      <c r="B191" s="2" t="s">
        <v>764</v>
      </c>
      <c r="C191" s="2" t="s">
        <v>765</v>
      </c>
      <c r="D191" s="2" t="s">
        <v>766</v>
      </c>
      <c r="E191" s="2" t="str">
        <f>HYPERLINK("http://twitter.com/mjanik99")</f>
        <v>http://twitter.com/mjanik99</v>
      </c>
      <c r="F191" s="2" t="str">
        <f>HYPERLINK("https://muckrack.com/mateusz-janik-1")</f>
        <v>https://muckrack.com/mateusz-janik-1</v>
      </c>
      <c r="G191" s="2">
        <v>351</v>
      </c>
      <c r="H191" s="2" t="s">
        <v>583</v>
      </c>
      <c r="I191" s="2" t="s">
        <v>767</v>
      </c>
      <c r="J191" s="2" t="s">
        <v>768</v>
      </c>
      <c r="K191" s="2" t="s">
        <v>769</v>
      </c>
      <c r="L191" s="2" t="s">
        <v>770</v>
      </c>
      <c r="M191" s="4">
        <v>45576.667627314811</v>
      </c>
      <c r="N191" s="2" t="str">
        <f>HYPERLINK("http://twitter.com/mjanik99/status/1844830677981630845")</f>
        <v>http://twitter.com/mjanik99/status/1844830677981630845</v>
      </c>
      <c r="O191" s="2" t="str">
        <f>HYPERLINK("https://pantagraph.com/opinion/column/column-bison-offer-another-chance-the-best-so-far-for-bloomington-pro-hockey/article_f003d9f0-8804-11ef-b809-abcce0abe253.html")</f>
        <v>https://pantagraph.com/opinion/column/column-bison-offer-another-chance-the-best-so-far-for-bloomington-pro-hockey/article_f003d9f0-8804-11ef-b809-abcce0abe253.html</v>
      </c>
    </row>
    <row r="192" spans="1:15" ht="79.2" x14ac:dyDescent="0.3">
      <c r="A192" s="2" t="s">
        <v>579</v>
      </c>
      <c r="B192" s="2" t="s">
        <v>580</v>
      </c>
      <c r="C192" s="2" t="s">
        <v>581</v>
      </c>
      <c r="D192" s="2" t="s">
        <v>582</v>
      </c>
      <c r="E192" s="2" t="str">
        <f>HYPERLINK("http://twitter.com/olivia___jacobs")</f>
        <v>http://twitter.com/olivia___jacobs</v>
      </c>
      <c r="F192" s="2" t="str">
        <f>HYPERLINK("https://muckrack.com/olivia-jacobs")</f>
        <v>https://muckrack.com/olivia-jacobs</v>
      </c>
      <c r="G192" s="2">
        <v>371</v>
      </c>
      <c r="H192" s="2" t="s">
        <v>583</v>
      </c>
      <c r="I192" s="2" t="s">
        <v>584</v>
      </c>
      <c r="J192" s="2"/>
      <c r="K192" s="2" t="s">
        <v>73</v>
      </c>
      <c r="L192" s="2" t="s">
        <v>770</v>
      </c>
      <c r="M192" s="4">
        <v>45576.691365740742</v>
      </c>
      <c r="N192" s="2" t="str">
        <f>HYPERLINK("http://twitter.com/olivia___jacobs/status/1844839281287655659")</f>
        <v>http://twitter.com/olivia___jacobs/status/1844839281287655659</v>
      </c>
      <c r="O192" s="2" t="str">
        <f>HYPERLINK("https://pantagraph.com/opinion/column/column-bison-offer-another-chance-the-best-so-far-for-bloomington-pro-hockey/article_f003d9f0-8804-11ef-b809-abcce0abe253.html")</f>
        <v>https://pantagraph.com/opinion/column/column-bison-offer-another-chance-the-best-so-far-for-bloomington-pro-hockey/article_f003d9f0-8804-11ef-b809-abcce0abe253.html</v>
      </c>
    </row>
    <row r="193" spans="1:15" ht="52.8" x14ac:dyDescent="0.3">
      <c r="A193" s="2" t="s">
        <v>251</v>
      </c>
      <c r="B193" s="2" t="s">
        <v>286</v>
      </c>
      <c r="C193" s="2" t="s">
        <v>749</v>
      </c>
      <c r="D193" s="2" t="s">
        <v>750</v>
      </c>
      <c r="E193" s="2" t="str">
        <f>HYPERLINK("http://twitter.com/AmyZimmerWJCL")</f>
        <v>http://twitter.com/AmyZimmerWJCL</v>
      </c>
      <c r="F193" s="2" t="str">
        <f>HYPERLINK("https://muckrack.com/amy-zimmer-4")</f>
        <v>https://muckrack.com/amy-zimmer-4</v>
      </c>
      <c r="G193" s="2">
        <v>6240</v>
      </c>
      <c r="H193" s="2" t="s">
        <v>751</v>
      </c>
      <c r="I193" s="2" t="s">
        <v>752</v>
      </c>
      <c r="J193" s="2" t="s">
        <v>279</v>
      </c>
      <c r="K193" s="2" t="s">
        <v>753</v>
      </c>
      <c r="L193" s="2" t="s">
        <v>771</v>
      </c>
      <c r="M193" s="4">
        <v>45575.984976851847</v>
      </c>
      <c r="N193" s="2" t="str">
        <f>HYPERLINK("http://twitter.com/AmyZimmerWJCL/status/1844583295088046550")</f>
        <v>http://twitter.com/AmyZimmerWJCL/status/1844583295088046550</v>
      </c>
      <c r="O193" s="2" t="str">
        <f>HYPERLINK("https://www.wjcl.com/article/savannah-ghost-pirates-2024-25-season-preview-special/62572661")</f>
        <v>https://www.wjcl.com/article/savannah-ghost-pirates-2024-25-season-preview-special/62572661</v>
      </c>
    </row>
    <row r="194" spans="1:15" ht="79.2" x14ac:dyDescent="0.3">
      <c r="A194" s="2" t="s">
        <v>579</v>
      </c>
      <c r="B194" s="2" t="s">
        <v>580</v>
      </c>
      <c r="C194" s="2" t="s">
        <v>581</v>
      </c>
      <c r="D194" s="2" t="s">
        <v>582</v>
      </c>
      <c r="E194" s="2" t="str">
        <f>HYPERLINK("http://twitter.com/olivia___jacobs")</f>
        <v>http://twitter.com/olivia___jacobs</v>
      </c>
      <c r="F194" s="2" t="str">
        <f>HYPERLINK("https://muckrack.com/olivia-jacobs")</f>
        <v>https://muckrack.com/olivia-jacobs</v>
      </c>
      <c r="G194" s="2">
        <v>371</v>
      </c>
      <c r="H194" s="2" t="s">
        <v>583</v>
      </c>
      <c r="I194" s="2" t="s">
        <v>584</v>
      </c>
      <c r="J194" s="2"/>
      <c r="K194" s="2" t="s">
        <v>73</v>
      </c>
      <c r="L194" s="2" t="s">
        <v>772</v>
      </c>
      <c r="M194" s="4">
        <v>45575.401944444442</v>
      </c>
      <c r="N194" s="2" t="str">
        <f>HYPERLINK("http://twitter.com/olivia___jacobs/status/1844372010409050162")</f>
        <v>http://twitter.com/olivia___jacobs/status/1844372010409050162</v>
      </c>
      <c r="O194" s="2" t="str">
        <f>HYPERLINK("https://pantagraph.com/life-entertainment/local/looking-for-something-to-do-this-weekend-in-central-illinois-heres-the-list/article_7f8c852e-8286-11ef-a34c-eb912b02a2bd.html")</f>
        <v>https://pantagraph.com/life-entertainment/local/looking-for-something-to-do-this-weekend-in-central-illinois-heres-the-list/article_7f8c852e-8286-11ef-a34c-eb912b02a2bd.html</v>
      </c>
    </row>
    <row r="195" spans="1:15" ht="66" x14ac:dyDescent="0.3">
      <c r="A195" s="2" t="s">
        <v>251</v>
      </c>
      <c r="B195" s="2" t="s">
        <v>286</v>
      </c>
      <c r="C195" s="2" t="s">
        <v>749</v>
      </c>
      <c r="D195" s="2" t="s">
        <v>750</v>
      </c>
      <c r="E195" s="2" t="str">
        <f>HYPERLINK("http://twitter.com/AmyZimmerWJCL")</f>
        <v>http://twitter.com/AmyZimmerWJCL</v>
      </c>
      <c r="F195" s="2" t="str">
        <f>HYPERLINK("https://muckrack.com/amy-zimmer-4")</f>
        <v>https://muckrack.com/amy-zimmer-4</v>
      </c>
      <c r="G195" s="2">
        <v>6240</v>
      </c>
      <c r="H195" s="2" t="s">
        <v>751</v>
      </c>
      <c r="I195" s="2" t="s">
        <v>752</v>
      </c>
      <c r="J195" s="2" t="s">
        <v>279</v>
      </c>
      <c r="K195" s="2" t="s">
        <v>753</v>
      </c>
      <c r="L195" s="2" t="s">
        <v>773</v>
      </c>
      <c r="M195" s="4">
        <v>45575.015127314808</v>
      </c>
      <c r="N195" s="2" t="str">
        <f>HYPERLINK("http://twitter.com/AmyZimmerWJCL/status/1844231830846984492")</f>
        <v>http://twitter.com/AmyZimmerWJCL/status/1844231830846984492</v>
      </c>
      <c r="O195" s="2" t="str">
        <f>HYPERLINK("https://www.wjcl.com/article/savannah-ghost-pirates-open-training-camp-under-new-head-coach-jared-staal/62561099")</f>
        <v>https://www.wjcl.com/article/savannah-ghost-pirates-open-training-camp-under-new-head-coach-jared-staal/62561099</v>
      </c>
    </row>
    <row r="196" spans="1:15" ht="79.2" x14ac:dyDescent="0.3">
      <c r="A196" s="2" t="s">
        <v>258</v>
      </c>
      <c r="B196" s="2" t="s">
        <v>774</v>
      </c>
      <c r="C196" s="2" t="s">
        <v>775</v>
      </c>
      <c r="D196" s="2" t="s">
        <v>776</v>
      </c>
      <c r="E196" s="2" t="str">
        <f>HYPERLINK("http://twitter.com/Pg_Reinhardt")</f>
        <v>http://twitter.com/Pg_Reinhardt</v>
      </c>
      <c r="F196" s="2" t="str">
        <f>HYPERLINK("https://muckrack.com/randy-reinhardt")</f>
        <v>https://muckrack.com/randy-reinhardt</v>
      </c>
      <c r="G196" s="2">
        <v>8609</v>
      </c>
      <c r="H196" s="2"/>
      <c r="I196" s="2" t="s">
        <v>777</v>
      </c>
      <c r="J196" s="2" t="s">
        <v>778</v>
      </c>
      <c r="K196" s="2" t="s">
        <v>769</v>
      </c>
      <c r="L196" s="2" t="s">
        <v>779</v>
      </c>
      <c r="M196" s="4">
        <v>45573.391342592593</v>
      </c>
      <c r="N196" s="2" t="str">
        <f>HYPERLINK("http://twitter.com/Pg_Reinhardt/status/1843643390879248710")</f>
        <v>http://twitter.com/Pg_Reinhardt/status/1843643390879248710</v>
      </c>
      <c r="O196" s="2" t="str">
        <f>HYPERLINK("https://pantagraph.com/sports/professional/hockey/minor/bloomington-bison-gather-to-begin-preparation-for-first-season-in-echl/article_60a1f8a0-8516-11ef-8057-8fe7288b4a2a.html")</f>
        <v>https://pantagraph.com/sports/professional/hockey/minor/bloomington-bison-gather-to-begin-preparation-for-first-season-in-echl/article_60a1f8a0-8516-11ef-8057-8fe7288b4a2a.html</v>
      </c>
    </row>
    <row r="197" spans="1:15" ht="79.2" x14ac:dyDescent="0.3">
      <c r="A197" s="2" t="s">
        <v>579</v>
      </c>
      <c r="B197" s="2" t="s">
        <v>580</v>
      </c>
      <c r="C197" s="2" t="s">
        <v>581</v>
      </c>
      <c r="D197" s="2" t="s">
        <v>582</v>
      </c>
      <c r="E197" s="2" t="str">
        <f>HYPERLINK("http://twitter.com/olivia___jacobs")</f>
        <v>http://twitter.com/olivia___jacobs</v>
      </c>
      <c r="F197" s="2" t="str">
        <f>HYPERLINK("https://muckrack.com/olivia-jacobs")</f>
        <v>https://muckrack.com/olivia-jacobs</v>
      </c>
      <c r="G197" s="2">
        <v>371</v>
      </c>
      <c r="H197" s="2" t="s">
        <v>583</v>
      </c>
      <c r="I197" s="2" t="s">
        <v>584</v>
      </c>
      <c r="J197" s="2"/>
      <c r="K197" s="2" t="s">
        <v>73</v>
      </c>
      <c r="L197" s="2" t="s">
        <v>780</v>
      </c>
      <c r="M197" s="4">
        <v>45573.406898148147</v>
      </c>
      <c r="N197" s="2" t="str">
        <f>HYPERLINK("http://twitter.com/olivia___jacobs/status/1843649027952484436")</f>
        <v>http://twitter.com/olivia___jacobs/status/1843649027952484436</v>
      </c>
      <c r="O197" s="2" t="str">
        <f>HYPERLINK("https://pantagraph.com/sports/professional/hockey/minor/bloomington-bison-gather-to-begin-preparation-for-first-season-in-echl/article_60a1f8a0-8516-11ef-8057-8fe7288b4a2a.html")</f>
        <v>https://pantagraph.com/sports/professional/hockey/minor/bloomington-bison-gather-to-begin-preparation-for-first-season-in-echl/article_60a1f8a0-8516-11ef-8057-8fe7288b4a2a.html</v>
      </c>
    </row>
    <row r="198" spans="1:15" ht="79.2" x14ac:dyDescent="0.3">
      <c r="A198" s="2" t="s">
        <v>579</v>
      </c>
      <c r="B198" s="2" t="s">
        <v>580</v>
      </c>
      <c r="C198" s="2" t="s">
        <v>581</v>
      </c>
      <c r="D198" s="2" t="s">
        <v>582</v>
      </c>
      <c r="E198" s="2" t="str">
        <f>HYPERLINK("http://twitter.com/olivia___jacobs")</f>
        <v>http://twitter.com/olivia___jacobs</v>
      </c>
      <c r="F198" s="2" t="str">
        <f>HYPERLINK("https://muckrack.com/olivia-jacobs")</f>
        <v>https://muckrack.com/olivia-jacobs</v>
      </c>
      <c r="G198" s="2">
        <v>371</v>
      </c>
      <c r="H198" s="2" t="s">
        <v>583</v>
      </c>
      <c r="I198" s="2" t="s">
        <v>584</v>
      </c>
      <c r="J198" s="2"/>
      <c r="K198" s="2" t="s">
        <v>73</v>
      </c>
      <c r="L198" s="2" t="s">
        <v>781</v>
      </c>
      <c r="M198" s="4">
        <v>45573.746122685188</v>
      </c>
      <c r="N198" s="2" t="str">
        <f>HYPERLINK("http://twitter.com/olivia___jacobs/status/1843771959999639902")</f>
        <v>http://twitter.com/olivia___jacobs/status/1843771959999639902</v>
      </c>
      <c r="O198" s="2" t="str">
        <f>HYPERLINK("https://pantagraph.com/sports/professional/hockey/minor/bloomington-bison-gather-to-begin-preparation-for-first-season-in-echl/article_60a1f8a0-8516-11ef-8057-8fe7288b4a2a.html")</f>
        <v>https://pantagraph.com/sports/professional/hockey/minor/bloomington-bison-gather-to-begin-preparation-for-first-season-in-echl/article_60a1f8a0-8516-11ef-8057-8fe7288b4a2a.html</v>
      </c>
    </row>
    <row r="199" spans="1:15" ht="79.2" x14ac:dyDescent="0.3">
      <c r="A199" s="2" t="s">
        <v>257</v>
      </c>
      <c r="B199" s="2" t="s">
        <v>764</v>
      </c>
      <c r="C199" s="2" t="s">
        <v>765</v>
      </c>
      <c r="D199" s="2" t="s">
        <v>766</v>
      </c>
      <c r="E199" s="2" t="str">
        <f>HYPERLINK("http://twitter.com/mjanik99")</f>
        <v>http://twitter.com/mjanik99</v>
      </c>
      <c r="F199" s="2" t="str">
        <f>HYPERLINK("https://muckrack.com/mateusz-janik-1")</f>
        <v>https://muckrack.com/mateusz-janik-1</v>
      </c>
      <c r="G199" s="2">
        <v>351</v>
      </c>
      <c r="H199" s="2" t="s">
        <v>583</v>
      </c>
      <c r="I199" s="2" t="s">
        <v>767</v>
      </c>
      <c r="J199" s="2" t="s">
        <v>768</v>
      </c>
      <c r="K199" s="2" t="s">
        <v>769</v>
      </c>
      <c r="L199" s="2" t="s">
        <v>781</v>
      </c>
      <c r="M199" s="4">
        <v>45573.919664351852</v>
      </c>
      <c r="N199" s="2" t="str">
        <f>HYPERLINK("http://twitter.com/mjanik99/status/1843834850920542422")</f>
        <v>http://twitter.com/mjanik99/status/1843834850920542422</v>
      </c>
      <c r="O199" s="2" t="str">
        <f>HYPERLINK("https://pantagraph.com/sports/professional/hockey/minor/bloomington-bison-gather-to-begin-preparation-for-first-season-in-echl/article_60a1f8a0-8516-11ef-8057-8fe7288b4a2a.html")</f>
        <v>https://pantagraph.com/sports/professional/hockey/minor/bloomington-bison-gather-to-begin-preparation-for-first-season-in-echl/article_60a1f8a0-8516-11ef-8057-8fe7288b4a2a.html</v>
      </c>
    </row>
    <row r="200" spans="1:15" ht="66" x14ac:dyDescent="0.3">
      <c r="A200" s="2" t="s">
        <v>395</v>
      </c>
      <c r="B200" s="2" t="s">
        <v>396</v>
      </c>
      <c r="C200" s="2" t="s">
        <v>397</v>
      </c>
      <c r="D200" s="2" t="s">
        <v>398</v>
      </c>
      <c r="E200" s="2" t="str">
        <f>HYPERLINK("http://twitter.com/jawsfort")</f>
        <v>http://twitter.com/jawsfort</v>
      </c>
      <c r="F200" s="2" t="str">
        <f>HYPERLINK("https://muckrack.com/jawsfort")</f>
        <v>https://muckrack.com/jawsfort</v>
      </c>
      <c r="G200" s="2">
        <v>774</v>
      </c>
      <c r="H200" s="2" t="s">
        <v>391</v>
      </c>
      <c r="I200" s="2" t="s">
        <v>399</v>
      </c>
      <c r="J200" s="2" t="s">
        <v>400</v>
      </c>
      <c r="K200" s="2" t="s">
        <v>40</v>
      </c>
      <c r="L200" s="2" t="s">
        <v>782</v>
      </c>
      <c r="M200" s="4">
        <v>45572.573680555557</v>
      </c>
      <c r="N200" s="2" t="str">
        <f>HYPERLINK("http://twitter.com/jawsfort/status/1843347082264097091")</f>
        <v>http://twitter.com/jawsfort/status/1843347082264097091</v>
      </c>
      <c r="O200" s="2" t="str">
        <f>HYPERLINK("https://www.journalgazette.net/sports/professional/komets/analysis-5-big-questions-as-komets-open-training-camp/article_da26bf82-835c-11ef-a9c0-c73fcd917ee9.html")</f>
        <v>https://www.journalgazette.net/sports/professional/komets/analysis-5-big-questions-as-komets-open-training-camp/article_da26bf82-835c-11ef-a9c0-c73fcd917ee9.html</v>
      </c>
    </row>
    <row r="201" spans="1:15" ht="52.8" x14ac:dyDescent="0.3">
      <c r="A201" s="2" t="s">
        <v>250</v>
      </c>
      <c r="B201" s="2" t="s">
        <v>705</v>
      </c>
      <c r="C201" s="2" t="s">
        <v>706</v>
      </c>
      <c r="D201" s="2" t="s">
        <v>707</v>
      </c>
      <c r="E201" s="2" t="str">
        <f>HYPERLINK("http://twitter.com/317lindquist")</f>
        <v>http://twitter.com/317lindquist</v>
      </c>
      <c r="F201" s="2" t="str">
        <f>HYPERLINK("https://muckrack.com/317lindquist")</f>
        <v>https://muckrack.com/317lindquist</v>
      </c>
      <c r="G201" s="2">
        <v>23496</v>
      </c>
      <c r="H201" s="2" t="s">
        <v>521</v>
      </c>
      <c r="I201" s="2" t="s">
        <v>708</v>
      </c>
      <c r="J201" s="2" t="s">
        <v>709</v>
      </c>
      <c r="K201" s="2" t="s">
        <v>710</v>
      </c>
      <c r="L201" s="2" t="s">
        <v>783</v>
      </c>
      <c r="M201" s="4">
        <v>45566.483726851853</v>
      </c>
      <c r="N201" s="2" t="str">
        <f>HYPERLINK("http://twitter.com/317lindquist/status/1841140153705775249")</f>
        <v>http://twitter.com/317lindquist/status/1841140153705775249</v>
      </c>
      <c r="O201" s="2" t="str">
        <f>HYPERLINK("https://shorturl.at/EbZlL")</f>
        <v>https://shorturl.at/EbZlL</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Articles</vt:lpstr>
      <vt:lpstr>Journalist 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Brianna Stopher</cp:lastModifiedBy>
  <dcterms:created xsi:type="dcterms:W3CDTF">2025-06-30T02:01:04Z</dcterms:created>
  <dcterms:modified xsi:type="dcterms:W3CDTF">2025-07-21T17:31:47Z</dcterms:modified>
</cp:coreProperties>
</file>