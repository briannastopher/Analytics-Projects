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4e8a8e9b618fe9e1/Documents/Indy Ignite Summer Project/"/>
    </mc:Choice>
  </mc:AlternateContent>
  <xr:revisionPtr revIDLastSave="5" documentId="13_ncr:1_{F5C11F29-E289-415D-890C-1D8491F3AC57}" xr6:coauthVersionLast="47" xr6:coauthVersionMax="47" xr10:uidLastSave="{B88D4725-0A6F-4CAC-992F-C01B523399ED}"/>
  <bookViews>
    <workbookView minimized="1" xWindow="3000" yWindow="528" windowWidth="11112" windowHeight="11712" activeTab="1" xr2:uid="{00000000-000D-0000-FFFF-FFFF00000000}"/>
  </bookViews>
  <sheets>
    <sheet name="Summary" sheetId="1" r:id="rId1"/>
    <sheet name="Articles" sheetId="2" r:id="rId2"/>
    <sheet name="Journalist Statu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 i="3" l="1"/>
  <c r="N16" i="3"/>
  <c r="F16" i="3"/>
  <c r="E16" i="3"/>
  <c r="O15" i="3"/>
  <c r="N15" i="3"/>
  <c r="F15" i="3"/>
  <c r="E15" i="3"/>
  <c r="O14" i="3"/>
  <c r="N14" i="3"/>
  <c r="F14" i="3"/>
  <c r="E14" i="3"/>
  <c r="O13" i="3"/>
  <c r="N13" i="3"/>
  <c r="F13" i="3"/>
  <c r="E13" i="3"/>
  <c r="O12" i="3"/>
  <c r="N12" i="3"/>
  <c r="F12" i="3"/>
  <c r="E12" i="3"/>
  <c r="O11" i="3"/>
  <c r="N11" i="3"/>
  <c r="F11" i="3"/>
  <c r="E11" i="3"/>
  <c r="O10" i="3"/>
  <c r="N10" i="3"/>
  <c r="F10" i="3"/>
  <c r="E10" i="3"/>
  <c r="O9" i="3"/>
  <c r="N9" i="3"/>
  <c r="F9" i="3"/>
  <c r="E9" i="3"/>
  <c r="O8" i="3"/>
  <c r="N8" i="3"/>
  <c r="F8" i="3"/>
  <c r="E8" i="3"/>
  <c r="O7" i="3"/>
  <c r="N7" i="3"/>
  <c r="F7" i="3"/>
  <c r="E7" i="3"/>
  <c r="O6" i="3"/>
  <c r="N6" i="3"/>
  <c r="F6" i="3"/>
  <c r="E6" i="3"/>
  <c r="O5" i="3"/>
  <c r="N5" i="3"/>
  <c r="F5" i="3"/>
  <c r="E5" i="3"/>
  <c r="O4" i="3"/>
  <c r="N4" i="3"/>
  <c r="F4" i="3"/>
  <c r="E4" i="3"/>
  <c r="O3" i="3"/>
  <c r="N3" i="3"/>
  <c r="F3" i="3"/>
  <c r="E3" i="3"/>
  <c r="O2" i="3"/>
  <c r="N2" i="3"/>
  <c r="F2" i="3"/>
  <c r="E2" i="3"/>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2" i="1"/>
</calcChain>
</file>

<file path=xl/sharedStrings.xml><?xml version="1.0" encoding="utf-8"?>
<sst xmlns="http://schemas.openxmlformats.org/spreadsheetml/2006/main" count="1211" uniqueCount="515">
  <si>
    <t>Report</t>
  </si>
  <si>
    <t>Indy Ignite February Media Report</t>
  </si>
  <si>
    <t>URL</t>
  </si>
  <si>
    <t>Exported On</t>
  </si>
  <si>
    <t>Generated By</t>
  </si>
  <si>
    <t>Cathy Kightlinger</t>
  </si>
  <si>
    <t>Links</t>
  </si>
  <si>
    <t>Total Engagement</t>
  </si>
  <si>
    <t>Average Engagement</t>
  </si>
  <si>
    <t>Total UVM (Insights by Similarweb)</t>
  </si>
  <si>
    <t>Total AVE</t>
  </si>
  <si>
    <t>Total Journalist Shares</t>
  </si>
  <si>
    <t>Total Journalist Reach</t>
  </si>
  <si>
    <t>Article</t>
  </si>
  <si>
    <t>Author</t>
  </si>
  <si>
    <t>Media Outlet</t>
  </si>
  <si>
    <t>Published</t>
  </si>
  <si>
    <t>Snippet</t>
  </si>
  <si>
    <t>UVM (Insights by Similarweb)</t>
  </si>
  <si>
    <t>Journalist Shares</t>
  </si>
  <si>
    <t>Journalist Reach</t>
  </si>
  <si>
    <t>Sentiment</t>
  </si>
  <si>
    <t>Advertising Value Equivalency</t>
  </si>
  <si>
    <t>Pitch Placement</t>
  </si>
  <si>
    <t>Our Sports Central</t>
  </si>
  <si>
    <t>Neutral</t>
  </si>
  <si>
    <t>Vegas Ends Road Trip with a Four Set Loss to Indy</t>
  </si>
  <si>
    <t>. - The Vegas Thrill (7-5) ended its four-match road trip with a four-set loss (23-25, 25-14, 18-25, 16-25) to the Indy Ignite (7-5) on Thursday night at Fishers Event Center.</t>
  </si>
  <si>
    <t>Positive</t>
  </si>
  <si>
    <t>Ignite Take the Thrill out of Vegas with Win in Four Sets</t>
  </si>
  <si>
    <t>February 28, 2025 - Pro Volleyball Federation (PVF)
Indy Ignite News Release
FISHERS, Ind. - The Indy Ignite set the right tone with their first match following the Pro Volleyball Federation All-Star Match.</t>
  </si>
  <si>
    <t>Indy Ignite climb to 3rd in PVF rankings after big win over Vegas Thrill</t>
  </si>
  <si>
    <t>WTHR-TV (Indianapolis, IN)</t>
  </si>
  <si>
    <t>. - If there's one thing the Indy Ignite know how to do, it's to compete and win as a team - and they did just that Thursday night.</t>
  </si>
  <si>
    <t>Photo Gallery: Pro Volleyball All-Star Match</t>
  </si>
  <si>
    <t>Clay Maxfield</t>
  </si>
  <si>
    <t>Indianapolis Monthly</t>
  </si>
  <si>
    <t>THE PRO VOLLEYBALL FEDERATION held its inaugural All-Star Match on Saturday at the Fishers Event Center with the Indy Ignite’s Sydney Hilley and libero Kylie Murr suiting up for Team Collier, coached by Michelle Collier of Georgia Tech.</t>
  </si>
  <si>
    <t>South Bend Tribune</t>
  </si>
  <si>
    <t>High school basketball state finals are here, plus more weekend events</t>
  </si>
  <si>
    <t>Arika Herron</t>
  </si>
  <si>
    <t>Axios Indianapolis</t>
  </si>
  <si>
    <t>ğ Bump, set and spike along with the Indy Ignite when they take on the Las Vegas Thrill, 8pm Thursday at the Fishers Event Center.</t>
  </si>
  <si>
    <t>Black History Month Match Takes on New Meaning for Ignite</t>
  </si>
  <si>
    <t>February 26, 2025 - Pro Volleyball Federation (PVF)
Indy Ignite News Release
FISHERS, Ind. - On the surface, most wouldn't see the correlation between the history of rock and roll music and that of women's professional volleyball in the
United States.</t>
  </si>
  <si>
    <t>Jordan Jones</t>
  </si>
  <si>
    <t>On3</t>
  </si>
  <si>
    <t>Volleyball World</t>
  </si>
  <si>
    <t>Supernovas Defend First Place in Top Two Clash vs. Valkyries, Host Ignite in Home Doubleheader</t>
  </si>
  <si>
    <t>. - The first-place Omaha Supernovas, Nebraska's professional volleyball team and first Pro Volleyball Champions, will host two matches as part of a pivotal weekend in the 2025 season by taking on the Orlando Valkyries on Thursday, February 27 at 7 p.m. followed by a matchup with the Indy Ignite on Sunday</t>
  </si>
  <si>
    <t>Awful Announcing</t>
  </si>
  <si>
    <t>on the air</t>
  </si>
  <si>
    <t>.: FS2, FS1 - Pro Federation: Vegas Thrill at Indy Ignite</t>
  </si>
  <si>
    <t>Las Vegas Weekly</t>
  </si>
  <si>
    <t>PVF All-Star Game Shines at Fishers Event Center</t>
  </si>
  <si>
    <t>Marc Viquez</t>
  </si>
  <si>
    <t>Stadium Journey Magazine</t>
  </si>
  <si>
    <t>The hometown Indy Ignite was there too, showing their support.
Team mascots from the Indy Ignite, Orlando Valkeires, and Vegas Thrill were on hand to greet fans, participate in pre-game contests, and then put on a few moves of their own.</t>
  </si>
  <si>
    <t>PPF All-Star Match a hit all around</t>
  </si>
  <si>
    <t>Mark Ambrogi</t>
  </si>
  <si>
    <t>Current Publishing</t>
  </si>
  <si>
    <t>Setter Sydney Hilley, who played for Team Collier, was one of three Indy Ignite players in the game. She led all players with 14 assists
“It was an honor to be a part of this event and I think it was really well done,” Hilley said.</t>
  </si>
  <si>
    <t>Host Ignite Proud of How Indy Lit It up for PVF All-Star Match</t>
  </si>
  <si>
    <t>February 24, 2025 - Pro Volleyball Federation (PVF)
Indy Ignite News Release
FISHERS, Ind. - Indianapolis and Central Indiana boast a proven history going back decades of conducting first-class sporting events that gain national and international recognition.</t>
  </si>
  <si>
    <t>Indy and Ignite put on show for sold-out crowd</t>
  </si>
  <si>
    <t>Paul Shepherd</t>
  </si>
  <si>
    <t>IndyStar</t>
  </si>
  <si>
    <t>However, the loudest ovations were reserved for the four players selected from the first-year Indy Ignite team in Sydney Hilley, Kylie Murr, Azhani Tealer, and Leketor Member-Meneh, who was unable to play due to injury. Only the Vegas Thrill had more players, with five participating.</t>
  </si>
  <si>
    <t>Pro Volleyball Federation All-Star Match a hit all around</t>
  </si>
  <si>
    <t>Current in Fishers</t>
  </si>
  <si>
    <t>Hilley 
Setter Sydney Hilley, who played for Team Collier, was one of three Indy Ignite players in the game. She led all players with 14 assists 
"It was an honor to be a part of this event and I think it was really well done," Hilley said.</t>
  </si>
  <si>
    <t>Meet Randi Raff, Director of Community Engagement for the Indy Ignite</t>
  </si>
  <si>
    <t>WRTV-TV (Indianapolis, IN)</t>
  </si>
  <si>
    <t>Brand Spotlight
Sponsored Content
 Modified: 
To learn more about the Indy Ignite and their upcoming games, visit their pro-volleyball page here.</t>
  </si>
  <si>
    <t>Photo gallery: Pro volleyball All-Star Match draws full house to Fishers Event Center</t>
  </si>
  <si>
    <t>Mickey Shuey</t>
  </si>
  <si>
    <t>Indianapolis Business Journal</t>
  </si>
  <si>
    <t>Saturday’s event far exceeded those expectations, as nearly 7,000 spectators took in a nearly two-hour match at Fishers Event Center, home venue for the league’s upstart Indy Ignite club.</t>
  </si>
  <si>
    <t>The IN List 2025: 2/24 - 3/2</t>
  </si>
  <si>
    <t>Chelsea Kopelman</t>
  </si>
  <si>
    <t>Keeping Up in Carmel</t>
  </si>
  <si>
    <t>Indy Ignite vs. Las Vegas Thrill: 8pm. Fishers Event Center - Fishers, IN. Tickets required.
Lil’ Wayne Live in Concert: 7pm. Gainbridge Fieldhouse - Indianapolis, IN. Tickets required.
Friday, Feb 28
Zionsville Library Events: 250 N. 5th St. Zionsville, IN.Registration required.</t>
  </si>
  <si>
    <t>Team Shondell Captures Victory in Historic Inaugural PVF All-Star Match</t>
  </si>
  <si>
    <t>While the match was played in a traditional three-set format on the home court of the Indy Ignite, the winning team was determined by overall points. After winning the first sets 25-22 and 25-20, Team Shondell needed only to reach eight points in the third set to clinch the victory.</t>
  </si>
  <si>
    <t>Indianapolis, Ignite put on sold-out show for 1st Pro Volleyball Federation all-star game</t>
  </si>
  <si>
    <t>Yahoo Sports</t>
  </si>
  <si>
    <t>However, the loudest ovations were reserved for the four players selected from the first-year Indy Ignite team in Sydney Hilley, Kylie Murr, Azhani Tealer, and Leketor Member-Meneh, who was unable to play due to injury. Only the Vegas Thrill had more players, with five participating. … The Indy Ignite’s Pepper led a group of “all-star mascots” in energizing the crowd, while local musicians kept the crowd hyped. D’yshe Mansfield delivered a powerful rendition of the national anthem, and percussionist Briah Golder and singer/guitarist Sadie Johnson electrified between sets.</t>
  </si>
  <si>
    <t>Jalen Rose returns to Indy to co-host inaugural Pro Volleyball All-Star match</t>
  </si>
  <si>
    <t>Scott Agness</t>
  </si>
  <si>
    <t>Fieldhouse Files: Scott Agness on the Indiana Pacers</t>
  </si>
  <si>
    <t>The Indy Ignite, a woman’s professional volleyball league, began their inaugural season this year. (It’s Season 2 for the league.)
And because Indy often puts on great events, it will be hosting the Pro Volleyball Federation (PVF) All-Star match on Saturday.</t>
  </si>
  <si>
    <t>Pro volleyball set to bring all-star match to Fishers today</t>
  </si>
  <si>
    <t>Greenfield Daily Reporter</t>
  </si>
  <si>
    <t>By Mickey Shuey
Indiana Business Journal 
Pro Volleyball Federation leaders and Indy Ignite executives are hopeful early-season interest in the new team based in Fishers will bode well for turnout at Saturday's inaugural league All-Star Match at Fishers Event Center. … Ryan Grab, senior vice president of marketing and communications for the Pro Volleyball Federation, said the league has been pleased with the Indy Ignite's effort to stir up interest in the event. 
"We all want to see a full house and make sure fans have fun," Grab said.</t>
  </si>
  <si>
    <t>Inaugural Pro Volleyball Federation All-Star Match Hosted by Indy Ignite</t>
  </si>
  <si>
    <t>NewsBreak</t>
  </si>
  <si>
    <t>(WISH) — The first-ever Pro Volleyball Federation All-Star Match is Saturday and the league’s newest team — the Indy Ignite — is preparing to host the event. The Fishers Event Center, also in its inaugural season, will welcome a standing-room-only crowd.</t>
  </si>
  <si>
    <t>KTIC-AM (West Point, NE)</t>
  </si>
  <si>
    <t>Indy Ignite to host first-ever Pro Volleyball Federation All-Star Match - Indianapolis News</t>
  </si>
  <si>
    <t>Hernan Gutierrez</t>
  </si>
  <si>
    <t>WISH-TV (Indianapolis, IN)</t>
  </si>
  <si>
    <t>(WISH) — The first-ever Pro Volleyball Federation All-Star Match is Saturday and the league’s newest team — the Indy Ignite — is preparing to host the event.
The Fishers Event Center, also in its inaugural season, will welcome a standing-room-only crowd.</t>
  </si>
  <si>
    <t>Shawn Johnson East to co-Host PVF All-Star Match in Fishers</t>
  </si>
  <si>
    <t>Noral Parham, Big East</t>
  </si>
  <si>
    <t>The Indianapolis Recorder</t>
  </si>
  <si>
    <t>ET at the Fishers Event Center, the home of the Indy Ignite, PVF’s newest franchise. Fan voting for the All-Star teams is currently underway, with selections available online.   
Tickets for the All-Star Match can be purchased via Ticketmaster or at the Fishers Event Center box office.</t>
  </si>
  <si>
    <t>GANGGANG, Indy Ignite prepare for PVF All-Star Weekend</t>
  </si>
  <si>
    <t>Indianapolis-based creative advocacy agency GANGGANG partners with the Pro Volleyball Federation’s (PVF) Indy Ignite, enhancing the fan experience at two major upcoming matches. </t>
  </si>
  <si>
    <t>Alex Hammeke</t>
  </si>
  <si>
    <t>KSYZ-FM (Grand Island, NE)</t>
  </si>
  <si>
    <t>KROR-FM (Grand Island, NE)</t>
  </si>
  <si>
    <t>KQKY-FM (Kearney, NE)</t>
  </si>
  <si>
    <t>KGFW-AM (Kearney, NE)</t>
  </si>
  <si>
    <t>centralnebraskatoday.com</t>
  </si>
  <si>
    <t>Ignite Ready to Host PVF All-Star Match, the Latest Indy Marquee Sports Event</t>
  </si>
  <si>
    <t>February 21, 2025 - Pro Volleyball Federation (PVF)
Indy Ignite News Release
FISHERS, Ind. - Indianapolis has a long, envied history of successfully putting on marquee sporting events.</t>
  </si>
  <si>
    <t>For the First Time in Pro Volleyball Federation History, the Best of the Best Will Gather this Weekend for the Inaugural PVF All-Star Match</t>
  </si>
  <si>
    <t>Top players from PVF teams will take the court at Fishers Event Center, the suburban Indianapolis home of the Indy Ignite, in a match that airs nationally on CBS at 1:30 p.m. ET Saturday.</t>
  </si>
  <si>
    <t>PVF All-Star Match comes to Fishers this weekend</t>
  </si>
  <si>
    <t>Matt Adams</t>
  </si>
  <si>
    <t>WTTV-TV (Indianapolis, IN)</t>
  </si>
  <si>
    <t>The Vegas Thrill have the most All-Stars with five, with the Atlanta Vibe, Indy Ignite and Orlando Valkyries sending four players each.</t>
  </si>
  <si>
    <t>WXIN-TV (Indianapolis, IN)</t>
  </si>
  <si>
    <t>Four Indy Ignite players made the squad:
Leketor Member-Meneh (outside hitter)
Sydney Hilley (setter)
Azhani Tealer (opposite hitter)
Kylie Murr (libero)
Murr will replace Member-Meneh, who won't be able to participate in the All-Star Match due to injury.</t>
  </si>
  <si>
    <t>Hamilton County Tourism Spotlight - March</t>
  </si>
  <si>
    <t>Towne Post Network</t>
  </si>
  <si>
    <t>Indy Ignite, part of the Pro Volleyball Federation, is Indiana’s first professional women’s volleyball team. Their inaugural season in 2025 has already seen impressive performances, with the season running through May 1.</t>
  </si>
  <si>
    <t>Central Indiana Hosts Inaugural PVF All-Star Volleyball Match with</t>
  </si>
  <si>
    <t>Luis Martinez</t>
  </si>
  <si>
    <t>Hoodline</t>
  </si>
  <si>
    <t>Ahead of the exciting weekend, the Indy Ignite clinched a key victory against the Atlanta Vibe, securing the fourth spot in the Pro Volleyball Federation rankings right before the All-Star break.</t>
  </si>
  <si>
    <t>Top Pacers moment for Rose? Some redemption; It was hugging Miller on the Knicks logo in 2000</t>
  </si>
  <si>
    <t>The PVF All-Star Match, showcasing the league's top talent, is 1:30 p.m. at the Fishers Event Center, home of the Indy Ignite. All-Star tickets are available via Ticketmaster or the Fishers Event Center box office. For more information on ticket availability go to ProVolleyball.com.</t>
  </si>
  <si>
    <t>Pro volleyball set to bring all-star match to Fishers on Saturday</t>
  </si>
  <si>
    <t>Mary Kay Huse, general manager of Indy Ignite, a new team that made its debut last month, said staff has worked continuously to prepare for the all-star event since the event center was announced as the host in December, prior to the Ignite ever taking the court for a match. … Ryan Grab, senior vice president of marketing and communications for the Pro Volleyball Federation, said the league has been pleased with the Indy Ignite’s effort to stir up interest in the event.
“We all want to see a full house and make sure fans have fun,” Grab said.</t>
  </si>
  <si>
    <t>Indy Ignite surge past Vibe, climb to 4th in PVF ahead of All-Star break</t>
  </si>
  <si>
    <t>. - Earlier this week, the Indy Ignite barely lost a five-set thriller against the Vibe in Atlanta to move to fifth in the Pro Volleyball Federation standings.</t>
  </si>
  <si>
    <t>Indy Ignite defeats the Atlanta Vibe 3-1, enters All-Star Break on a high note</t>
  </si>
  <si>
    <t>Tony Vasquez</t>
  </si>
  <si>
    <t>Nuvo</t>
  </si>
  <si>
    <t>Indy Ignite bounced back from an early setback to defeat the Atlanta Vibe 3-1 at Fishers Event Center ahead of the Pro Volleyball Federation All-Star break. After dropping the first set 25-16, Indy responded with dominant play, winning the following three sets 25-20, 25-11, and 25-20.</t>
  </si>
  <si>
    <t>Four-Set Match Goes Against Atlanta Vibe in Indy</t>
  </si>
  <si>
    <t>The Gwinnett Daily Post</t>
  </si>
  <si>
    <t>. — The Atlanta Vibe fell to the Indy Ignite in a four-set away match on Thursday evening at the Fishers Event Center.
kAm%96 ':36 We\eX E@@&lt; E96 7:CDE D6E ad\`e[ 3FE 76== E@ E96 x8?:E6 :? E96 7:?2= E9C66 D6ED] ~FED:56 9:EE6C {629 t5&gt;@?5 =65 E96 E62&gt; H:E9 `c &lt;:==D :? E96 &gt;2E49[ E24&lt;:?8 @?</t>
  </si>
  <si>
    <t>Ignite Fire Back for Important Win Heading into All-Star Break</t>
  </si>
  <si>
    <t>February 20, 2025 - Pro Volleyball Federation (PVF)
Indy Ignite News Release
FISHERS, Ind. - The Indy Ignite were hungry for a victory heading into the Pro Volleyball Federation All-Star break. They got it tonight at Fishers Event Center, but not without some early discomfort.</t>
  </si>
  <si>
    <t>Vibe Fall to Ignite in Four Set Match</t>
  </si>
  <si>
    <t>. - The Atlanta Vibe (6-6) fell to the Indy Ignite (6-5) in a four-set away match on Thursday evening.
The Vibe took the first set 25-16, but fell to the Ignite in the final three sets. Outside hitter Leah Edmond led the team with 14 kills in the match, tacking on two blocks.</t>
  </si>
  <si>
    <t>BVM Sportsdesk</t>
  </si>
  <si>
    <t>BVM Sports</t>
  </si>
  <si>
    <t>Indy Ignite host rematch with Atlanta Vibe before All-Star break</t>
  </si>
  <si>
    <t>. - The Indy Ignite are looking to bounce back Thursday night at home from a tight, five-set loss in Atlanta against the Vibe.
Starting at 7 p.m.</t>
  </si>
  <si>
    <t>The Atlanta Vibe fell to the Indy Ignite in a four-set away match on Thursday evening at the Fishers Event Center.
The Vibe (6-6) took the first set 25-16, but fell to the Ignite in the final three sets. Outside hitter Leah Edmond led the team with 14 kills in the match, tacking on two blocks.</t>
  </si>
  <si>
    <t>Rachel Coe</t>
  </si>
  <si>
    <t>BoilerBall Podcast</t>
  </si>
  <si>
    <t>Vibe Take on Indy for Away Match</t>
  </si>
  <si>
    <t>. - The Atlanta Vibe (6-5) are on the road on Thursday, February 20th, to rematch the Indy Ignite (5-5) on their home court. First serve is set for 7:00 p.m. ET, airing on YouTube.
Vibe vs. Ignite
The Vibe face off against the Ignite for the second time in the 2025 season.</t>
  </si>
  <si>
    <t>Third Clash with Fury Ahead, PVF All-Star Match on Saturday</t>
  </si>
  <si>
    <t>Noteworthy: The first-ever Pro Volleyball Federation All-Star Match will be played at the Fishers Event Center in Indianapolis, home of the Indy Ignite, and will be televised nationally on CBS.</t>
  </si>
  <si>
    <t>Hamilton County sees pro sports boom as Pro Volleyball Federation preps for All Star Weekend</t>
  </si>
  <si>
    <t>Eric Graves</t>
  </si>
  <si>
    <t>The Indy Fuel moved up from the Circle City, the Fishers Freight indoor football team is getting set to start and the Indy Ignite pro volleyball team is in the middle of its inaugural season.</t>
  </si>
  <si>
    <t>Indy Ignite Host Atlanta in Final Match Before All-Star Break</t>
  </si>
  <si>
    <t>February 19, 2025 - Pro Volleyball Federation (PVF)
Indy Ignite News Release
FISHERS, Ind. - The Indy Ignite look to bounce back from a heart-wrenching five-set loss at Atlanta when they face the same Vibe team in a rematch Thursday at Fishers Event Center.</t>
  </si>
  <si>
    <t>Win Tickets: Professional Volleyball All Star Game At Fishers Event Center</t>
  </si>
  <si>
    <t>Nick Cottongim</t>
  </si>
  <si>
    <t>WFNI-AM (Indianapolis, IN)</t>
  </si>
  <si>
    <t>The match will take place at 1:30 pm ET at Fishers Event Center, home of the league’s newest franchise, the Indy Ignite. … “Hosting the first Pro Volleyball Federation All-Star weekend, just as we’re celebrating Indy Ignite’s inaugural season, is nothing short of epic. We’re grateful for the support of the Indiana Sports Corporation, Hamilton County Sports Authority, and the City of Fishers in securing this bid.</t>
  </si>
  <si>
    <t>Go MAD: Feb. 20-21</t>
  </si>
  <si>
    <t>The Herald Bulletin</t>
  </si>
  <si>
    <t>Fishers
• Atlanta Vibe at Indy Ignite, 7 p.m., Fishers Event Center, 11000 Stockdale St.
Middletown
• Broasted chicken dinners, 11 a.m. to 8 p.m., American Legion Post 216, 450 N. 10th St.</t>
  </si>
  <si>
    <t>The Indy Fuel moved up from the Circle City, the Fishers Freight indoor football team is getting set to start and the Indy Ignite pro volleyball team is in the middle of its inaugural season.
”These opportunities present themselves because of the commitment that these communities have made to sport</t>
  </si>
  <si>
    <t>PVF All-Star Match is Saturday, Feb. 22, on CBS</t>
  </si>
  <si>
    <t>avca.org</t>
  </si>
  <si>
    <t>Every PVF team is represented on the two 12-person rosters, led by the Vegas Thrill with five players and the Atlanta Vibe, Indy Ignite, and Orlando Valkyries with four players apiece.</t>
  </si>
  <si>
    <t>Soumik Bhattacharya</t>
  </si>
  <si>
    <t>Flipboard</t>
  </si>
  <si>
    <t>Ignite Libero Murr Added to PVF All-Star Team</t>
  </si>
  <si>
    <t>February 17, 2025 - Pro Volleyball Federation (PVF)
Indy Ignite News Release
FISHERS, Ind. - Indy Ignite libero Kylie Murr was named today to the Pro Volleyball Federation All-Star Team and will play in Saturday's inaugural All-Star match being held at Fishers Event Center, the Ignite's home court.</t>
  </si>
  <si>
    <t>All-Star Match - Pro Volleyball Federation</t>
  </si>
  <si>
    <t>provolleyball.com</t>
  </si>
  <si>
    <t>BUY TICKETS
FISHERS EVENT CENTER
The match will take place at 1:30 pm ET at Fishers Event Center, home of the league’s newest franchise, the Indy Ignite.
Fishers Event Center is located at 11000 Stockdale Street, Fishers, IN 46037, just outside of Indianapolis, Indiana. </t>
  </si>
  <si>
    <t>KQKX-FM (Norfolk, NE)</t>
  </si>
  <si>
    <t>Atlanta Vibe Volleyball Topples Indy Ignite</t>
  </si>
  <si>
    <t>DULUTH The Atlanta Vibe defeated the Indy Ignite on Sunday evening in Pro Volleyball Federation action at Gas South Arena.
Atlanta (6-5) hit .291 in the five-set thriller, with record nights for multiple Vibe players.</t>
  </si>
  <si>
    <t>Jalen Rose on his favorite Pacers memory, being a volleyball dad and NIL</t>
  </si>
  <si>
    <t>Dana Hunsinger Benbow</t>
  </si>
  <si>
    <t>The PVF All-Star Match, showcasing the league’s top talent, is 1:30 p.m. at the Fishers Event Center, home of the Indy Ignite. All-Star tickets are available via Ticketmaster or the Fishers Event Center box office. For more information on ticket availability go to ProVolleyball.com.</t>
  </si>
  <si>
    <t>Pro Volleyball Federation setting high bar for leagues future</t>
  </si>
  <si>
    <t>Wes Sanderson</t>
  </si>
  <si>
    <t>Sports Business Journal</t>
  </si>
  <si>
    <t>This year it has expanded to eight teams with the addition of the Indy Ignite and is poised to capitalize on the sport’s interest to soar well past that attendance mark.</t>
  </si>
  <si>
    <t>The PVF All-Star Match, showcasing the league’s top talent, is 1:30 p.m. at the Fishers Event Center, home of the Indy Ignite. All-Star tickets are available via Ticketmaster or the Fishers Event Center box office. For more information on ticket availability go to ProVolleyball.com.</t>
  </si>
  <si>
    <t>DULUTH — The Atlanta Vibe defeated the Indy Ignite on Sunday evening in Pro Volleyball Federation action at Gas South Arena.
kAmpE=2?E2 We\dX 9:E ]ah` :? E96 7:G6\D6E E9C:==6C[ H:E9 C64@C5 ?:89ED 7@C &gt;F=E:A=6 ':36 A=2J6CD] ~FED:56 9:EE6C !:2 %:&gt;&gt;6C 925 2 42C66C 9:89 :? 9:EE:?8 677:4:6?4J[ 2G6C28:?</t>
  </si>
  <si>
    <t>Indy Ignite lose 5-set thriller against the Vibe in Atlanta</t>
  </si>
  <si>
    <t>ATLANTA, Georgia - The Indy Ignite dropped a hard-fought thriller against the Atlanta Vibe Sunday night.</t>
  </si>
  <si>
    <t>The WorldNews (WN) Network</t>
  </si>
  <si>
    <t>Ignite Fall Just Shy in Five-Set Loss at Atlanta</t>
  </si>
  <si>
    <t>February 16, 2025 - Pro Volleyball Federation (PVF)
Indy Ignite News Release
ATLANTA - The margin of error for success is miniscule in Pro Volleyball Federation competition.</t>
  </si>
  <si>
    <t>Vibe Conquer Ignite in Five Set Match</t>
  </si>
  <si>
    <t>. - The Atlanta Vibe (6-5) defeated the Indy Ignite (5-5) Sunday evening at Gas South Arena, marking the first match-up between the teams in league history as a Vibe win.
Atlanta hit .291 in the five-set thriller, with record nights for multiple Vibe players.</t>
  </si>
  <si>
    <t>The IN List 2024: 2/17 - 2/23</t>
  </si>
  <si>
    <t>Indy Ignite vs. Atlanta Vibe: 7pm. Fishers Event Center, Fishers, IN. Tickets required. 
Indiana Pacers vs. Memphis Grizzlies: 7pm. Gainbridge Fieldhouse, Indianapolis, IN. Tickets required.
Friday, Feb 21
Carmel Main Library Events: 425 E Main St, Carmel, IN. 
Drop-In Craft: 10-11:30am.</t>
  </si>
  <si>
    <t>Caitlin Clark cheers on boyfriend Connor McCaffery, Butler basketball from stands</t>
  </si>
  <si>
    <t>Josh Sanchez</t>
  </si>
  <si>
    <t>Sports Illustrated</t>
  </si>
  <si>
    <t>enjoying Butler’s win today #DawgsOnly https://t.co/0Oit6dMdFg pic.twitter.com/ntMiZG80bI
— Butler Basketball Guru (@ButlerGuru) February 15, 2025
Clark and McCaffery have recently been spotted at an NBA G-League game where they awkwardly sat on their phones and at a professional volleyball game for the Indy … Ignite.</t>
  </si>
  <si>
    <t>.: ESPNU - League One Classic: third place match
6: CBSSSN - Pro Volleyball Federation: Indy Ignite at Atlanta Vibe
MONDAY, February 17
COLLEGE BASKETBALL (MEN)
7 p.m.: CBSSN - Lehigh at Bucknell
8: ESPN - Duke at Virginia
9: ESPN2 - Kansas State at Utah
9: ESPNU - Texas Southern at Southern</t>
  </si>
  <si>
    <t>Vibe Take on Ignite for HBCU Night</t>
  </si>
  <si>
    <t>. - The Atlanta Vibe (5-5) host their HBCU Night match, taking on the Indy Ignite (5-4) on Sunday, February 16. The match is set to start at 6:00 p.m.</t>
  </si>
  <si>
    <t>Indy Ignite ready to host PVF All-Star Match</t>
  </si>
  <si>
    <t>Pro Volleyball Federation Chief Executive Officer Jen Spicher took immediate notice of how the Indy Ignite has sparked excitement in its first season.
So, choosing the Indy Ignite to host the first All-Star Match seemed natural. The three-set match is set for 1:30 p.m.</t>
  </si>
  <si>
    <t>Indy preps for PVB All-Star Match</t>
  </si>
  <si>
    <t>Cultural development firm GangGang commissioned artists to perform as part of the All-Star Match scheduled Feb. 22 at Fishers Event Center, the Pro Volleyball Federation announced Friday in conjunction with the league's local team, Indy Ignite.</t>
  </si>
  <si>
    <t>.: ESPNU - League One Classic: third place match
6: CBSSSN - Pro Volleyball Federation: Indy Ignite at Atlanta Vibe</t>
  </si>
  <si>
    <t>Caitlin Clark's boyfriend shares heartfelt Valentine's Day post for WNBA star</t>
  </si>
  <si>
    <t>Leocciano Callao</t>
  </si>
  <si>
    <t>Express Digest</t>
  </si>
  <si>
    <t>Clark and McCaffery enjoyed date night at a Indy Ignite volleyball game in January 
The WNBA rookie of the year was also seen with Taylor Swift at the Texans-Chiefs game 
On January 16, Clark and McCaffery enjoyed courtside seats to the professional women’s volleyball game between the Indy Ignite and</t>
  </si>
  <si>
    <t>UK-Times</t>
  </si>
  <si>
    <t>On January 16, Clark and McCaffery enjoyed courtside seats to the professional women’s volleyball game between the Indy Ignite and the Grand Rapids Rise. The Ignite swept the opposition in front of the Fever Star.</t>
  </si>
  <si>
    <t>thebritishclub.co.uk</t>
  </si>
  <si>
    <t>Caitlin Clark's boyfriend shares heartfelt Valentine's Day post</t>
  </si>
  <si>
    <t>Daily Mail</t>
  </si>
  <si>
    <t>On January 16, Clark and McCaffery enjoyed courtside seats to the professional women's volleyball game between the Indy Ignite and the Grand Rapids Rise. The Ignite swept the opposition in front of the Fever Star.</t>
  </si>
  <si>
    <t>Caitlin Clark's Boyfriend Shares Heartfelt Valentine's Day Post For WNBA Star</t>
  </si>
  <si>
    <t>NY Breaking</t>
  </si>
  <si>
    <t>On January 16, Clark and McCaffery enjoyed the court chairs for the professional women’s volleyball match between the Indy Ignite and the Grand Rapids Rise. The Ignite wiped the opposition for the fever star.</t>
  </si>
  <si>
    <t>Indianapolis Cultural Organization GANGGANG to Curate Fan Experience for Pro Volleyball Federation, Indy Ignite</t>
  </si>
  <si>
    <t>February 14, 2025 - Pro Volleyball Federation (PVF)
Indy Ignite News Release
FISHERS, Ind. - Pro Volleyball Federation and the league's local team, Indy Ignite, today announced a partnership with the Indianapolis cultural organization GANGGANG.</t>
  </si>
  <si>
    <t>Indianapolis musicians to perform at Pro Volleyball Federation All-Star Match</t>
  </si>
  <si>
    <t>Cultural development firm GangGang commissioned artists to perform as part of the All-Star Match scheduled Feb. 22 at Fishers Event Center, the Pro Volleyball Federation announced Friday in conjunction with the league’s local team, Indy Ignite.</t>
  </si>
  <si>
    <t>Indy Ignite cut off losing streak with win over San Diego Mojo</t>
  </si>
  <si>
    <t>INDIANAPOLIS - It took just four sets for the Indy Ignite to add another "W" to their record on Thursday in Fishers.
The at-home presence at the Fishers Event Center helped the Ignite push for a win with set scores of 25-21, 25-14, 18-25 and 25-15.</t>
  </si>
  <si>
    <t>3 Indy Ignite players selected for 2025 PVF All-Star Match</t>
  </si>
  <si>
    <t>INDIANAPOLIS - In its inaugural season, Indy Ignite are sending three players to the first-ever Pro Volleyball Federation All-Star Match.
Setter Sydney Hilley, outside hitter Leketor Member-Meneh and opposite hitter Azhani Tealer were selected to play on the two 12-player teams.</t>
  </si>
  <si>
    <t>Indy Ignite rolls past the San Diego Mojo in four sets</t>
  </si>
  <si>
    <t>The Indy Ignite delivered a commanding performance on Thursday night, defeating the San Diego Mojo in four sets (25-21, 25-14, 18-25, 25-15) at the Fishers Event Center.</t>
  </si>
  <si>
    <t>Ignite Fire Back into Win Column with Victory over San Diego</t>
  </si>
  <si>
    <t>February 13, 2025 - Pro Volleyball Federation (PVF)
Indy Ignite News Release
FISHERS, Ind. - The Indy Ignite returned to their winning ways tonight, pounding past the visiting San Diego Mojo in four sets before an ecstatic crowd at Fishers Event Center.</t>
  </si>
  <si>
    <t>San Diego Mojo's Dahlke Scores 24 Points in Four-Set Loss Indy Ignite</t>
  </si>
  <si>
    <t>. - The San Diego Mojo fell in four sets to the Indy Ignite, 25-21, 25-14, 18-25, 25-15, at the Fishers Event Center on Thursday night. It marked the fourth-straight loss for San Diego, dropping the Mojo to 3-6 on the year, while Indy improved to 5-4.</t>
  </si>
  <si>
    <t>Indy Ignite trio named to PVF All-Star teams</t>
  </si>
  <si>
    <t>Andrew Chernoff</t>
  </si>
  <si>
    <t>Three Indy Ignite players made the cut and will represent their team in the All-Star match. Setter Sydney Hilley, outside hitter Leketor Member-Meneh and opposite hitter Azhani Tealer will play in the match.</t>
  </si>
  <si>
    <t>Purdue Sports Update: Feb. 12</t>
  </si>
  <si>
    <t>ET and will be hosted at the Indy Ignite’s Fisher’s Event Center. Fans can also watch the match on CBS. 
 The PVF’s history-making All-Star match will showcase the league’s top talent, featuring players from all league teams and giving fans the chance to see professional volleyball at its finest. … The event begins at 1:30 pm ET at Fishers Event Center, home of the Indy Ignite, PVF’s newest franchise. Fan voting is underway for the All-Star teams and fans may make their selections here . All-Star tickets are available via Ticketmaster or the Fishers Event Center box office.</t>
  </si>
  <si>
    <t>Louisville Volleyball Star Faces Harsh Reality While Returning to Court After Long Injury</t>
  </si>
  <si>
    <t>Sagnik Bagchi</t>
  </si>
  <si>
    <t>EssentiallySports</t>
  </si>
  <si>
    <t>The Indy Ignite had picked up DeBeer during the 2024 PVF Draft in November. However, just as the 25-year-old thought she could return to the volleyball court, another injury took her out. … Indy Ignite’s latest post about the volleyball star was about her absence on February 8th. “Indy Ignite’s Anna DeBeer will miss the match on February 8th due to injury,” they wrote. “Wishing Anna a speedy recovery as she works hard to get back on the court!” they added.</t>
  </si>
  <si>
    <t>3 players selected for all-star match</t>
  </si>
  <si>
    <t>Three members of the Indy Ignite were selected for the 2025 Pro Volleyball Federation All-Star match, which will be held at 1:30 p.m. on Feb. 22 at the Fishers Event Center and broadcast by CBS.</t>
  </si>
  <si>
    <t>Indianapolis weekend events: Stand-up comedy, Indy Ignite, winter beer fest and more</t>
  </si>
  <si>
    <t>Justin L. Mack</t>
  </si>
  <si>
    <t>ğ See the Indy Ignite continue their inaugural season when they take on the San Diego Mojo at Fishers Event Center, 7pm Thursday.
ğ Catch some action on the ice when the Indy Fuel play a pair of games against the Florida Everblades at Fishers Event Center, 7pm Friday and Saturday.</t>
  </si>
  <si>
    <t>1 day agoFormer Indianapolis mayor reacts to President Trump’s steel tariffINDIANAPOLIS (WISH) — Greg Ballard on Tuesday joined News 8 to discuss President Donald Trump’s 25% tariff on all steel and aluminum imports into the …1 hour agoArtifact: Bing Crosby’s Hat and Pipe - Indianapolis MonthlyThe Great American Songbook exhibit gallery in Carmel is a trove of music-history jewels. Photo by Tony Valainis AT THE TIME of his passing in 1977, …1 day agoRichard E. FrietzscheRichard E.</t>
  </si>
  <si>
    <t>Game Preview: San Diego Mojo at Indy Ignite: February 13, 2025</t>
  </si>
  <si>
    <t>Game 9: San Diego Mojo (3-5) at Indy Ignite (4-4)
San Diego and Indy will square off for the second time this season when the squads meet at the Fishers Event Center on Thursday, Feb. 13 at 4 p.m. PT.</t>
  </si>
  <si>
    <t>The Orlando Valkyries avenge earlier loss against Indy Ignite</t>
  </si>
  <si>
    <t>Lily Cancel</t>
  </si>
  <si>
    <t>The Community Paper</t>
  </si>
  <si>
    <t>The Orlando Valkyries took home a 3-1 win at their match against Indy Ignite on Feb. 8 after losing their previous match to Ignite 1-3 on Jan. 11. 
“We want to be at the championships and we want to own it,” said Valkyries middle blocker Abby Hansen. 
This match was streamed on Fox Sports 2. </t>
  </si>
  <si>
    <t>ET and will be hosted at the Indy Ignite’s Fisher’s Event Center. Fans can also watch the match on CBS.
The PVF’s history-making All-Star match will showcase the league’s top talent, featuring players from all league teams and giving fans the chance to see professional volleyball at its finest. … The event begins at 1:30 pm ET at Fishers Event Center, home of the Indy Ignite, PVF’s newest franchise. Fan voting is underway for the All-Star teams and fans may make their selections here. All-Star tickets are available via Ticketmaster or the Fishers Event Center box office.</t>
  </si>
  <si>
    <t>No Words, Only Emotions From Caitlin Clark as NBA Franchise Honors Indiana Fever on Special Day</t>
  </si>
  <si>
    <t>Ishika Ghosh</t>
  </si>
  <si>
    <t>Fever and Indy Ignite have been better examples of that. For Clark, the Fever franchise is The one in all of women’s sports and she is ensuring to play her part.
The team’s impact was visible as fans swarmed the Fever stars for pictures and some shed tears. But it is only the beginning.</t>
  </si>
  <si>
    <t>Indy Ignite trio named Pro Volleyball Federation All-Stars</t>
  </si>
  <si>
    <t>Brad Brown</t>
  </si>
  <si>
    <t>FISHERS — Three Indy Ignite players have been named to play in the inaugural Pro Volleyball Federation All-Star Match that Indy serves as the host for on Saturday, February 22 at the Fishers Event Center.</t>
  </si>
  <si>
    <t>Former Pitt Panthers Volleyball OH Earns All-Star Nod</t>
  </si>
  <si>
    <t>Dominic Campbell</t>
  </si>
  <si>
    <t>Member-Meneh plays for Indy Ignite, who are in inaugural season in the PVF, which is in its second season of existene as a league.
She has starred for her new team, leading the PVF with 5.32 points per set and 4.87 kills per set and ranks sixth with 3.74 digs per set as well.</t>
  </si>
  <si>
    <t>3 Indy Ignite players selected for PVF all-star match in Fishers</t>
  </si>
  <si>
    <t>MSN (US)</t>
  </si>
  <si>
    <t>3 Indy Ignite players selected for PVF all-star match in Fishers
 Nat Newell
Three members of the Indy Ignite were selected for the 2025 Pro Volleyball Federation All-Star match, which will be held at 1:30 p.m. on Feb. 22 at the Fishers Event Center and broadcast by CBS.</t>
  </si>
  <si>
    <t>Three Indy Ignite Players Named to First PVF All-Star Teams</t>
  </si>
  <si>
    <t>February 11, 2025 - Pro Volleyball Federation (PVF)
Indy Ignite News Release
FISHERS, Ind. - Three Indy Ignite players have been named to play in the inaugural Pro Volleyball Federation All-Star Match that Indy serves as the host for on Saturday, February 22 at Fishers Event Center.</t>
  </si>
  <si>
    <t>3 Indy Ignite players named to PVF All-Star Match</t>
  </si>
  <si>
    <t>When the stars of PVF come to Fishers for the league's first-ever All-Star Match, three Indy Ignite players will be among them.
Honorary coach Dave Shondell joined FOX59 Morning News to discuss the upcoming match, which will be played at the Fishers Event Center on Feb. 22 and broadcast on CBS4.</t>
  </si>
  <si>
    <t>Your PrivacyWhen you visit our website, we store cookies on your browser to collect information. The information collected might relate to you, your preferences or your device, and is mostly used to make the site work as you expect it to and to provide a more personalized web experience. However, you can choose not to allow certain types of cookies, which may impact your experience of the site and the services we are able to offer.</t>
  </si>
  <si>
    <t>When the stars of PVF come to Fishers for the league’s first-ever All-Star Match, three Indy Ignite players will be among them.
Honorary coach Dave Shondell joined CBS4 This Morning to discuss the upcoming match, which will be played at the Fishers Event Center on Feb. 22 and broadcast on CBS4.</t>
  </si>
  <si>
    <t>Ball State Daily</t>
  </si>
  <si>
    <t>Josiah Veen</t>
  </si>
  <si>
    <t>. -- The Indy Ignite are new to Indianapolis and they have already made waves in the volleyball community. They are the newest team to the Pro Volleyball Federation and the newest team to Indy.</t>
  </si>
  <si>
    <t xml:space="preserve">Indy Ignite show promise in first season </t>
  </si>
  <si>
    <t>Ball State Daily News</t>
  </si>
  <si>
    <t>Meet Jim Schumacher, co-founder of the Indy Ignite</t>
  </si>
  <si>
    <t>Brand Spotlight
Sponsored Content
To learn more about the Indy Ignite and their upcoming games, visit their pro-volleyball page here.</t>
  </si>
  <si>
    <t>Meet Carly Klanac, V.P. of Marketing and Game Day Experience with the Indy Ignite</t>
  </si>
  <si>
    <t>To learn more about the Indy Ignite and their upcoming games, visit their pro-volleyball page here.</t>
  </si>
  <si>
    <t>Meet Katie Voelz, Director of Ticketing for the Indy Ignite</t>
  </si>
  <si>
    <t>Supernovas get weekend sweep over Indy, Atlanta</t>
  </si>
  <si>
    <t>The Omaha Supernovas picked up a weekend road sweep over the Indy Ignite and the Atlanta Vibe.
In the Indy Ignite match (25-23, 25-23, 25-22), the Supernovas hit .306, which is the fourth-highest hitting percentage in franchise history as Omaha tallied 44 kills with only 10 errors on 111 swings.</t>
  </si>
  <si>
    <t>Ex-Louisville Volleyball player Anna DeBeer surprises mother Sara on her birthday</t>
  </si>
  <si>
    <t>Sportskeeda</t>
  </si>
  <si>
    <t>This comes amid the ongoing PVF season, where she is playing for the Indy Ignites.
However, DeBeer hasn't made her debut for the pro side till now and also missed their match against Orlando Valkyries on Feb 8 due to an injury. … She wrote:
"Surprise"
Screenshot of DeBeer's second Instagram story feat her mother (Image via: DeBeer's Instagram)
Anna DeBeer's pro side, Indy Ignite, have won four matches and lost four in the 2025 PVF season so far.</t>
  </si>
  <si>
    <t>Indy Ignite show promise in first season</t>
  </si>
  <si>
    <t>. -- The Indy Ignite are new to Indianapolis and they have already made waves in the volleyball community. They are the newest team to the Pro Volleyball Federation and the newest team to Indy.</t>
  </si>
  <si>
    <t>The IN List 2025: 2/10 - 2/16</t>
  </si>
  <si>
    <t>Indy Ignite vs. San Diego Mojo: 7pm. Fishers Event Center. Tickets required.
Fireside Nights: 4-10pm. Lincoln Park - Zionsville, IN. Reserve your own cozy igloo for a romantic picnic, a dreamy marriage proposal, or a fun, picture-perfect photo shoot.</t>
  </si>
  <si>
    <t>Fury celebrate their first victory of the season</t>
  </si>
  <si>
    <t>They played the same opponents, the Atlanta Vibe and the Indy Ignite, and won both duels.
The Valkyries started the week on the road against the Vibe on Thursday, but still dominated their opponents to a 3-0 (25-14, 25-18, 25-23) victory.</t>
  </si>
  <si>
    <t>Orlando Rallies to Defeat Indy Ignite in Four Sets</t>
  </si>
  <si>
    <t>February 8, 2025 - Pro Volleyball Federation (PVF)
Indy Ignite News Release
ORLANDO, Fla. - They don't get any easier as the Pro Volleyball Federation season rolls on. While they put up another valiant effort tonight, the Indy Ignite fell short against the Orlando Valkyries, losing in four sets.</t>
  </si>
  <si>
    <t>"This season didn’t end the way I had hoped"- Louisville Volleyball's Anna DeBeer makes her feelings known NCAA Division 1 final loss</t>
  </si>
  <si>
    <t>Adityan Pillai</t>
  </si>
  <si>
    <t>This season marked the end of DeBeer's NCAA career as a volleyball player as she began her Pro career with Indy Ignite. She took to Instagram to reflect on the NCAA finals loss and the conclusion of her collegiate career after representing Louisville for five years.</t>
  </si>
  <si>
    <t>Omaha Supernovas sweep Indy Ignite</t>
  </si>
  <si>
    <t>Dillon Adams</t>
  </si>
  <si>
    <t>Lincoln Journal Star</t>
  </si>
  <si>
    <t>After being swept for the first time in 33 matches, the Novas came out swinging in a dominant 25-23, 25-23, 25-22 sweep of the Indy Ignite.
The match Thursday night marked the first between the two PVF franchises and Omaha's .305 hitting percentage was the fourth-highest in franchise history.</t>
  </si>
  <si>
    <t>Supernovas offense explodes in dominant sweep of Ignite</t>
  </si>
  <si>
    <t>FISHERS, IN — The Omaha Supernovas delivered a historic offensive performance Thursday night at Fishers Event Center, with three players recording double-digit kills in a 25-23, 25-23, 25-22 sweep of the Indy Ignite.</t>
  </si>
  <si>
    <t>Supernovas Offense Explodes in Dominant Sweep of Ignite</t>
  </si>
  <si>
    <t>. — The Omaha Supernovas delivered a historic offensive performance Thursday night at Fishers Event Center, with three players recording double-digit kills in a 25-23, 25-23, 25-22 sweep of the Indy Ignite (4-3). </t>
  </si>
  <si>
    <t>'Big W in Circle City': Omaha Supernovas sweep Indy Ignite</t>
  </si>
  <si>
    <t>McKenzy Parsons</t>
  </si>
  <si>
    <t>KETV-TV (Omaha, NE)</t>
  </si>
  <si>
    <t>The Omaha Supernovas were in Indianapolis on Thursday to face the Indy Ignite.Previous coverage in the video aboveThe first set saw the Ignite in front, but Emily Londot worked to cut the deficit with a block.Set one ended with a Supernova victory. … Ignite.</t>
  </si>
  <si>
    <t>Omaha World-Herald</t>
  </si>
  <si>
    <t>The Supernovas were doing the sweeping instead Thursday night over an opponent the franchise hadn't yet played: the start-up Indy Ignite.
Omaha came out victorious on the road 25-23, 25-23, 25-22 to move to 5-3 and out of a three-way tie with Atlanta and Grand Rapids. </t>
  </si>
  <si>
    <t>Ignite Come up Short for First Time at Home this Season</t>
  </si>
  <si>
    <t>February 6, 2025 - Pro Volleyball Federation (PVF)
Indy Ignite News Release
FISHERS, Ind. - The final match score was deceiving in the Indy Ignite's home loss to the Omaha Supernovas tonight.</t>
  </si>
  <si>
    <t>. - The Omaha Supernovas delivered a historic offensive performance Thursday night at Fishers Event Center, with three players recording double-digit kills in a 25-23, 25-23, 25-22 sweep of the Indy Ignite (4-3).</t>
  </si>
  <si>
    <t>Supernovas road swing continues in Indy, Atlanta this weekend</t>
  </si>
  <si>
    <t>. – The Omaha Supernovas, Nebraska’s professional volleyball team and first Pro Volleyball Champions, continue their three-match road trip by taking on the Pro Volleyball Federation’s first expansion team, the Indy Ignite, for the first time in franchise history.</t>
  </si>
  <si>
    <t>Mike Carmin</t>
  </si>
  <si>
    <t>Purdue Volleyball: Dave Shondell to Coach in PVF All-Star Match</t>
  </si>
  <si>
    <t>Dustin Schutte</t>
  </si>
  <si>
    <t>PVF's Indy Ignite, the newest franchise in the league, is hosting this year's event. It is scheduled for 1:30 p.m. ET and will air on CBS. Shondell will be joined by Georgia Tech's Michelle Collier, who will also coach the match.</t>
  </si>
  <si>
    <t>Pro volleyball chief serves up praise for Indy Ignite, touts All-Star plans</t>
  </si>
  <si>
    <t>Scott Sander</t>
  </si>
  <si>
    <t>Professional Volleyball Federation CEO Jen Spicher told viewers on Thursday’s Daybreak that the Indy Ignite is quite literally “on fire.” 
“They’re killing it. They’re second in the league. They have some phenomenal athletes,” Spicher mused proudly. … Indy Ignite’s inaugural season debuts at Fishers Event Center
Indy Ignite makes history with first game against Orlando Valkyries
Meet Pepper, central Indiana’s newest professional mascot
Indy Ignite sparks passion for volleyball in the Circle City</t>
  </si>
  <si>
    <t>Dave Shondell to Lead Inaugural PVF All-Star Match This February</t>
  </si>
  <si>
    <t>Purdue volleyball head coach Dave Shondell has been selected to coach at the Pro Volleyball Federation (PVF) All-Star Match, taking place on February 22 at the Indy Ignite's Fisher's Event Center. This inaugural event will highlight the league's top players and will be broadcast on CBS.</t>
  </si>
  <si>
    <t>Fishers set to host PVF All-Star Match</t>
  </si>
  <si>
    <t>The Indy Ignite call the Fishers Event Center home. Olympian Shawn Johnson East and former Pacers star Jalen Rose will co-host the event.
The match will feature players from each PVF team, including the Ignite. Rosters will be announced in the coming days.</t>
  </si>
  <si>
    <t>Shondell, Collier to Lead PVF All-Star Teams</t>
  </si>
  <si>
    <t>The event begins at 1:30 pm ET at Fishers Event Center, home of the Indy Ignite, PVF's newest franchise. Fan voting is underway for the All-Star teams and fans may make their selections here. All-Star tickets are available via Ticketmaster or the Fishers Event Center box office.</t>
  </si>
  <si>
    <t>Pro Volleyball Federation All-Star tickets 2025: Best prices, seats, roster for inaugural match in Indiana</t>
  </si>
  <si>
    <t>Emily Dozier</t>
  </si>
  <si>
    <t>Sporting News</t>
  </si>
  <si>
    <t>ET from Fishers Event Center in Fishers, Indiana, home of the Indy Ignite.
PVF All-Star Match 2025 rosters
The lineups for the 2025 Pro Volleyball Federation have not yet been decided. 
Selections are made through fan vote and coaching decisions.</t>
  </si>
  <si>
    <t>Shondell to Coach PVF All-Star Match</t>
  </si>
  <si>
    <t>ET and will be hosted at the Indy Ignite's Fisher's Event Center. Fans can also watch the match on CBS.
The PVF's history-making All-Star match will showcase the league's top talent, featuring players from all league teams and giving fans the chance to see professional volleyball at its finest. … The event begins at 1:30 pm ET at Fishers Event Center, home of the Indy Ignite, PVF's newest franchise. Fan voting is underway for the All-Star teams and fans may make their selections here. All-Star tickets are available via Ticketmaster or the Fishers Event Center box office.</t>
  </si>
  <si>
    <t xml:space="preserve">'We've seen the growth': Hoosier girls, women in sports take center stage during national day of recognition </t>
  </si>
  <si>
    <t>Naja Woods</t>
  </si>
  <si>
    <t>It's not just the Fever, pro volleyball's Indy Ignite is on fire, while making history in the Hoosier State.
“It’s been a dream come true, especially here in Indiana. The market is perfect for this,” said Azhani Tealer, who helped lead the University of Kentucky.</t>
  </si>
  <si>
    <t>Fishers Mayor highlights future developments in State of the City address</t>
  </si>
  <si>
    <t>Claire Curry</t>
  </si>
  <si>
    <t>In 2024, Fishers completed major road projects, and opened their brand-new city hall, as well as the events center, home to the Indy Fuel and the Indy Ignite.
"The Event Center is amazing," said Sweets. "I've been to a couple events here now, and it's a lot of fun."</t>
  </si>
  <si>
    <t>In 2024, Fishers completed major road projects, and opened their brand-new city hall, as well as the events center, home to the Indy Fuel and the Indy Ignite.
“The Event Center is amazing,” said Sweets. “I’ve been to a couple events here now, and it’s a lot of fun.”</t>
  </si>
  <si>
    <t>Miss Indiana USA is 3 months away, and Lena Pringle is taking her community along for the win</t>
  </si>
  <si>
    <t>Chloe McGowan</t>
  </si>
  <si>
    <t>She’s also worked with a local media company for a documentary set to premier Feb. 7 and will be the host for Indy Ignite.</t>
  </si>
  <si>
    <t>Supernovas Face Ignite for First Time in Franchise History, Conclude Road Trip in Atlanta</t>
  </si>
  <si>
    <t>. - The Omaha Supernovas, Nebraska's professional volleyball team and first Pro Volleyball Champions, continue their three-match road trip by taking on the Pro Volleyball Federation's first expansion team, the Indy Ignite, for the first time in franchise history.</t>
  </si>
  <si>
    <t>Indy Ignite Host Reigning PVF Champs on Girls &amp; Women in Sports Night</t>
  </si>
  <si>
    <t>February 5, 2025 - Pro Volleyball Federation (PVF)
Indy Ignite News Release
FISHERS, Ind. - Thursday is an important night for the Indy Ignite, and not just because they're hosting defending Pro Volleyball Federation champion Omaha.</t>
  </si>
  <si>
    <t>Celebrating National Girls and Women in Sports Day in Indiana</t>
  </si>
  <si>
    <t>Visit Indiana Blog</t>
  </si>
  <si>
    <t>Indy Ignite: Indy Ignite is bringing the heat of professional women’s volleyball to Indiana in January 2025. As part of the nation’s premier pro volleyball league, their mission is to pursue victory, empower women and serve the community through the competitive world of pro volleyball.</t>
  </si>
  <si>
    <t>Indy Ignite: Lighting Up the Volleyball Scene in Indianapolis</t>
  </si>
  <si>
    <t>Indy's Child</t>
  </si>
  <si>
    <t>Indy's Child Magazine</t>
  </si>
  <si>
    <t>Here’s why Indy Ignite is capturing the hearts of locals and why you should join in on the excitement.
Community, Connection, and Camaraderie
One of the most exciting things about Indy Ignite is their deep connection with the local community.</t>
  </si>
  <si>
    <t>Your Guide to Fun in Fishers</t>
  </si>
  <si>
    <t>Lexa Muehlbauer, Caroline ZuHone</t>
  </si>
  <si>
    <t>INDY MAVEN</t>
  </si>
  <si>
    <t>The event center is also home to Indy Ignite, a new pro volleyball team that had its debut match in January. And that’s not all…while sports is a big focus, you can also catch all sorts of entertainment – from concerts to comedy shows.
2.</t>
  </si>
  <si>
    <t>Jalen Rose to Co-Host Historic Pro Volleyball Federation All-Star Event</t>
  </si>
  <si>
    <t>The event begins at 1:30 pm ET at the ultra-modern Fishers Event Center, home of the Indy Ignite, PVF's newest franchise. Fan voting is underway for the All-Star teams and fans may make their selections here. All-Star tickets are available via Ticketmaster or the Fishers Event Center box office.</t>
  </si>
  <si>
    <t>Indy Ignite dominates Columbus Fury in straight sets</t>
  </si>
  <si>
    <t>The Indy Ignite delivered an emphatic victory over the Columbus Fury on February 2, 2025, at the Fishers Event Center, sweeping their opponents in straight sets. With a balanced attack and efficient teamplay, the Ignite overpowered the Fury. … Indy Ignite's serving game was a major factor in their success. Lydia Martyn and Carly Skjodt also played key roles in maintaining the team's momentum through effective ball control and defensive coverage.</t>
  </si>
  <si>
    <t>Vegas Captures Third Reverse Sweep of the Season against Indy</t>
  </si>
  <si>
    <t>. - The Vegas Thrill (5-2) began its two match home stand with a reverse sweep (18-25, 21-25, 25-22, 25-12, 15-9) against the Indy Ignite (3-2) on Friday night at the Lee's Family Forum. Vegas has now posted three reverse sweeps this season, all on Friday's, and now sit first in the PVF standings.</t>
  </si>
  <si>
    <t>Countdown is On For All-Star VB</t>
  </si>
  <si>
    <t>The Times of Noblesville</t>
  </si>
  <si>
    <t>Cirque du Soleil and more, the new Fishers Event Center is thrilled to share several recent exciting announcements ahead of thePro Volleyball Federation’s inaugural All-Star Match, set to take place at 1:30 p.m. on Saturday, Feb. 22.Fishers Event Center is home of the league’s newest franchise, the Indy … Ignite.</t>
  </si>
  <si>
    <t>The Times (Noblesville, Indiana)</t>
  </si>
  <si>
    <t>Fishers Event Center is home of the league's newest franchise, the Indy Ignite. PVF is the leading professional volleyball league in the United States, and this event will showcase the league's top talent while providing fans a unique opportunity to witness the best in professional volleyball.</t>
  </si>
  <si>
    <t>Indy Ignite bounce back with 4th win of inaugural season</t>
  </si>
  <si>
    <t>. - Hoosier hype and hospitality helped the Indy Ignite get back to their winning ways Sunday night.
The team returned to the Fishers Event Center to sweep the Columbus Fury 25-20, 25-20, 25-17 to improve to 4-2 on the season and end a two-match losing skid.</t>
  </si>
  <si>
    <t>Ignite Bounce Back with Sweep over Fury</t>
  </si>
  <si>
    <t>February 2, 2025 - Pro Volleyball Federation (PVF)
Indy Ignite News Release
FISHERS, Ind. - The Indy Ignite were determined to get back to their winning ways.</t>
  </si>
  <si>
    <t>Fury Fall to Indy</t>
  </si>
  <si>
    <t>. - The Columbus Fury (0-7) lost to the Indy Ignite (4-2) 3-0 (20-25, 20-25, 17-25) on Sunday evening. Abby Walker led the way for the Fury with eight points with eight kills. Megan Lush, Izabella Rapacz and Kaley Rammelsberg each had six points.</t>
  </si>
  <si>
    <t>Columbus Fury falls to Indy Ignite in straight sets</t>
  </si>
  <si>
    <t>WTTE-TV (Columbus, OH)</t>
  </si>
  <si>
    <t>The Columbus Fury's struggles continued as they fell to the Indy Ignite in straight sets, 3-0 (20-25, 20-25, 17-25), on Sunday evening. The loss leaves the Fury winless with a 0-7 record, while the Ignite improved to 4-2.
Abby Walker led the Fury with eight points with eight kills.</t>
  </si>
  <si>
    <t>WWHO-TV (Columbus, OH)</t>
  </si>
  <si>
    <t>WSYX-TV (Columbus, OH)</t>
  </si>
  <si>
    <t>COLUMBUS, Ohio (WSYX) — The Columbus Fury's struggles continued as they fell to the Indy Ignite in straight sets, 3-0 (20-25, 20-25, 17-25), on Sunday evening. The loss leaves the Fury winless with a 0-7 record, while the Ignite improved to 4-2.</t>
  </si>
  <si>
    <t>Indy Ignite volleyball ignites passion in fans - Indianapolis News</t>
  </si>
  <si>
    <t>Brittany Noble</t>
  </si>
  <si>
    <t>INDIANAPOLIS (WISH) — Indy Ignite sparked a passion for volleyball right here in the Circle City. With packed crowds, high-energy gameplay, and an interactive game-day experience, the Ignite are bringing fans of all ages into the action.</t>
  </si>
  <si>
    <t>The IN list 2024: 2/3 - 2/9</t>
  </si>
  <si>
    <t>Indy Ignite vs. Omaha Supernovas: 7pm. Fishers Event Center. Tickets required.
Friday, Feb 7
Zionsville Library Events: 250 N. 5th St. Zionsville, IN.Registration required.
Animal Adventures - Muskrats: 3:30-4pm. Ages 3+
Whitestown Library Events: 6310 Albert S. White Dr.</t>
  </si>
  <si>
    <t>Ignite Return Home to Face Fury on Family Day Presented by Team Rehab</t>
  </si>
  <si>
    <t>February 1, 2025 - Pro Volleyball Federation (PVF)
Indy Ignite News Release
FISHERS, Ind. - The Indy Ignite return home for the first time in more than two weeks on Sunday to take on the Columbus Fury, on Family Day presented by Team Rehab.
The Pro Volleyball Federation match starts at 6 p.m.</t>
  </si>
  <si>
    <t>Ignite Lose Five-Set Battle to Thrill</t>
  </si>
  <si>
    <t>February 1, 2025 - Pro Volleyball Federation (PVF)
Indy Ignite News Release
HENDERSON, Nev. - Traveling out west hasn't been kind to the Indy Ignite early in the 2025 Pro Volleyball Federation season.</t>
  </si>
  <si>
    <t>Name</t>
  </si>
  <si>
    <t>Title</t>
  </si>
  <si>
    <t>Email</t>
  </si>
  <si>
    <t>X (Twitter) Screen Name</t>
  </si>
  <si>
    <t>X (Twitter) URL</t>
  </si>
  <si>
    <t>Muck Rack URL</t>
  </si>
  <si>
    <t>X (Twitter) Followers</t>
  </si>
  <si>
    <t>Location</t>
  </si>
  <si>
    <t>Description</t>
  </si>
  <si>
    <t>Beats</t>
  </si>
  <si>
    <t>Publications</t>
  </si>
  <si>
    <t>Status Text</t>
  </si>
  <si>
    <t>Status Time</t>
  </si>
  <si>
    <t>Status URL</t>
  </si>
  <si>
    <t>Link Shared</t>
  </si>
  <si>
    <t>Ken Fang</t>
  </si>
  <si>
    <t>Associate Editor</t>
  </si>
  <si>
    <t>fangsbites</t>
  </si>
  <si>
    <t>RI, USA</t>
  </si>
  <si>
    <t>Taiwanese-American. #VeryAsian. @aaja, Fang's Bites, Associate Editor @awfulannouncing, contributor to @thecomeback. IG: fangsbites. he/him RIP, Sampson</t>
  </si>
  <si>
    <t>Sports</t>
  </si>
  <si>
    <t>RT @awfulannouncing: TV and Streaming Viewing Picks for February 26, 2025: how to watch SheBelieves Cup https://t.co/FuCkcNfBVE</t>
  </si>
  <si>
    <t>Amber Sampson</t>
  </si>
  <si>
    <t>Arts and Entertainment Editor</t>
  </si>
  <si>
    <t>amber.sampson@gmgvegas.com</t>
  </si>
  <si>
    <t>AmberDSampson</t>
  </si>
  <si>
    <t>Las Vegas, NV</t>
  </si>
  <si>
    <t>Arts &amp; Entertainment Editor @lasvegasweekly. Cat mom without the cats. Lover of video games, pop music and way too many true crime podcasts.</t>
  </si>
  <si>
    <t>Arts and Entertainment,U.S.</t>
  </si>
  <si>
    <t>Start planning your weekend now! 
https://t.co/RF1NDhlHHO</t>
  </si>
  <si>
    <t>Aaron Ferguson</t>
  </si>
  <si>
    <t>Deputy Editor, Lee Sports Wisconsin</t>
  </si>
  <si>
    <t>aferguson@madison.com</t>
  </si>
  <si>
    <t>Sports_Aaron</t>
  </si>
  <si>
    <t>Indianapolis, IN</t>
  </si>
  <si>
    <t>@IndyStar Assistant Sports Editor | Prev @WIStateJournal @nwi @pjstar | @bradleyu grad | @angelman advocate | APSE triple crown winner</t>
  </si>
  <si>
    <t>Sports,U.S. Regional</t>
  </si>
  <si>
    <t>Wisconsin State Journal</t>
  </si>
  <si>
    <t>RT @IndyStarSports: Indianapolis, Ignite put on sold-out show for 1st Pro Volleyball Federation all-star game https://t.co/G31k9hBZRU</t>
  </si>
  <si>
    <t>Writer</t>
  </si>
  <si>
    <t>CKightlinger</t>
  </si>
  <si>
    <t>Indianapolis, Ind.</t>
  </si>
  <si>
    <t>director of comms, @indyignitevb | writer | marketer | believer | mom to ringo, a fluffy dog | views = my own</t>
  </si>
  <si>
    <t>U.S. Regional</t>
  </si>
  <si>
    <t>Freelance</t>
  </si>
  <si>
    <t>RT @indystar: Indianapolis, Ignite put on sold-out show for 1st Pro Volleyball Federation all-star game https://t.co/ZOSU9nbLbZ</t>
  </si>
  <si>
    <t>Pacers Beat Reporter</t>
  </si>
  <si>
    <t>fieldhousefiles@gmail.com</t>
  </si>
  <si>
    <t>ScottAgness</t>
  </si>
  <si>
    <t>Indianapolis</t>
  </si>
  <si>
    <t>Indiana Pacers, Fever beat reporter:@FieldhouseFiles | Podcast Host l Play-by-play announcer | fieldhousefiles@gmail.com</t>
  </si>
  <si>
    <t>Sports,U.S.</t>
  </si>
  <si>
    <t>What has Caitlin Clark sitting courtside for a match and former Pacer Jalen Rose returning to town to co-host?
It's Indy Ignite, a new pro volleyball team in town. And today is the league's first-ever All-Star match in Fishers. Soon on CBS.
https://t.co/DB66fdwh3U https://t.co/jy5dwXcxRC</t>
  </si>
  <si>
    <t>DJ</t>
  </si>
  <si>
    <t>ahammeke@nrgmedia.com</t>
  </si>
  <si>
    <t>alexhammeke</t>
  </si>
  <si>
    <t>Kearney, NE</t>
  </si>
  <si>
    <t>Simpsons. Soup. Sports. 10A-2P KQKY/2P-7P KRNY/Interim Sports Director @1340KGFW /MIAA Mailbag Publisher/Runs on Dunkin/RT ≠ Endorsement</t>
  </si>
  <si>
    <t>KQKY-FM (Kearney, NE),KRNY-FM (Tri-Cities, NE)</t>
  </si>
  <si>
    <t>RT @centralnetoday: Supernovas now in 1st Place, look to win fourth straight match tomorrow
https://t.co/MxRnCxwDJT</t>
  </si>
  <si>
    <t>And @JalenRose is a volleyball dad first these days! He’ll be talking all things pro volleyball this weekend at the @RealProVB All-Star Match! Tix: https://t.co/0tk5223Pfy https://t.co/Hswfp3oKEn</t>
  </si>
  <si>
    <t>Dustin Dopirak</t>
  </si>
  <si>
    <t>Indiana Pacers Beat Writer</t>
  </si>
  <si>
    <t>DDopirak@gannett.com</t>
  </si>
  <si>
    <t>DustinDopirak</t>
  </si>
  <si>
    <t>Indiana Pacers beat writer at the Indianapolis Star.</t>
  </si>
  <si>
    <t>Our @DanaBenbow caught up with Jalen Rose to talk about being a volleyball dad, but got into a bunch of other topics as well including the Pacers: https://t.co/3ztYgriUAE</t>
  </si>
  <si>
    <t>RT @centralnetoday: Supernovas look to avenge last home loss against San Diego Sunday
https://t.co/cwWvsjOmWH</t>
  </si>
  <si>
    <t>Weekend Sports Anchor</t>
  </si>
  <si>
    <t>andrew.chernoff@wishtv.com</t>
  </si>
  <si>
    <t>ADChernoff</t>
  </si>
  <si>
    <t>Emmy Award-winning weekend sports anchor @WISHNews8 📺. @SyracuseU 🍊 grad &amp; open-wheel racing 🏁 fan! Follow me on Instagram (@ADChernoff).</t>
  </si>
  <si>
    <t>WNDY-TV (Indianapolis, IN),WISH-TV (Indianapolis, IN)</t>
  </si>
  <si>
    <t>.@IndyIgniteVB's @sydneyhilley, Leketor Member-Meneh and @AzhaniTealer will play in @RealProVB's All-Star Match later this month. 🏐
https://t.co/Ars89Nt7Zv</t>
  </si>
  <si>
    <t>The @OmahaSupernovas picked up a weekend sweep against Indianapolis and Atlanta. They have the work week off and play Sunday against San Diego.
https://t.co/iywpjeezRL</t>
  </si>
  <si>
    <t>Another weekend for the @OmahaSupernovas on the road! This weekend they're in Indy and Atlanta
https://t.co/H8lwOkv7Cg</t>
  </si>
  <si>
    <t>Contributor</t>
  </si>
  <si>
    <t>mike_carmin</t>
  </si>
  <si>
    <t>Everywhere</t>
  </si>
  <si>
    <t>Purdue FB, MBB hoops @goldandblackcom Purdue WBB coverage: mikecarmin.substack.com/ 32 years at @jconline You can find me @carm1.bsky.social</t>
  </si>
  <si>
    <t>#Purdue WBB financial data from 2023-24, Thanksgiving tournament set,  2025 signees in state tournament, thoughts about men's hoops, football  and items of interest 
Action-packed Substack
https://t.co/Cf3LyyEOgW</t>
  </si>
  <si>
    <t>Content Creator</t>
  </si>
  <si>
    <t>dustin_schutte@yahoo.com</t>
  </si>
  <si>
    <t>SchutteDustin</t>
  </si>
  <si>
    <t>St Louis, MO</t>
  </si>
  <si>
    <t>Covering Purdue sports for Purdue Boilermakers on SI</t>
  </si>
  <si>
    <t>Outsider</t>
  </si>
  <si>
    <t>#Purdue volleyball coach Dave Shondell has been named a coach for the @RealProVB All-Star Match, which will be held at Fishers Event Center:
https://t.co/TLuECuVD42</t>
  </si>
  <si>
    <t>.@RealProVB CEO @Jen_Spicher visits @WISHNews8 to chat with @ScottJSander ahead of this month's All-Star Match in Fishers. 🏐
@IndyIgniteVB | @FishersEventCtr 
https://t.co/hdkf5Wllhw</t>
  </si>
  <si>
    <t>USA</t>
  </si>
  <si>
    <t>South Bend, IN</t>
  </si>
  <si>
    <t>Global</t>
  </si>
  <si>
    <t>Fishers, IN</t>
  </si>
  <si>
    <t>Carmel, IN</t>
  </si>
  <si>
    <t>Greenfield, IN</t>
  </si>
  <si>
    <t>San Francisco, CA</t>
  </si>
  <si>
    <t>Lawrenceville, GA</t>
  </si>
  <si>
    <t>Anderson, IN</t>
  </si>
  <si>
    <t>New York City, NY</t>
  </si>
  <si>
    <t>Orlando, FL</t>
  </si>
  <si>
    <t>Muncie, IN</t>
  </si>
  <si>
    <t>Grand Island, NE</t>
  </si>
  <si>
    <t>Lincoln, NE</t>
  </si>
  <si>
    <t>Norfolk, NE</t>
  </si>
  <si>
    <t>West Point, NE</t>
  </si>
  <si>
    <t>Omaha, NE</t>
  </si>
  <si>
    <t>West Lafayette, IN</t>
  </si>
  <si>
    <t>Noblesville, IN</t>
  </si>
  <si>
    <t>Columbus, OH</t>
  </si>
  <si>
    <t>Location Category</t>
  </si>
  <si>
    <t>Local</t>
  </si>
  <si>
    <t>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</si>
</sst>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yyyy\-mm\-dd"/>
    <numFmt numFmtId="165" formatCode="&quot;$&quot;#,##0.00_-"/>
    <numFmt numFmtId="166" formatCode="yyyy\-mm\-dd\ hh:mm:ss"/>
  </numFmts>
  <fonts count="4" x14ac:knownFonts="1">
    <font>
      <sz val="11"/>
      <color theme="1"/>
      <name val="Calibri"/>
      <family val="2"/>
      <scheme val="minor"/>
    </font>
    <font>
      <b/>
      <sz val="10"/>
      <name val="Arial"/>
      <family val="2"/>
    </font>
    <font>
      <sz val="10"/>
      <name val="Arial"/>
      <family val="2"/>
    </font>
    <font>
      <b/>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right/>
      <top/>
      <bottom/>
      <diagonal/>
    </border>
  </borders>
  <cellStyleXfs count="6">
    <xf numFmtId="0" fontId="0" fillId="0" borderId="0"/>
    <xf numFmtId="0" fontId="1" fillId="0" borderId="1"/>
    <xf numFmtId="0" fontId="2" fillId="0" borderId="1">
      <alignment vertical="top" wrapText="1"/>
    </xf>
    <xf numFmtId="164" fontId="2" fillId="0" borderId="1">
      <alignment vertical="top" wrapText="1"/>
    </xf>
    <xf numFmtId="165" fontId="2" fillId="0" borderId="1">
      <alignment vertical="top" wrapText="1"/>
    </xf>
    <xf numFmtId="166" fontId="2" fillId="0" borderId="1">
      <alignment vertical="top" wrapText="1"/>
    </xf>
  </cellStyleXfs>
  <cellXfs count="10">
    <xf numFmtId="0" fontId="0" fillId="0" borderId="0" xfId="0"/>
    <xf numFmtId="0" fontId="1" fillId="0" borderId="1" xfId="1"/>
    <xf numFmtId="0" fontId="2" fillId="0" borderId="1" xfId="2">
      <alignment vertical="top" wrapText="1"/>
    </xf>
    <xf numFmtId="164" fontId="2" fillId="0" borderId="1" xfId="3">
      <alignment vertical="top" wrapText="1"/>
    </xf>
    <xf numFmtId="165" fontId="2" fillId="0" borderId="1" xfId="4">
      <alignment vertical="top" wrapText="1"/>
    </xf>
    <xf numFmtId="166" fontId="2" fillId="0" borderId="1" xfId="5">
      <alignment vertical="top" wrapText="1"/>
    </xf>
    <xf numFmtId="0" fontId="3" fillId="0" borderId="0" xfId="0" applyFont="1"/>
    <xf numFmtId="165" fontId="0" fillId="0" borderId="0" xfId="0" applyNumberFormat="1"/>
    <xf numFmtId="0" fontId="0" fillId="2" borderId="0" xfId="0" applyFill="1"/>
    <xf numFmtId="8" fontId="0" fillId="2" borderId="0" xfId="0" applyNumberFormat="1" applyFill="1"/>
  </cellXfs>
  <cellStyles count="6">
    <cellStyle name="mr_currency" xfId="4" xr:uid="{00000000-0005-0000-0000-000004000000}"/>
    <cellStyle name="mr_date" xfId="3" xr:uid="{00000000-0005-0000-0000-000003000000}"/>
    <cellStyle name="mr_datetime" xfId="5" xr:uid="{00000000-0005-0000-0000-000005000000}"/>
    <cellStyle name="mr_header" xfId="1" xr:uid="{00000000-0005-0000-0000-000001000000}"/>
    <cellStyle name="mr_normal" xfId="2" xr:uid="{00000000-0005-0000-0000-000002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activeCell="D7" sqref="D7"/>
    </sheetView>
  </sheetViews>
  <sheetFormatPr defaultRowHeight="14.4" x14ac:dyDescent="0.3"/>
  <cols>
    <col min="1" max="1" width="34" customWidth="1"/>
    <col min="2" max="2" width="32" customWidth="1"/>
    <col min="3" max="3" width="13.109375" bestFit="1" customWidth="1"/>
  </cols>
  <sheetData>
    <row r="1" spans="1:3" x14ac:dyDescent="0.3">
      <c r="A1" s="1" t="s">
        <v>0</v>
      </c>
      <c r="B1" s="2" t="s">
        <v>1</v>
      </c>
    </row>
    <row r="2" spans="1:3" ht="39.6" x14ac:dyDescent="0.3">
      <c r="A2" s="1" t="s">
        <v>2</v>
      </c>
      <c r="B2" s="2" t="str">
        <f>HYPERLINK("https://indy-ignite-pro-volleyball.muckrack.com/coverage-reports/gYZL/edit/")</f>
        <v>https://indy-ignite-pro-volleyball.muckrack.com/coverage-reports/gYZL/edit/</v>
      </c>
    </row>
    <row r="3" spans="1:3" x14ac:dyDescent="0.3">
      <c r="A3" s="1" t="s">
        <v>3</v>
      </c>
      <c r="B3" s="3">
        <v>45818</v>
      </c>
    </row>
    <row r="4" spans="1:3" x14ac:dyDescent="0.3">
      <c r="A4" s="1" t="s">
        <v>4</v>
      </c>
      <c r="B4" s="2" t="s">
        <v>5</v>
      </c>
    </row>
    <row r="6" spans="1:3" x14ac:dyDescent="0.3">
      <c r="A6" s="1" t="s">
        <v>6</v>
      </c>
      <c r="B6" s="2">
        <v>358</v>
      </c>
      <c r="C6" s="8">
        <v>161</v>
      </c>
    </row>
    <row r="7" spans="1:3" x14ac:dyDescent="0.3">
      <c r="A7" s="1" t="s">
        <v>7</v>
      </c>
      <c r="B7" s="2">
        <v>1212</v>
      </c>
      <c r="C7" s="8">
        <v>781</v>
      </c>
    </row>
    <row r="8" spans="1:3" x14ac:dyDescent="0.3">
      <c r="A8" s="1" t="s">
        <v>8</v>
      </c>
      <c r="B8" s="2">
        <v>4</v>
      </c>
      <c r="C8" s="8">
        <v>4.9000000000000004</v>
      </c>
    </row>
    <row r="9" spans="1:3" x14ac:dyDescent="0.3">
      <c r="A9" s="1" t="s">
        <v>9</v>
      </c>
      <c r="B9" s="2">
        <v>732779997</v>
      </c>
      <c r="C9" s="8">
        <v>625013343</v>
      </c>
    </row>
    <row r="10" spans="1:3" x14ac:dyDescent="0.3">
      <c r="A10" s="1" t="s">
        <v>10</v>
      </c>
      <c r="B10" s="4">
        <v>6778215.4900000002</v>
      </c>
      <c r="C10" s="9">
        <v>5781373.4199999999</v>
      </c>
    </row>
    <row r="11" spans="1:3" x14ac:dyDescent="0.3">
      <c r="A11" s="1" t="s">
        <v>11</v>
      </c>
      <c r="B11" s="2">
        <v>15</v>
      </c>
      <c r="C11" s="8">
        <v>10</v>
      </c>
    </row>
    <row r="12" spans="1:3" x14ac:dyDescent="0.3">
      <c r="A12" s="1" t="s">
        <v>12</v>
      </c>
      <c r="B12" s="2">
        <v>108669</v>
      </c>
      <c r="C12" s="8">
        <v>84843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63"/>
  <sheetViews>
    <sheetView tabSelected="1" topLeftCell="E160" workbookViewId="0">
      <selection activeCell="G163" sqref="G163"/>
    </sheetView>
  </sheetViews>
  <sheetFormatPr defaultRowHeight="14.4" x14ac:dyDescent="0.3"/>
  <cols>
    <col min="1" max="1" width="48" customWidth="1"/>
    <col min="2" max="2" width="32" customWidth="1"/>
    <col min="3" max="4" width="24" customWidth="1"/>
    <col min="5" max="5" width="19" customWidth="1"/>
    <col min="6" max="6" width="48" customWidth="1"/>
    <col min="7" max="7" width="28" customWidth="1"/>
    <col min="8" max="8" width="17" customWidth="1"/>
    <col min="9" max="10" width="16" customWidth="1"/>
    <col min="11" max="11" width="13" customWidth="1"/>
    <col min="12" max="12" width="29" customWidth="1"/>
    <col min="13" max="13" width="24" customWidth="1"/>
    <col min="14" max="14" width="16.33203125" bestFit="1" customWidth="1"/>
    <col min="15" max="15" width="17.33203125" bestFit="1" customWidth="1"/>
  </cols>
  <sheetData>
    <row r="1" spans="1:15" x14ac:dyDescent="0.3">
      <c r="A1" s="1" t="s">
        <v>13</v>
      </c>
      <c r="B1" s="1" t="s">
        <v>2</v>
      </c>
      <c r="C1" s="1" t="s">
        <v>14</v>
      </c>
      <c r="D1" s="1" t="s">
        <v>15</v>
      </c>
      <c r="E1" s="1" t="s">
        <v>16</v>
      </c>
      <c r="F1" s="1" t="s">
        <v>17</v>
      </c>
      <c r="G1" s="1" t="s">
        <v>18</v>
      </c>
      <c r="H1" s="1" t="s">
        <v>19</v>
      </c>
      <c r="I1" s="1" t="s">
        <v>20</v>
      </c>
      <c r="J1" s="1" t="s">
        <v>7</v>
      </c>
      <c r="K1" s="1" t="s">
        <v>21</v>
      </c>
      <c r="L1" s="1" t="s">
        <v>22</v>
      </c>
      <c r="M1" s="1" t="s">
        <v>23</v>
      </c>
      <c r="N1" s="6" t="s">
        <v>410</v>
      </c>
      <c r="O1" s="1" t="s">
        <v>512</v>
      </c>
    </row>
    <row r="2" spans="1:15" ht="52.8" x14ac:dyDescent="0.3">
      <c r="A2" s="2" t="s">
        <v>26</v>
      </c>
      <c r="B2" s="2" t="str">
        <f>HYPERLINK("https://www.oursportscentral.com/services/releases/vegas-ends-road-trip-with-a-four-set-loss-to-indy/n-6195637")</f>
        <v>https://www.oursportscentral.com/services/releases/vegas-ends-road-trip-with-a-four-set-loss-to-indy/n-6195637</v>
      </c>
      <c r="C2" s="2"/>
      <c r="D2" s="2" t="s">
        <v>24</v>
      </c>
      <c r="E2" s="5">
        <v>45716.496527777781</v>
      </c>
      <c r="F2" s="2" t="s">
        <v>27</v>
      </c>
      <c r="G2" s="2">
        <v>62699</v>
      </c>
      <c r="H2" s="2">
        <v>0</v>
      </c>
      <c r="I2" s="2">
        <v>0</v>
      </c>
      <c r="J2" s="2">
        <v>0</v>
      </c>
      <c r="K2" s="2" t="s">
        <v>25</v>
      </c>
      <c r="L2" s="4">
        <v>579.97</v>
      </c>
      <c r="M2" s="2"/>
      <c r="N2" t="s">
        <v>492</v>
      </c>
      <c r="O2" t="s">
        <v>492</v>
      </c>
    </row>
    <row r="3" spans="1:15" ht="92.4" x14ac:dyDescent="0.3">
      <c r="A3" s="2" t="s">
        <v>29</v>
      </c>
      <c r="B3" s="2" t="str">
        <f>HYPERLINK("https://www.oursportscentral.com/services/releases/ignite-take-the-thrill-out-of-vegas-with-win-in-four-sets/n-6195467")</f>
        <v>https://www.oursportscentral.com/services/releases/ignite-take-the-thrill-out-of-vegas-with-win-in-four-sets/n-6195467</v>
      </c>
      <c r="C3" s="2"/>
      <c r="D3" s="2" t="s">
        <v>24</v>
      </c>
      <c r="E3" s="5">
        <v>45716.190972222219</v>
      </c>
      <c r="F3" s="2" t="s">
        <v>30</v>
      </c>
      <c r="G3" s="2">
        <v>62699</v>
      </c>
      <c r="H3" s="2">
        <v>0</v>
      </c>
      <c r="I3" s="2">
        <v>0</v>
      </c>
      <c r="J3" s="2">
        <v>0</v>
      </c>
      <c r="K3" s="2" t="s">
        <v>28</v>
      </c>
      <c r="L3" s="4">
        <v>579.97</v>
      </c>
      <c r="M3" s="2"/>
      <c r="N3" t="s">
        <v>492</v>
      </c>
      <c r="O3" t="s">
        <v>492</v>
      </c>
    </row>
    <row r="4" spans="1:15" ht="79.2" x14ac:dyDescent="0.3">
      <c r="A4" s="2" t="s">
        <v>31</v>
      </c>
      <c r="B4" s="2" t="str">
        <f>HYPERLINK("https://www.wthr.com/article/sports/local-sports/indy-ignite-climb-3rd-pvf-rankings-big-win-over-orlando-valkyries-pro-volleyball-federation/531-6dd4236b-ff72-4449-9594-676c8fcdde1f")</f>
        <v>https://www.wthr.com/article/sports/local-sports/indy-ignite-climb-3rd-pvf-rankings-big-win-over-orlando-valkyries-pro-volleyball-federation/531-6dd4236b-ff72-4449-9594-676c8fcdde1f</v>
      </c>
      <c r="C4" s="2"/>
      <c r="D4" s="2" t="s">
        <v>32</v>
      </c>
      <c r="E4" s="5">
        <v>45716.05976851852</v>
      </c>
      <c r="F4" s="2" t="s">
        <v>33</v>
      </c>
      <c r="G4" s="2">
        <v>1401295</v>
      </c>
      <c r="H4" s="2">
        <v>0</v>
      </c>
      <c r="I4" s="2">
        <v>0</v>
      </c>
      <c r="J4" s="2">
        <v>11</v>
      </c>
      <c r="K4" s="2" t="s">
        <v>28</v>
      </c>
      <c r="L4" s="4">
        <v>12961.98</v>
      </c>
      <c r="M4" s="2"/>
      <c r="N4" t="s">
        <v>437</v>
      </c>
      <c r="O4" t="s">
        <v>513</v>
      </c>
    </row>
    <row r="5" spans="1:15" ht="66" x14ac:dyDescent="0.3">
      <c r="A5" s="2" t="s">
        <v>34</v>
      </c>
      <c r="B5" s="2" t="str">
        <f>HYPERLINK("https://www.indianapolismonthly.com/arts-and-culture/sports/photo-gallery-pro-volleyball-all-star-match/")</f>
        <v>https://www.indianapolismonthly.com/arts-and-culture/sports/photo-gallery-pro-volleyball-all-star-match/</v>
      </c>
      <c r="C5" s="2" t="s">
        <v>35</v>
      </c>
      <c r="D5" s="2" t="s">
        <v>36</v>
      </c>
      <c r="E5" s="5">
        <v>45715.443749999999</v>
      </c>
      <c r="F5" s="2" t="s">
        <v>37</v>
      </c>
      <c r="G5" s="2">
        <v>37147</v>
      </c>
      <c r="H5" s="2">
        <v>0</v>
      </c>
      <c r="I5" s="2">
        <v>0</v>
      </c>
      <c r="J5" s="2">
        <v>0</v>
      </c>
      <c r="K5" s="2" t="s">
        <v>25</v>
      </c>
      <c r="L5" s="4">
        <v>343.61</v>
      </c>
      <c r="M5" s="2"/>
      <c r="N5" t="s">
        <v>437</v>
      </c>
      <c r="O5" t="s">
        <v>513</v>
      </c>
    </row>
    <row r="6" spans="1:15" ht="52.8" x14ac:dyDescent="0.3">
      <c r="A6" s="2" t="s">
        <v>39</v>
      </c>
      <c r="B6" s="2" t="str">
        <f>HYPERLINK("https://www.axios.com/local/indianapolis/2025/02/27/weekend-things-to-do-high-school-basketball-state-finals-lil-wayne")</f>
        <v>https://www.axios.com/local/indianapolis/2025/02/27/weekend-things-to-do-high-school-basketball-state-finals-lil-wayne</v>
      </c>
      <c r="C6" s="2" t="s">
        <v>40</v>
      </c>
      <c r="D6" s="2" t="s">
        <v>41</v>
      </c>
      <c r="E6" s="5">
        <v>45715.271469907413</v>
      </c>
      <c r="F6" s="2" t="s">
        <v>42</v>
      </c>
      <c r="G6" s="2">
        <v>18738508</v>
      </c>
      <c r="H6" s="2">
        <v>0</v>
      </c>
      <c r="I6" s="2">
        <v>0</v>
      </c>
      <c r="J6" s="2">
        <v>0</v>
      </c>
      <c r="K6" s="2" t="s">
        <v>28</v>
      </c>
      <c r="L6" s="4">
        <v>173331.20000000001</v>
      </c>
      <c r="M6" s="2"/>
      <c r="N6" t="s">
        <v>437</v>
      </c>
      <c r="O6" t="s">
        <v>513</v>
      </c>
    </row>
    <row r="7" spans="1:15" ht="118.8" x14ac:dyDescent="0.3">
      <c r="A7" s="2" t="s">
        <v>43</v>
      </c>
      <c r="B7" s="2" t="str">
        <f>HYPERLINK("https://www.oursportscentral.com/services/releases/black-history-month-match-takes-on-new-meaning-for-ignite/n-6195115")</f>
        <v>https://www.oursportscentral.com/services/releases/black-history-month-match-takes-on-new-meaning-for-ignite/n-6195115</v>
      </c>
      <c r="C7" s="2"/>
      <c r="D7" s="2" t="s">
        <v>24</v>
      </c>
      <c r="E7" s="5">
        <v>45714.795138888891</v>
      </c>
      <c r="F7" s="2" t="s">
        <v>44</v>
      </c>
      <c r="G7" s="2">
        <v>62699</v>
      </c>
      <c r="H7" s="2">
        <v>0</v>
      </c>
      <c r="I7" s="2">
        <v>0</v>
      </c>
      <c r="J7" s="2">
        <v>0</v>
      </c>
      <c r="K7" s="2" t="s">
        <v>28</v>
      </c>
      <c r="L7" s="4">
        <v>579.97</v>
      </c>
      <c r="M7" s="2"/>
      <c r="N7" t="s">
        <v>492</v>
      </c>
      <c r="O7" t="s">
        <v>492</v>
      </c>
    </row>
    <row r="8" spans="1:15" ht="79.2" x14ac:dyDescent="0.3">
      <c r="A8" s="2" t="s">
        <v>48</v>
      </c>
      <c r="B8" s="2" t="str">
        <f>HYPERLINK("https://www.oursportscentral.com/services/releases/supernovas-defend-first-place-in-top-two-clash-vs-valkyries-host-ignite-in-home-doubleheader/n-6194996")</f>
        <v>https://www.oursportscentral.com/services/releases/supernovas-defend-first-place-in-top-two-clash-vs-valkyries-host-ignite-in-home-doubleheader/n-6194996</v>
      </c>
      <c r="C8" s="2"/>
      <c r="D8" s="2" t="s">
        <v>24</v>
      </c>
      <c r="E8" s="5">
        <v>45714.477777777778</v>
      </c>
      <c r="F8" s="2" t="s">
        <v>49</v>
      </c>
      <c r="G8" s="2">
        <v>62699</v>
      </c>
      <c r="H8" s="2">
        <v>0</v>
      </c>
      <c r="I8" s="2">
        <v>0</v>
      </c>
      <c r="J8" s="2">
        <v>0</v>
      </c>
      <c r="K8" s="2" t="s">
        <v>25</v>
      </c>
      <c r="L8" s="4">
        <v>579.97</v>
      </c>
      <c r="M8" s="2"/>
      <c r="N8" t="s">
        <v>492</v>
      </c>
      <c r="O8" t="s">
        <v>492</v>
      </c>
    </row>
    <row r="9" spans="1:15" ht="39.6" x14ac:dyDescent="0.3">
      <c r="A9" s="2" t="s">
        <v>51</v>
      </c>
      <c r="B9" s="2" t="str">
        <f>HYPERLINK("https://indy-ignite-pro-volleyball.muckrack.com/link/emMpdd/on-the-air")</f>
        <v>https://indy-ignite-pro-volleyball.muckrack.com/link/emMpdd/on-the-air</v>
      </c>
      <c r="C9" s="2"/>
      <c r="D9" s="2" t="s">
        <v>38</v>
      </c>
      <c r="E9" s="5">
        <v>45714.291666666657</v>
      </c>
      <c r="F9" s="2" t="s">
        <v>52</v>
      </c>
      <c r="G9" s="2"/>
      <c r="H9" s="2">
        <v>0</v>
      </c>
      <c r="I9" s="2">
        <v>0</v>
      </c>
      <c r="J9" s="2">
        <v>0</v>
      </c>
      <c r="K9" s="2" t="s">
        <v>28</v>
      </c>
      <c r="L9" s="4">
        <v>7812</v>
      </c>
      <c r="M9" s="2"/>
      <c r="N9" t="s">
        <v>493</v>
      </c>
      <c r="O9" t="s">
        <v>513</v>
      </c>
    </row>
    <row r="10" spans="1:15" ht="92.4" x14ac:dyDescent="0.3">
      <c r="A10" s="2" t="s">
        <v>54</v>
      </c>
      <c r="B10" s="2" t="str">
        <f>HYPERLINK("https://www.stadiumjourney.com/stadiums/pvf-all-star-game-shines-at-fishers-event-center")</f>
        <v>https://www.stadiumjourney.com/stadiums/pvf-all-star-game-shines-at-fishers-event-center</v>
      </c>
      <c r="C10" s="2" t="s">
        <v>55</v>
      </c>
      <c r="D10" s="2" t="s">
        <v>56</v>
      </c>
      <c r="E10" s="5">
        <v>45713.381354166668</v>
      </c>
      <c r="F10" s="2" t="s">
        <v>57</v>
      </c>
      <c r="G10" s="2">
        <v>23954</v>
      </c>
      <c r="H10" s="2">
        <v>0</v>
      </c>
      <c r="I10" s="2">
        <v>0</v>
      </c>
      <c r="J10" s="2">
        <v>21</v>
      </c>
      <c r="K10" s="2" t="s">
        <v>28</v>
      </c>
      <c r="L10" s="4">
        <v>221.57</v>
      </c>
      <c r="M10" s="2"/>
      <c r="N10" t="s">
        <v>494</v>
      </c>
      <c r="O10" t="s">
        <v>514</v>
      </c>
    </row>
    <row r="11" spans="1:15" ht="79.2" x14ac:dyDescent="0.3">
      <c r="A11" s="2" t="s">
        <v>58</v>
      </c>
      <c r="B11" s="2" t="str">
        <f>HYPERLINK("https://www.youarecurrent.com/2025/02/24/ppf-all-star-match-a-hit-all-around/")</f>
        <v>https://www.youarecurrent.com/2025/02/24/ppf-all-star-match-a-hit-all-around/</v>
      </c>
      <c r="C11" s="2" t="s">
        <v>59</v>
      </c>
      <c r="D11" s="2" t="s">
        <v>60</v>
      </c>
      <c r="E11" s="5">
        <v>45712.666875000003</v>
      </c>
      <c r="F11" s="2" t="s">
        <v>61</v>
      </c>
      <c r="G11" s="2">
        <v>45871</v>
      </c>
      <c r="H11" s="2">
        <v>0</v>
      </c>
      <c r="I11" s="2">
        <v>0</v>
      </c>
      <c r="J11" s="2">
        <v>2</v>
      </c>
      <c r="K11" s="2" t="s">
        <v>28</v>
      </c>
      <c r="L11" s="4">
        <v>424.31</v>
      </c>
      <c r="M11" s="2"/>
      <c r="N11" t="s">
        <v>437</v>
      </c>
      <c r="O11" t="s">
        <v>513</v>
      </c>
    </row>
    <row r="12" spans="1:15" ht="105.6" x14ac:dyDescent="0.3">
      <c r="A12" s="2" t="s">
        <v>62</v>
      </c>
      <c r="B12" s="2" t="str">
        <f>HYPERLINK("https://www.oursportscentral.com/services/releases/host-ignite-proud-of-how-indy-lit-it-up-for-pvf-all-star-match/n-6194516")</f>
        <v>https://www.oursportscentral.com/services/releases/host-ignite-proud-of-how-indy-lit-it-up-for-pvf-all-star-match/n-6194516</v>
      </c>
      <c r="C12" s="2"/>
      <c r="D12" s="2" t="s">
        <v>24</v>
      </c>
      <c r="E12" s="5">
        <v>45712.613888888889</v>
      </c>
      <c r="F12" s="2" t="s">
        <v>63</v>
      </c>
      <c r="G12" s="2">
        <v>62699</v>
      </c>
      <c r="H12" s="2">
        <v>0</v>
      </c>
      <c r="I12" s="2">
        <v>0</v>
      </c>
      <c r="J12" s="2">
        <v>0</v>
      </c>
      <c r="K12" s="2" t="s">
        <v>28</v>
      </c>
      <c r="L12" s="4">
        <v>579.97</v>
      </c>
      <c r="M12" s="2"/>
      <c r="N12" t="s">
        <v>492</v>
      </c>
      <c r="O12" t="s">
        <v>492</v>
      </c>
    </row>
    <row r="13" spans="1:15" ht="79.2" x14ac:dyDescent="0.3">
      <c r="A13" s="2" t="s">
        <v>64</v>
      </c>
      <c r="B13" s="2" t="str">
        <f>HYPERLINK("https://indy-ignite-pro-volleyball.muckrack.com/link/em8WUp/indy-and-ignite-put-on-show-for-sold-out-crowd")</f>
        <v>https://indy-ignite-pro-volleyball.muckrack.com/link/em8WUp/indy-and-ignite-put-on-show-for-sold-out-crowd</v>
      </c>
      <c r="C13" s="2" t="s">
        <v>65</v>
      </c>
      <c r="D13" s="2" t="s">
        <v>66</v>
      </c>
      <c r="E13" s="5">
        <v>45712.291666666657</v>
      </c>
      <c r="F13" s="2" t="s">
        <v>67</v>
      </c>
      <c r="G13" s="2"/>
      <c r="H13" s="2">
        <v>0</v>
      </c>
      <c r="I13" s="2">
        <v>0</v>
      </c>
      <c r="J13" s="2">
        <v>0</v>
      </c>
      <c r="K13" s="2" t="s">
        <v>28</v>
      </c>
      <c r="L13" s="4">
        <v>22099</v>
      </c>
      <c r="M13" s="2"/>
      <c r="N13" t="s">
        <v>437</v>
      </c>
      <c r="O13" t="s">
        <v>513</v>
      </c>
    </row>
    <row r="14" spans="1:15" ht="105.6" x14ac:dyDescent="0.3">
      <c r="A14" s="2" t="s">
        <v>68</v>
      </c>
      <c r="B14" s="2" t="str">
        <f>HYPERLINK("https://indy-ignite-pro-volleyball.muckrack.com/link/em7hmW/pro-volleyball-federation-all-star-match-a-hit-all-around")</f>
        <v>https://indy-ignite-pro-volleyball.muckrack.com/link/em7hmW/pro-volleyball-federation-all-star-match-a-hit-all-around</v>
      </c>
      <c r="C14" s="2" t="s">
        <v>59</v>
      </c>
      <c r="D14" s="2" t="s">
        <v>69</v>
      </c>
      <c r="E14" s="5">
        <v>45712.291666666657</v>
      </c>
      <c r="F14" s="2" t="s">
        <v>70</v>
      </c>
      <c r="G14" s="2"/>
      <c r="H14" s="2">
        <v>0</v>
      </c>
      <c r="I14" s="2">
        <v>0</v>
      </c>
      <c r="J14" s="2">
        <v>0</v>
      </c>
      <c r="K14" s="2" t="s">
        <v>28</v>
      </c>
      <c r="L14" s="4">
        <v>2650</v>
      </c>
      <c r="M14" s="2"/>
      <c r="N14" t="s">
        <v>495</v>
      </c>
      <c r="O14" t="s">
        <v>513</v>
      </c>
    </row>
    <row r="15" spans="1:15" ht="409.6" x14ac:dyDescent="0.3">
      <c r="A15" s="2" t="s">
        <v>71</v>
      </c>
      <c r="B15" s="2" t="str">
        <f>HYPERLINK("https://www.wrtv.com/marketplace/spotlight/meet-randi-raff-director-of-community-engagement-for-the-indy-ignite")</f>
        <v>https://www.wrtv.com/marketplace/spotlight/meet-randi-raff-director-of-community-engagement-for-the-indy-ignite</v>
      </c>
      <c r="C15" s="2"/>
      <c r="D15" s="2" t="s">
        <v>72</v>
      </c>
      <c r="E15" s="5">
        <v>45712.061203703714</v>
      </c>
      <c r="F15" s="2" t="s">
        <v>73</v>
      </c>
      <c r="G15" s="2">
        <v>420033</v>
      </c>
      <c r="H15" s="2">
        <v>0</v>
      </c>
      <c r="I15" s="2">
        <v>0</v>
      </c>
      <c r="J15" s="2">
        <v>0</v>
      </c>
      <c r="K15" s="2" t="s">
        <v>28</v>
      </c>
      <c r="L15" s="4">
        <v>3885.31</v>
      </c>
      <c r="M15" s="2"/>
      <c r="N15" t="s">
        <v>437</v>
      </c>
      <c r="O15" t="s">
        <v>513</v>
      </c>
    </row>
    <row r="16" spans="1:15" ht="52.8" x14ac:dyDescent="0.3">
      <c r="A16" s="2" t="s">
        <v>74</v>
      </c>
      <c r="B16" s="2" t="str">
        <f>HYPERLINK("https://www.ibj.com/articles/photo-gallery-pro-volleyball-all-star-match-draws-big-crowd")</f>
        <v>https://www.ibj.com/articles/photo-gallery-pro-volleyball-all-star-match-draws-big-crowd</v>
      </c>
      <c r="C16" s="2" t="s">
        <v>75</v>
      </c>
      <c r="D16" s="2" t="s">
        <v>76</v>
      </c>
      <c r="E16" s="5">
        <v>45712.05296296296</v>
      </c>
      <c r="F16" s="2" t="s">
        <v>77</v>
      </c>
      <c r="G16" s="2">
        <v>96182</v>
      </c>
      <c r="H16" s="2">
        <v>0</v>
      </c>
      <c r="I16" s="2">
        <v>0</v>
      </c>
      <c r="J16" s="2">
        <v>9</v>
      </c>
      <c r="K16" s="2" t="s">
        <v>28</v>
      </c>
      <c r="L16" s="4">
        <v>889.68</v>
      </c>
      <c r="M16" s="2"/>
      <c r="N16" t="s">
        <v>437</v>
      </c>
      <c r="O16" t="s">
        <v>513</v>
      </c>
    </row>
    <row r="17" spans="1:15" ht="132" x14ac:dyDescent="0.3">
      <c r="A17" s="2" t="s">
        <v>78</v>
      </c>
      <c r="B17" s="2" t="str">
        <f>HYPERLINK("https://www.keepingupincarmel.com/post/the-in-list-2025-2-24-3-2")</f>
        <v>https://www.keepingupincarmel.com/post/the-in-list-2025-2-24-3-2</v>
      </c>
      <c r="C17" s="2" t="s">
        <v>79</v>
      </c>
      <c r="D17" s="2" t="s">
        <v>80</v>
      </c>
      <c r="E17" s="5">
        <v>45711.670370370368</v>
      </c>
      <c r="F17" s="2" t="s">
        <v>81</v>
      </c>
      <c r="G17" s="2">
        <v>473</v>
      </c>
      <c r="H17" s="2">
        <v>0</v>
      </c>
      <c r="I17" s="2">
        <v>0</v>
      </c>
      <c r="J17" s="2">
        <v>0</v>
      </c>
      <c r="K17" s="2" t="s">
        <v>25</v>
      </c>
      <c r="L17" s="4">
        <v>4.38</v>
      </c>
      <c r="M17" s="2"/>
      <c r="N17" t="s">
        <v>496</v>
      </c>
      <c r="O17" t="s">
        <v>513</v>
      </c>
    </row>
    <row r="18" spans="1:15" ht="66" x14ac:dyDescent="0.3">
      <c r="A18" s="2" t="s">
        <v>82</v>
      </c>
      <c r="B18" s="2" t="str">
        <f>HYPERLINK("https://www.oursportscentral.com/services/releases/team-shondell-captures-victory-in-historic-inaugural-pvf-all-star-match/n-6194177")</f>
        <v>https://www.oursportscentral.com/services/releases/team-shondell-captures-victory-in-historic-inaugural-pvf-all-star-match/n-6194177</v>
      </c>
      <c r="C18" s="2"/>
      <c r="D18" s="2" t="s">
        <v>24</v>
      </c>
      <c r="E18" s="5">
        <v>45711.576388888891</v>
      </c>
      <c r="F18" s="2" t="s">
        <v>83</v>
      </c>
      <c r="G18" s="2">
        <v>62699</v>
      </c>
      <c r="H18" s="2">
        <v>0</v>
      </c>
      <c r="I18" s="2">
        <v>0</v>
      </c>
      <c r="J18" s="2">
        <v>0</v>
      </c>
      <c r="K18" s="2" t="s">
        <v>28</v>
      </c>
      <c r="L18" s="4">
        <v>579.97</v>
      </c>
      <c r="M18" s="2"/>
      <c r="N18" t="s">
        <v>492</v>
      </c>
      <c r="O18" t="s">
        <v>492</v>
      </c>
    </row>
    <row r="19" spans="1:15" ht="145.19999999999999" x14ac:dyDescent="0.3">
      <c r="A19" s="2" t="s">
        <v>84</v>
      </c>
      <c r="B19" s="2" t="str">
        <f>HYPERLINK("https://sports.yahoo.com/article/indianapolis-ignite-put-sold-show-213758201.html")</f>
        <v>https://sports.yahoo.com/article/indianapolis-ignite-put-sold-show-213758201.html</v>
      </c>
      <c r="C19" s="2" t="s">
        <v>65</v>
      </c>
      <c r="D19" s="2" t="s">
        <v>85</v>
      </c>
      <c r="E19" s="5">
        <v>45710.693032407413</v>
      </c>
      <c r="F19" s="2" t="s">
        <v>86</v>
      </c>
      <c r="G19" s="2">
        <v>23223632</v>
      </c>
      <c r="H19" s="2">
        <v>0</v>
      </c>
      <c r="I19" s="2">
        <v>0</v>
      </c>
      <c r="J19" s="2">
        <v>0</v>
      </c>
      <c r="K19" s="2" t="s">
        <v>28</v>
      </c>
      <c r="L19" s="4">
        <v>214818.6</v>
      </c>
      <c r="M19" s="2"/>
      <c r="N19" t="s">
        <v>492</v>
      </c>
      <c r="O19" t="s">
        <v>492</v>
      </c>
    </row>
    <row r="20" spans="1:15" ht="145.19999999999999" x14ac:dyDescent="0.3">
      <c r="A20" s="2" t="s">
        <v>84</v>
      </c>
      <c r="B20" s="2" t="str">
        <f>HYPERLINK("https://www.indystar.com/story/sports/2025/02/22/pro-volleyball-federation-all-star-game-sell-out-indy-ignite/78991902007/")</f>
        <v>https://www.indystar.com/story/sports/2025/02/22/pro-volleyball-federation-all-star-game-sell-out-indy-ignite/78991902007/</v>
      </c>
      <c r="C20" s="2" t="s">
        <v>65</v>
      </c>
      <c r="D20" s="2" t="s">
        <v>66</v>
      </c>
      <c r="E20" s="5">
        <v>45710.693032407413</v>
      </c>
      <c r="F20" s="2" t="s">
        <v>86</v>
      </c>
      <c r="G20" s="2">
        <v>3191890</v>
      </c>
      <c r="H20" s="2">
        <v>2</v>
      </c>
      <c r="I20" s="2">
        <v>13335</v>
      </c>
      <c r="J20" s="2">
        <v>79</v>
      </c>
      <c r="K20" s="2" t="s">
        <v>28</v>
      </c>
      <c r="L20" s="4">
        <v>29524.98</v>
      </c>
      <c r="M20" s="2"/>
      <c r="N20" t="s">
        <v>437</v>
      </c>
      <c r="O20" t="s">
        <v>513</v>
      </c>
    </row>
    <row r="21" spans="1:15" ht="92.4" x14ac:dyDescent="0.3">
      <c r="A21" s="2" t="s">
        <v>87</v>
      </c>
      <c r="B21" s="2" t="str">
        <f>HYPERLINK("https://www.fieldhousefiles.com/p/jalen-rose-returns-to-indy-for-pvf-all-stars")</f>
        <v>https://www.fieldhousefiles.com/p/jalen-rose-returns-to-indy-for-pvf-all-stars</v>
      </c>
      <c r="C21" s="2" t="s">
        <v>88</v>
      </c>
      <c r="D21" s="2" t="s">
        <v>89</v>
      </c>
      <c r="E21" s="5">
        <v>45710.479166666657</v>
      </c>
      <c r="F21" s="2" t="s">
        <v>90</v>
      </c>
      <c r="G21" s="2">
        <v>8474</v>
      </c>
      <c r="H21" s="2">
        <v>1</v>
      </c>
      <c r="I21" s="2">
        <v>28063</v>
      </c>
      <c r="J21" s="2">
        <v>2</v>
      </c>
      <c r="K21" s="2" t="s">
        <v>28</v>
      </c>
      <c r="L21" s="4">
        <v>78.38</v>
      </c>
      <c r="M21" s="2"/>
      <c r="N21" t="s">
        <v>437</v>
      </c>
      <c r="O21" t="s">
        <v>513</v>
      </c>
    </row>
    <row r="22" spans="1:15" ht="145.19999999999999" x14ac:dyDescent="0.3">
      <c r="A22" s="2" t="s">
        <v>84</v>
      </c>
      <c r="B22" s="2" t="str">
        <f>HYPERLINK("https://indy-ignite-pro-volleyball.muckrack.com/link/emz6c1/indianapolis-ignite-put-on-sold-out-show-for-1st-pro-volleyball-federation-all-star-game")</f>
        <v>https://indy-ignite-pro-volleyball.muckrack.com/link/emz6c1/indianapolis-ignite-put-on-sold-out-show-for-1st-pro-volleyball-federation-all-star-game</v>
      </c>
      <c r="C22" s="2" t="s">
        <v>65</v>
      </c>
      <c r="D22" s="2" t="s">
        <v>66</v>
      </c>
      <c r="E22" s="5">
        <v>45710.291666666657</v>
      </c>
      <c r="F22" s="2" t="s">
        <v>86</v>
      </c>
      <c r="G22" s="2"/>
      <c r="H22" s="2">
        <v>0</v>
      </c>
      <c r="I22" s="2">
        <v>0</v>
      </c>
      <c r="J22" s="2">
        <v>0</v>
      </c>
      <c r="K22" s="2" t="s">
        <v>28</v>
      </c>
      <c r="L22" s="4">
        <v>21007</v>
      </c>
      <c r="M22" s="2"/>
      <c r="N22" t="s">
        <v>437</v>
      </c>
      <c r="O22" t="s">
        <v>513</v>
      </c>
    </row>
    <row r="23" spans="1:15" ht="198" x14ac:dyDescent="0.3">
      <c r="A23" s="2" t="s">
        <v>91</v>
      </c>
      <c r="B23" s="2" t="str">
        <f>HYPERLINK("https://indy-ignite-pro-volleyball.muckrack.com/link/eSDFQ7/pro-volleyball-set-to-bring-all-star-match-to-fishers-today")</f>
        <v>https://indy-ignite-pro-volleyball.muckrack.com/link/eSDFQ7/pro-volleyball-set-to-bring-all-star-match-to-fishers-today</v>
      </c>
      <c r="C23" s="2"/>
      <c r="D23" s="2" t="s">
        <v>92</v>
      </c>
      <c r="E23" s="5">
        <v>45710.291666666657</v>
      </c>
      <c r="F23" s="2" t="s">
        <v>93</v>
      </c>
      <c r="G23" s="2"/>
      <c r="H23" s="2">
        <v>0</v>
      </c>
      <c r="I23" s="2">
        <v>0</v>
      </c>
      <c r="J23" s="2">
        <v>0</v>
      </c>
      <c r="K23" s="2" t="s">
        <v>28</v>
      </c>
      <c r="L23" s="4">
        <v>4724</v>
      </c>
      <c r="M23" s="2"/>
      <c r="N23" t="s">
        <v>497</v>
      </c>
      <c r="O23" t="s">
        <v>513</v>
      </c>
    </row>
    <row r="24" spans="1:15" ht="66" x14ac:dyDescent="0.3">
      <c r="A24" s="2" t="s">
        <v>94</v>
      </c>
      <c r="B24" s="2" t="str">
        <f>HYPERLINK("https://www.newsbreak.com/trending-story/inaugural-pro-volleyball-federation-all-star-match-hosted-by-indy-ignite-67ba355a9505d06f23849899")</f>
        <v>https://www.newsbreak.com/trending-story/inaugural-pro-volleyball-federation-all-star-match-hosted-by-indy-ignite-67ba355a9505d06f23849899</v>
      </c>
      <c r="C24" s="2"/>
      <c r="D24" s="2" t="s">
        <v>95</v>
      </c>
      <c r="E24" s="5">
        <v>45710</v>
      </c>
      <c r="F24" s="2" t="s">
        <v>96</v>
      </c>
      <c r="G24" s="2">
        <v>21544598</v>
      </c>
      <c r="H24" s="2">
        <v>0</v>
      </c>
      <c r="I24" s="2">
        <v>0</v>
      </c>
      <c r="J24" s="2">
        <v>0</v>
      </c>
      <c r="K24" s="2" t="s">
        <v>25</v>
      </c>
      <c r="L24" s="4">
        <v>199287.53</v>
      </c>
      <c r="M24" s="2"/>
      <c r="N24" t="s">
        <v>492</v>
      </c>
      <c r="O24" t="s">
        <v>492</v>
      </c>
    </row>
    <row r="25" spans="1:15" ht="79.2" x14ac:dyDescent="0.3">
      <c r="A25" s="2" t="s">
        <v>98</v>
      </c>
      <c r="B25" s="2" t="str">
        <f>HYPERLINK("https://www.wishtv.com/news/indiana-volleyball-all-star-match/")</f>
        <v>https://www.wishtv.com/news/indiana-volleyball-all-star-match/</v>
      </c>
      <c r="C25" s="2" t="s">
        <v>99</v>
      </c>
      <c r="D25" s="2" t="s">
        <v>100</v>
      </c>
      <c r="E25" s="5">
        <v>45709.598391203697</v>
      </c>
      <c r="F25" s="2" t="s">
        <v>101</v>
      </c>
      <c r="G25" s="2">
        <v>942280</v>
      </c>
      <c r="H25" s="2">
        <v>0</v>
      </c>
      <c r="I25" s="2">
        <v>0</v>
      </c>
      <c r="J25" s="2">
        <v>18</v>
      </c>
      <c r="K25" s="2" t="s">
        <v>28</v>
      </c>
      <c r="L25" s="4">
        <v>8716.09</v>
      </c>
      <c r="M25" s="2"/>
      <c r="N25" t="s">
        <v>437</v>
      </c>
      <c r="O25" t="s">
        <v>513</v>
      </c>
    </row>
    <row r="26" spans="1:15" ht="92.4" x14ac:dyDescent="0.3">
      <c r="A26" s="2" t="s">
        <v>102</v>
      </c>
      <c r="B26" s="2" t="str">
        <f>HYPERLINK("https://indianapolisrecorder.com/shawn-johnson-east-pvf-all-star/")</f>
        <v>https://indianapolisrecorder.com/shawn-johnson-east-pvf-all-star/</v>
      </c>
      <c r="C26" s="2" t="s">
        <v>103</v>
      </c>
      <c r="D26" s="2" t="s">
        <v>104</v>
      </c>
      <c r="E26" s="5">
        <v>45709.587141203701</v>
      </c>
      <c r="F26" s="2" t="s">
        <v>105</v>
      </c>
      <c r="G26" s="2">
        <v>40036</v>
      </c>
      <c r="H26" s="2">
        <v>0</v>
      </c>
      <c r="I26" s="2">
        <v>0</v>
      </c>
      <c r="J26" s="2">
        <v>0</v>
      </c>
      <c r="K26" s="2" t="s">
        <v>28</v>
      </c>
      <c r="L26" s="4">
        <v>370.33</v>
      </c>
      <c r="M26" s="2"/>
      <c r="N26" t="s">
        <v>437</v>
      </c>
      <c r="O26" t="s">
        <v>513</v>
      </c>
    </row>
    <row r="27" spans="1:15" ht="52.8" x14ac:dyDescent="0.3">
      <c r="A27" s="2" t="s">
        <v>106</v>
      </c>
      <c r="B27" s="2" t="str">
        <f>HYPERLINK("https://indianapolisrecorder.com/ganggang-indy-ignite-all-star/")</f>
        <v>https://indianapolisrecorder.com/ganggang-indy-ignite-all-star/</v>
      </c>
      <c r="C27" s="2" t="s">
        <v>103</v>
      </c>
      <c r="D27" s="2" t="s">
        <v>104</v>
      </c>
      <c r="E27" s="5">
        <v>45709.564293981479</v>
      </c>
      <c r="F27" s="2" t="s">
        <v>107</v>
      </c>
      <c r="G27" s="2">
        <v>40036</v>
      </c>
      <c r="H27" s="2">
        <v>0</v>
      </c>
      <c r="I27" s="2">
        <v>0</v>
      </c>
      <c r="J27" s="2">
        <v>0</v>
      </c>
      <c r="K27" s="2" t="s">
        <v>28</v>
      </c>
      <c r="L27" s="4">
        <v>370.33</v>
      </c>
      <c r="M27" s="2"/>
      <c r="N27" t="s">
        <v>437</v>
      </c>
      <c r="O27" t="s">
        <v>513</v>
      </c>
    </row>
    <row r="28" spans="1:15" ht="79.2" x14ac:dyDescent="0.3">
      <c r="A28" s="2" t="s">
        <v>114</v>
      </c>
      <c r="B28" s="2" t="str">
        <f>HYPERLINK("https://www.oursportscentral.com/services/releases/ignite-ready-to-host-pvf-all-star-match-the-latest-indy-marquee-sports-event/n-6193350")</f>
        <v>https://www.oursportscentral.com/services/releases/ignite-ready-to-host-pvf-all-star-match-the-latest-indy-marquee-sports-event/n-6193350</v>
      </c>
      <c r="C28" s="2"/>
      <c r="D28" s="2" t="s">
        <v>24</v>
      </c>
      <c r="E28" s="5">
        <v>45709.493055555547</v>
      </c>
      <c r="F28" s="2" t="s">
        <v>115</v>
      </c>
      <c r="G28" s="2">
        <v>62699</v>
      </c>
      <c r="H28" s="2">
        <v>0</v>
      </c>
      <c r="I28" s="2">
        <v>0</v>
      </c>
      <c r="J28" s="2">
        <v>0</v>
      </c>
      <c r="K28" s="2" t="s">
        <v>28</v>
      </c>
      <c r="L28" s="4">
        <v>579.97</v>
      </c>
      <c r="M28" s="2"/>
      <c r="N28" t="s">
        <v>492</v>
      </c>
      <c r="O28" t="s">
        <v>492</v>
      </c>
    </row>
    <row r="29" spans="1:15" ht="79.2" x14ac:dyDescent="0.3">
      <c r="A29" s="2" t="s">
        <v>116</v>
      </c>
      <c r="B29" s="2" t="str">
        <f>HYPERLINK("https://www.oursportscentral.com/services/releases/for-the-first-time-in-pro-volleyball-federation-history-the-best-of-the-best-will-gather-this-weekend-for-the-inaugural-pvf-all-star-match/n-6193351")</f>
        <v>https://www.oursportscentral.com/services/releases/for-the-first-time-in-pro-volleyball-federation-history-the-best-of-the-best-will-gather-this-weekend-for-the-inaugural-pvf-all-star-match/n-6193351</v>
      </c>
      <c r="C29" s="2"/>
      <c r="D29" s="2" t="s">
        <v>24</v>
      </c>
      <c r="E29" s="5">
        <v>45709.487500000003</v>
      </c>
      <c r="F29" s="2" t="s">
        <v>117</v>
      </c>
      <c r="G29" s="2">
        <v>62699</v>
      </c>
      <c r="H29" s="2">
        <v>0</v>
      </c>
      <c r="I29" s="2">
        <v>0</v>
      </c>
      <c r="J29" s="2">
        <v>0</v>
      </c>
      <c r="K29" s="2" t="s">
        <v>28</v>
      </c>
      <c r="L29" s="4">
        <v>579.97</v>
      </c>
      <c r="M29" s="2"/>
      <c r="N29" t="s">
        <v>492</v>
      </c>
      <c r="O29" t="s">
        <v>492</v>
      </c>
    </row>
    <row r="30" spans="1:15" ht="39.6" x14ac:dyDescent="0.3">
      <c r="A30" s="2" t="s">
        <v>118</v>
      </c>
      <c r="B30" s="2" t="str">
        <f>HYPERLINK("https://cbs4indy.com/news/pvf-all-star-match-comes-to-fishers-this-weekend/")</f>
        <v>https://cbs4indy.com/news/pvf-all-star-match-comes-to-fishers-this-weekend/</v>
      </c>
      <c r="C30" s="2" t="s">
        <v>119</v>
      </c>
      <c r="D30" s="2" t="s">
        <v>120</v>
      </c>
      <c r="E30" s="5">
        <v>45709.457696759258</v>
      </c>
      <c r="F30" s="2" t="s">
        <v>121</v>
      </c>
      <c r="G30" s="2">
        <v>142737</v>
      </c>
      <c r="H30" s="2">
        <v>0</v>
      </c>
      <c r="I30" s="2">
        <v>0</v>
      </c>
      <c r="J30" s="2">
        <v>2</v>
      </c>
      <c r="K30" s="2" t="s">
        <v>25</v>
      </c>
      <c r="L30" s="4">
        <v>1320.32</v>
      </c>
      <c r="M30" s="2"/>
      <c r="N30" t="s">
        <v>437</v>
      </c>
      <c r="O30" t="s">
        <v>513</v>
      </c>
    </row>
    <row r="31" spans="1:15" ht="264" x14ac:dyDescent="0.3">
      <c r="A31" s="2" t="s">
        <v>118</v>
      </c>
      <c r="B31" s="2" t="str">
        <f>HYPERLINK("https://fox59.com/sports/pvf-all-star-match-comes-to-fishers-this-weekend/")</f>
        <v>https://fox59.com/sports/pvf-all-star-match-comes-to-fishers-this-weekend/</v>
      </c>
      <c r="C31" s="2" t="s">
        <v>119</v>
      </c>
      <c r="D31" s="2" t="s">
        <v>122</v>
      </c>
      <c r="E31" s="5">
        <v>45709.455694444441</v>
      </c>
      <c r="F31" s="2" t="s">
        <v>123</v>
      </c>
      <c r="G31" s="2">
        <v>1972067</v>
      </c>
      <c r="H31" s="2">
        <v>0</v>
      </c>
      <c r="I31" s="2">
        <v>0</v>
      </c>
      <c r="J31" s="2">
        <v>11</v>
      </c>
      <c r="K31" s="2" t="s">
        <v>25</v>
      </c>
      <c r="L31" s="4">
        <v>18241.62</v>
      </c>
      <c r="M31" s="2"/>
      <c r="N31" t="s">
        <v>437</v>
      </c>
      <c r="O31" t="s">
        <v>513</v>
      </c>
    </row>
    <row r="32" spans="1:15" ht="66" x14ac:dyDescent="0.3">
      <c r="A32" s="2" t="s">
        <v>124</v>
      </c>
      <c r="B32" s="2" t="str">
        <f>HYPERLINK("https://townepost.com/indiana/noblesville/hamilton-county-tourism-spotlight-march/")</f>
        <v>https://townepost.com/indiana/noblesville/hamilton-county-tourism-spotlight-march/</v>
      </c>
      <c r="C32" s="2"/>
      <c r="D32" s="2" t="s">
        <v>125</v>
      </c>
      <c r="E32" s="5">
        <v>45709.42396990741</v>
      </c>
      <c r="F32" s="2" t="s">
        <v>126</v>
      </c>
      <c r="G32" s="2">
        <v>9035</v>
      </c>
      <c r="H32" s="2">
        <v>0</v>
      </c>
      <c r="I32" s="2">
        <v>0</v>
      </c>
      <c r="J32" s="2">
        <v>2</v>
      </c>
      <c r="K32" s="2" t="s">
        <v>28</v>
      </c>
      <c r="L32" s="4">
        <v>83.57</v>
      </c>
      <c r="M32" s="2"/>
      <c r="N32" t="s">
        <v>495</v>
      </c>
      <c r="O32" t="s">
        <v>513</v>
      </c>
    </row>
    <row r="33" spans="1:15" ht="52.8" x14ac:dyDescent="0.3">
      <c r="A33" s="2" t="s">
        <v>127</v>
      </c>
      <c r="B33" s="2" t="str">
        <f>HYPERLINK("https://hoodline.com/2025/02/central-indiana-hosts-inaugural-pvf-all-star-volleyball-match-with-national-television-coverage/")</f>
        <v>https://hoodline.com/2025/02/central-indiana-hosts-inaugural-pvf-all-star-volleyball-match-with-national-television-coverage/</v>
      </c>
      <c r="C33" s="2" t="s">
        <v>128</v>
      </c>
      <c r="D33" s="2" t="s">
        <v>129</v>
      </c>
      <c r="E33" s="5">
        <v>45709.396701388891</v>
      </c>
      <c r="F33" s="2" t="s">
        <v>130</v>
      </c>
      <c r="G33" s="2">
        <v>938389</v>
      </c>
      <c r="H33" s="2">
        <v>0</v>
      </c>
      <c r="I33" s="2">
        <v>0</v>
      </c>
      <c r="J33" s="2">
        <v>0</v>
      </c>
      <c r="K33" s="2" t="s">
        <v>28</v>
      </c>
      <c r="L33" s="4">
        <v>8680.1</v>
      </c>
      <c r="M33" s="2"/>
      <c r="N33" t="s">
        <v>498</v>
      </c>
      <c r="O33" t="s">
        <v>492</v>
      </c>
    </row>
    <row r="34" spans="1:15" ht="79.2" x14ac:dyDescent="0.3">
      <c r="A34" s="2" t="s">
        <v>131</v>
      </c>
      <c r="B34" s="2" t="str">
        <f>HYPERLINK("https://indy-ignite-pro-volleyball.muckrack.com/link/eSAFWl/top-pacers-moment-for-rose-some-redemption-it-was-hugging-miller-on-the-knicks-logo-in-2000")</f>
        <v>https://indy-ignite-pro-volleyball.muckrack.com/link/eSAFWl/top-pacers-moment-for-rose-some-redemption-it-was-hugging-miller-on-the-knicks-logo-in-2000</v>
      </c>
      <c r="C34" s="2"/>
      <c r="D34" s="2" t="s">
        <v>66</v>
      </c>
      <c r="E34" s="5">
        <v>45709.291666666657</v>
      </c>
      <c r="F34" s="2" t="s">
        <v>132</v>
      </c>
      <c r="G34" s="2"/>
      <c r="H34" s="2">
        <v>0</v>
      </c>
      <c r="I34" s="2">
        <v>0</v>
      </c>
      <c r="J34" s="2">
        <v>0</v>
      </c>
      <c r="K34" s="2" t="s">
        <v>28</v>
      </c>
      <c r="L34" s="4">
        <v>21007</v>
      </c>
      <c r="M34" s="2"/>
      <c r="N34" t="s">
        <v>437</v>
      </c>
      <c r="O34" t="s">
        <v>513</v>
      </c>
    </row>
    <row r="35" spans="1:15" ht="158.4" x14ac:dyDescent="0.3">
      <c r="A35" s="2" t="s">
        <v>133</v>
      </c>
      <c r="B35" s="2" t="str">
        <f>HYPERLINK("https://www.ibj.com/articles/pro-volleyball-set-to-bring-all-star-match-to-fishers-on-saturday")</f>
        <v>https://www.ibj.com/articles/pro-volleyball-set-to-bring-all-star-match-to-fishers-on-saturday</v>
      </c>
      <c r="C35" s="2" t="s">
        <v>75</v>
      </c>
      <c r="D35" s="2" t="s">
        <v>76</v>
      </c>
      <c r="E35" s="5">
        <v>45709.251944444448</v>
      </c>
      <c r="F35" s="2" t="s">
        <v>134</v>
      </c>
      <c r="G35" s="2">
        <v>96182</v>
      </c>
      <c r="H35" s="2">
        <v>0</v>
      </c>
      <c r="I35" s="2">
        <v>0</v>
      </c>
      <c r="J35" s="2">
        <v>0</v>
      </c>
      <c r="K35" s="2" t="s">
        <v>28</v>
      </c>
      <c r="L35" s="4">
        <v>889.68</v>
      </c>
      <c r="M35" s="2"/>
      <c r="N35" t="s">
        <v>437</v>
      </c>
      <c r="O35" t="s">
        <v>513</v>
      </c>
    </row>
    <row r="36" spans="1:15" ht="79.2" x14ac:dyDescent="0.3">
      <c r="A36" s="2" t="s">
        <v>135</v>
      </c>
      <c r="B36" s="2" t="str">
        <f>HYPERLINK("https://www.wthr.com/article/sports/local-sports/indy-ignite-regains-4th-ranking-winning-rematch-against-atlanta-vibe-pro-volleyball-federation/531-c4483ffd-7289-4dab-9885-b2e04103a263")</f>
        <v>https://www.wthr.com/article/sports/local-sports/indy-ignite-regains-4th-ranking-winning-rematch-against-atlanta-vibe-pro-volleyball-federation/531-c4483ffd-7289-4dab-9885-b2e04103a263</v>
      </c>
      <c r="C36" s="2"/>
      <c r="D36" s="2" t="s">
        <v>32</v>
      </c>
      <c r="E36" s="5">
        <v>45709.238275462973</v>
      </c>
      <c r="F36" s="2" t="s">
        <v>136</v>
      </c>
      <c r="G36" s="2">
        <v>1401295</v>
      </c>
      <c r="H36" s="2">
        <v>0</v>
      </c>
      <c r="I36" s="2">
        <v>0</v>
      </c>
      <c r="J36" s="2">
        <v>0</v>
      </c>
      <c r="K36" s="2" t="s">
        <v>25</v>
      </c>
      <c r="L36" s="4">
        <v>12961.98</v>
      </c>
      <c r="M36" s="2"/>
      <c r="N36" t="s">
        <v>437</v>
      </c>
      <c r="O36" t="s">
        <v>513</v>
      </c>
    </row>
    <row r="37" spans="1:15" ht="79.2" x14ac:dyDescent="0.3">
      <c r="A37" s="2" t="s">
        <v>137</v>
      </c>
      <c r="B37" s="2" t="str">
        <f>HYPERLINK("https://www.nuvo.net/sports/indy-ignite-defeats-the-atlanta-vibe-3-1-enters-all-star-break-on-a-high/collection_56691cbe-f08d-11ef-8940-7f4438c30ac9.html")</f>
        <v>https://www.nuvo.net/sports/indy-ignite-defeats-the-atlanta-vibe-3-1-enters-all-star-break-on-a-high/collection_56691cbe-f08d-11ef-8940-7f4438c30ac9.html</v>
      </c>
      <c r="C37" s="2" t="s">
        <v>138</v>
      </c>
      <c r="D37" s="2" t="s">
        <v>139</v>
      </c>
      <c r="E37" s="5">
        <v>45709</v>
      </c>
      <c r="F37" s="2" t="s">
        <v>140</v>
      </c>
      <c r="G37" s="2">
        <v>16115</v>
      </c>
      <c r="H37" s="2">
        <v>0</v>
      </c>
      <c r="I37" s="2">
        <v>0</v>
      </c>
      <c r="J37" s="2">
        <v>13</v>
      </c>
      <c r="K37" s="2" t="s">
        <v>25</v>
      </c>
      <c r="L37" s="4">
        <v>149.06</v>
      </c>
      <c r="M37" s="2"/>
      <c r="N37" t="s">
        <v>437</v>
      </c>
      <c r="O37" t="s">
        <v>513</v>
      </c>
    </row>
    <row r="38" spans="1:15" ht="105.6" x14ac:dyDescent="0.3">
      <c r="A38" s="2" t="s">
        <v>141</v>
      </c>
      <c r="B38" s="2" t="str">
        <f>HYPERLINK("https://www.gwinnettdailypost.com/sports/four-set-match-goes-against-atlanta-vibe-in-indy/article_b915a66a-effd-11ef-9805-ab19a6a4b11b.html")</f>
        <v>https://www.gwinnettdailypost.com/sports/four-set-match-goes-against-atlanta-vibe-in-indy/article_b915a66a-effd-11ef-9805-ab19a6a4b11b.html</v>
      </c>
      <c r="C38" s="2"/>
      <c r="D38" s="2" t="s">
        <v>142</v>
      </c>
      <c r="E38" s="5">
        <v>45708.953726851847</v>
      </c>
      <c r="F38" s="2" t="s">
        <v>143</v>
      </c>
      <c r="G38" s="2">
        <v>134281</v>
      </c>
      <c r="H38" s="2">
        <v>0</v>
      </c>
      <c r="I38" s="2">
        <v>0</v>
      </c>
      <c r="J38" s="2">
        <v>0</v>
      </c>
      <c r="K38" s="2" t="s">
        <v>25</v>
      </c>
      <c r="L38" s="4">
        <v>1242.0999999999999</v>
      </c>
      <c r="M38" s="2"/>
      <c r="N38" t="s">
        <v>499</v>
      </c>
      <c r="O38" t="s">
        <v>492</v>
      </c>
    </row>
    <row r="39" spans="1:15" ht="105.6" x14ac:dyDescent="0.3">
      <c r="A39" s="2" t="s">
        <v>144</v>
      </c>
      <c r="B39" s="2" t="str">
        <f>HYPERLINK("https://www.oursportscentral.com/services/releases/ignite-fire-back-for-important-win-heading-into-all-star-break/n-6193205")</f>
        <v>https://www.oursportscentral.com/services/releases/ignite-fire-back-for-important-win-heading-into-all-star-break/n-6193205</v>
      </c>
      <c r="C39" s="2"/>
      <c r="D39" s="2" t="s">
        <v>24</v>
      </c>
      <c r="E39" s="5">
        <v>45708.847916666673</v>
      </c>
      <c r="F39" s="2" t="s">
        <v>145</v>
      </c>
      <c r="G39" s="2">
        <v>62699</v>
      </c>
      <c r="H39" s="2">
        <v>0</v>
      </c>
      <c r="I39" s="2">
        <v>0</v>
      </c>
      <c r="J39" s="2">
        <v>0</v>
      </c>
      <c r="K39" s="2" t="s">
        <v>28</v>
      </c>
      <c r="L39" s="4">
        <v>579.97</v>
      </c>
      <c r="M39" s="2"/>
      <c r="N39" t="s">
        <v>492</v>
      </c>
      <c r="O39" t="s">
        <v>492</v>
      </c>
    </row>
    <row r="40" spans="1:15" ht="79.2" x14ac:dyDescent="0.3">
      <c r="A40" s="2" t="s">
        <v>146</v>
      </c>
      <c r="B40" s="2" t="str">
        <f>HYPERLINK("https://www.oursportscentral.com/services/releases/vibe-fall-to-ignite-in-four-set-match/n-6193161")</f>
        <v>https://www.oursportscentral.com/services/releases/vibe-fall-to-ignite-in-four-set-match/n-6193161</v>
      </c>
      <c r="C40" s="2"/>
      <c r="D40" s="2" t="s">
        <v>24</v>
      </c>
      <c r="E40" s="5">
        <v>45708.779166666667</v>
      </c>
      <c r="F40" s="2" t="s">
        <v>147</v>
      </c>
      <c r="G40" s="2">
        <v>62699</v>
      </c>
      <c r="H40" s="2">
        <v>0</v>
      </c>
      <c r="I40" s="2">
        <v>0</v>
      </c>
      <c r="J40" s="2">
        <v>0</v>
      </c>
      <c r="K40" s="2" t="s">
        <v>25</v>
      </c>
      <c r="L40" s="4">
        <v>579.97</v>
      </c>
      <c r="M40" s="2"/>
      <c r="N40" t="s">
        <v>492</v>
      </c>
      <c r="O40" t="s">
        <v>492</v>
      </c>
    </row>
    <row r="41" spans="1:15" ht="79.2" x14ac:dyDescent="0.3">
      <c r="A41" s="2" t="s">
        <v>150</v>
      </c>
      <c r="B41" s="2" t="str">
        <f>HYPERLINK("https://www.wthr.com/article/sports/local-sports/indy-ignite-host-rematch-atlanta-vibe-before-all-star-break-indianapolis-fishers-pro-volleyball-federation/531-4474a2a5-a531-46c9-9905-5774c8778428")</f>
        <v>https://www.wthr.com/article/sports/local-sports/indy-ignite-host-rematch-atlanta-vibe-before-all-star-break-indianapolis-fishers-pro-volleyball-federation/531-4474a2a5-a531-46c9-9905-5774c8778428</v>
      </c>
      <c r="C41" s="2"/>
      <c r="D41" s="2" t="s">
        <v>32</v>
      </c>
      <c r="E41" s="5">
        <v>45708.467094907413</v>
      </c>
      <c r="F41" s="2" t="s">
        <v>151</v>
      </c>
      <c r="G41" s="2">
        <v>1401295</v>
      </c>
      <c r="H41" s="2">
        <v>0</v>
      </c>
      <c r="I41" s="2">
        <v>0</v>
      </c>
      <c r="J41" s="2">
        <v>3</v>
      </c>
      <c r="K41" s="2" t="s">
        <v>25</v>
      </c>
      <c r="L41" s="4">
        <v>12961.98</v>
      </c>
      <c r="M41" s="2"/>
      <c r="N41" t="s">
        <v>437</v>
      </c>
      <c r="O41" t="s">
        <v>513</v>
      </c>
    </row>
    <row r="42" spans="1:15" ht="92.4" x14ac:dyDescent="0.3">
      <c r="A42" s="2" t="s">
        <v>141</v>
      </c>
      <c r="B42" s="2" t="str">
        <f>HYPERLINK("https://indy-ignite-pro-volleyball.muckrack.com/link/eStIK4/four-set-match-goes-against-atlanta-vibe-in-indy")</f>
        <v>https://indy-ignite-pro-volleyball.muckrack.com/link/eStIK4/four-set-match-goes-against-atlanta-vibe-in-indy</v>
      </c>
      <c r="C42" s="2"/>
      <c r="D42" s="2" t="s">
        <v>142</v>
      </c>
      <c r="E42" s="5">
        <v>45708.291666666657</v>
      </c>
      <c r="F42" s="2" t="s">
        <v>152</v>
      </c>
      <c r="G42" s="2"/>
      <c r="H42" s="2">
        <v>0</v>
      </c>
      <c r="I42" s="2">
        <v>0</v>
      </c>
      <c r="J42" s="2">
        <v>0</v>
      </c>
      <c r="K42" s="2" t="s">
        <v>25</v>
      </c>
      <c r="L42" s="4">
        <v>38341</v>
      </c>
      <c r="M42" s="2"/>
      <c r="N42" t="s">
        <v>499</v>
      </c>
      <c r="O42" t="s">
        <v>492</v>
      </c>
    </row>
    <row r="43" spans="1:15" ht="118.8" x14ac:dyDescent="0.3">
      <c r="A43" s="2" t="s">
        <v>155</v>
      </c>
      <c r="B43" s="2" t="str">
        <f>HYPERLINK("https://www.oursportscentral.com/services/releases/vibe-take-on-indy-for-away-match/n-6192813")</f>
        <v>https://www.oursportscentral.com/services/releases/vibe-take-on-indy-for-away-match/n-6192813</v>
      </c>
      <c r="C43" s="2"/>
      <c r="D43" s="2" t="s">
        <v>24</v>
      </c>
      <c r="E43" s="5">
        <v>45707.738194444442</v>
      </c>
      <c r="F43" s="2" t="s">
        <v>156</v>
      </c>
      <c r="G43" s="2">
        <v>62699</v>
      </c>
      <c r="H43" s="2">
        <v>0</v>
      </c>
      <c r="I43" s="2">
        <v>0</v>
      </c>
      <c r="J43" s="2">
        <v>0</v>
      </c>
      <c r="K43" s="2" t="s">
        <v>25</v>
      </c>
      <c r="L43" s="4">
        <v>579.97</v>
      </c>
      <c r="M43" s="2"/>
      <c r="N43" t="s">
        <v>492</v>
      </c>
      <c r="O43" t="s">
        <v>492</v>
      </c>
    </row>
    <row r="44" spans="1:15" ht="52.8" x14ac:dyDescent="0.3">
      <c r="A44" s="2" t="s">
        <v>157</v>
      </c>
      <c r="B44" s="2" t="str">
        <f>HYPERLINK("https://www.oursportscentral.com/services/releases/third-clash-with-fury-ahead-pvf-all-star-match-on-saturday/n-6192810")</f>
        <v>https://www.oursportscentral.com/services/releases/third-clash-with-fury-ahead-pvf-all-star-match-on-saturday/n-6192810</v>
      </c>
      <c r="C44" s="2"/>
      <c r="D44" s="2" t="s">
        <v>24</v>
      </c>
      <c r="E44" s="5">
        <v>45707.736805555563</v>
      </c>
      <c r="F44" s="2" t="s">
        <v>158</v>
      </c>
      <c r="G44" s="2">
        <v>62699</v>
      </c>
      <c r="H44" s="2">
        <v>0</v>
      </c>
      <c r="I44" s="2">
        <v>0</v>
      </c>
      <c r="J44" s="2">
        <v>0</v>
      </c>
      <c r="K44" s="2" t="s">
        <v>25</v>
      </c>
      <c r="L44" s="4">
        <v>579.97</v>
      </c>
      <c r="M44" s="2"/>
      <c r="N44" t="s">
        <v>492</v>
      </c>
      <c r="O44" t="s">
        <v>492</v>
      </c>
    </row>
    <row r="45" spans="1:15" ht="52.8" x14ac:dyDescent="0.3">
      <c r="A45" s="2" t="s">
        <v>159</v>
      </c>
      <c r="B45" s="2" t="str">
        <f>HYPERLINK("https://fox59.com/news/indynews/hamilton-county-sees-pro-sports-boom-as-pro-volleyball-federation-preps-for-all-star-weekend/")</f>
        <v>https://fox59.com/news/indynews/hamilton-county-sees-pro-sports-boom-as-pro-volleyball-federation-preps-for-all-star-weekend/</v>
      </c>
      <c r="C45" s="2" t="s">
        <v>160</v>
      </c>
      <c r="D45" s="2" t="s">
        <v>122</v>
      </c>
      <c r="E45" s="5">
        <v>45707.655949074076</v>
      </c>
      <c r="F45" s="2" t="s">
        <v>161</v>
      </c>
      <c r="G45" s="2">
        <v>1972067</v>
      </c>
      <c r="H45" s="2">
        <v>0</v>
      </c>
      <c r="I45" s="2">
        <v>0</v>
      </c>
      <c r="J45" s="2">
        <v>31</v>
      </c>
      <c r="K45" s="2" t="s">
        <v>25</v>
      </c>
      <c r="L45" s="4">
        <v>18241.62</v>
      </c>
      <c r="M45" s="2"/>
      <c r="N45" t="s">
        <v>437</v>
      </c>
      <c r="O45" t="s">
        <v>513</v>
      </c>
    </row>
    <row r="46" spans="1:15" ht="105.6" x14ac:dyDescent="0.3">
      <c r="A46" s="2" t="s">
        <v>162</v>
      </c>
      <c r="B46" s="2" t="str">
        <f>HYPERLINK("https://www.oursportscentral.com/services/releases/indy-ignite-host-atlanta-in-final-match-before-all-star-break/n-6192750")</f>
        <v>https://www.oursportscentral.com/services/releases/indy-ignite-host-atlanta-in-final-match-before-all-star-break/n-6192750</v>
      </c>
      <c r="C46" s="2"/>
      <c r="D46" s="2" t="s">
        <v>24</v>
      </c>
      <c r="E46" s="5">
        <v>45707.591666666667</v>
      </c>
      <c r="F46" s="2" t="s">
        <v>163</v>
      </c>
      <c r="G46" s="2">
        <v>62699</v>
      </c>
      <c r="H46" s="2">
        <v>0</v>
      </c>
      <c r="I46" s="2">
        <v>0</v>
      </c>
      <c r="J46" s="2">
        <v>0</v>
      </c>
      <c r="K46" s="2" t="s">
        <v>25</v>
      </c>
      <c r="L46" s="4">
        <v>579.97</v>
      </c>
      <c r="M46" s="2"/>
      <c r="N46" t="s">
        <v>492</v>
      </c>
      <c r="O46" t="s">
        <v>492</v>
      </c>
    </row>
    <row r="47" spans="1:15" ht="105.6" x14ac:dyDescent="0.3">
      <c r="A47" s="2" t="s">
        <v>164</v>
      </c>
      <c r="B47" s="2" t="str">
        <f>HYPERLINK("https://1075thefan.com/517580/win-tickets-professional-volleyball-all-star-game-at-fishers-event-center/")</f>
        <v>https://1075thefan.com/517580/win-tickets-professional-volleyball-all-star-game-at-fishers-event-center/</v>
      </c>
      <c r="C47" s="2" t="s">
        <v>165</v>
      </c>
      <c r="D47" s="2" t="s">
        <v>166</v>
      </c>
      <c r="E47" s="5">
        <v>45707.466354166667</v>
      </c>
      <c r="F47" s="2" t="s">
        <v>167</v>
      </c>
      <c r="G47" s="2">
        <v>119670</v>
      </c>
      <c r="H47" s="2">
        <v>0</v>
      </c>
      <c r="I47" s="2">
        <v>0</v>
      </c>
      <c r="J47" s="2">
        <v>26</v>
      </c>
      <c r="K47" s="2" t="s">
        <v>28</v>
      </c>
      <c r="L47" s="4">
        <v>1106.95</v>
      </c>
      <c r="M47" s="2"/>
      <c r="N47" t="s">
        <v>437</v>
      </c>
      <c r="O47" t="s">
        <v>513</v>
      </c>
    </row>
    <row r="48" spans="1:15" ht="118.8" x14ac:dyDescent="0.3">
      <c r="A48" s="2" t="s">
        <v>168</v>
      </c>
      <c r="B48" s="2" t="str">
        <f>HYPERLINK("https://indy-ignite-pro-volleyball.muckrack.com/link/eSdGGb/go-mad-feb-20-21")</f>
        <v>https://indy-ignite-pro-volleyball.muckrack.com/link/eSdGGb/go-mad-feb-20-21</v>
      </c>
      <c r="C48" s="2"/>
      <c r="D48" s="2" t="s">
        <v>169</v>
      </c>
      <c r="E48" s="5">
        <v>45707.291666666657</v>
      </c>
      <c r="F48" s="2" t="s">
        <v>170</v>
      </c>
      <c r="G48" s="2"/>
      <c r="H48" s="2">
        <v>0</v>
      </c>
      <c r="I48" s="2">
        <v>0</v>
      </c>
      <c r="J48" s="2">
        <v>0</v>
      </c>
      <c r="K48" s="2" t="s">
        <v>25</v>
      </c>
      <c r="L48" s="4">
        <v>3024</v>
      </c>
      <c r="M48" s="2"/>
      <c r="N48" t="s">
        <v>500</v>
      </c>
      <c r="O48" t="s">
        <v>513</v>
      </c>
    </row>
    <row r="49" spans="1:15" ht="92.4" x14ac:dyDescent="0.3">
      <c r="A49" s="2" t="s">
        <v>159</v>
      </c>
      <c r="B49" s="2" t="str">
        <f>HYPERLINK("https://cbs4indy.com/indiana-news/hamilton-county-sees-pro-sports-boom-as-pro-volleyball-federation-preps-for-all-star-weekend/")</f>
        <v>https://cbs4indy.com/indiana-news/hamilton-county-sees-pro-sports-boom-as-pro-volleyball-federation-preps-for-all-star-weekend/</v>
      </c>
      <c r="C49" s="2" t="s">
        <v>160</v>
      </c>
      <c r="D49" s="2" t="s">
        <v>120</v>
      </c>
      <c r="E49" s="5">
        <v>45707.114155092589</v>
      </c>
      <c r="F49" s="2" t="s">
        <v>171</v>
      </c>
      <c r="G49" s="2">
        <v>142737</v>
      </c>
      <c r="H49" s="2">
        <v>0</v>
      </c>
      <c r="I49" s="2">
        <v>0</v>
      </c>
      <c r="J49" s="2">
        <v>15</v>
      </c>
      <c r="K49" s="2" t="s">
        <v>28</v>
      </c>
      <c r="L49" s="4">
        <v>1320.32</v>
      </c>
      <c r="M49" s="2"/>
      <c r="N49" t="s">
        <v>437</v>
      </c>
      <c r="O49" t="s">
        <v>513</v>
      </c>
    </row>
    <row r="50" spans="1:15" ht="52.8" x14ac:dyDescent="0.3">
      <c r="A50" s="2" t="s">
        <v>172</v>
      </c>
      <c r="B50" s="2" t="str">
        <f>HYPERLINK("https://www.avca.org/blog/pvf-all-star-match-is-saturday-feb-22-on-cbs/")</f>
        <v>https://www.avca.org/blog/pvf-all-star-match-is-saturday-feb-22-on-cbs/</v>
      </c>
      <c r="C50" s="2"/>
      <c r="D50" s="2" t="s">
        <v>173</v>
      </c>
      <c r="E50" s="5">
        <v>45707</v>
      </c>
      <c r="F50" s="2" t="s">
        <v>174</v>
      </c>
      <c r="G50" s="2">
        <v>43166</v>
      </c>
      <c r="H50" s="2">
        <v>0</v>
      </c>
      <c r="I50" s="2">
        <v>0</v>
      </c>
      <c r="J50" s="2">
        <v>23</v>
      </c>
      <c r="K50" s="2" t="s">
        <v>28</v>
      </c>
      <c r="L50" s="4">
        <v>399.29</v>
      </c>
      <c r="M50" s="2"/>
      <c r="N50" t="s">
        <v>492</v>
      </c>
      <c r="O50" t="s">
        <v>492</v>
      </c>
    </row>
    <row r="51" spans="1:15" ht="118.8" x14ac:dyDescent="0.3">
      <c r="A51" s="2" t="s">
        <v>177</v>
      </c>
      <c r="B51" s="2" t="str">
        <f>HYPERLINK("https://www.oursportscentral.com/services/releases/ignite-libero-murr-added-to-pvf-all-star-team/n-6192132")</f>
        <v>https://www.oursportscentral.com/services/releases/ignite-libero-murr-added-to-pvf-all-star-team/n-6192132</v>
      </c>
      <c r="C51" s="2"/>
      <c r="D51" s="2" t="s">
        <v>24</v>
      </c>
      <c r="E51" s="5">
        <v>45705.631944444453</v>
      </c>
      <c r="F51" s="2" t="s">
        <v>178</v>
      </c>
      <c r="G51" s="2">
        <v>62699</v>
      </c>
      <c r="H51" s="2">
        <v>0</v>
      </c>
      <c r="I51" s="2">
        <v>0</v>
      </c>
      <c r="J51" s="2">
        <v>0</v>
      </c>
      <c r="K51" s="2" t="s">
        <v>28</v>
      </c>
      <c r="L51" s="4">
        <v>579.97</v>
      </c>
      <c r="M51" s="2"/>
      <c r="N51" t="s">
        <v>492</v>
      </c>
      <c r="O51" t="s">
        <v>492</v>
      </c>
    </row>
    <row r="52" spans="1:15" ht="145.19999999999999" x14ac:dyDescent="0.3">
      <c r="A52" s="2" t="s">
        <v>179</v>
      </c>
      <c r="B52" s="2" t="str">
        <f>HYPERLINK("https://provolleyball.com/all-star-match")</f>
        <v>https://provolleyball.com/all-star-match</v>
      </c>
      <c r="C52" s="2"/>
      <c r="D52" s="2" t="s">
        <v>180</v>
      </c>
      <c r="E52" s="5">
        <v>45705.559849537043</v>
      </c>
      <c r="F52" s="2" t="s">
        <v>181</v>
      </c>
      <c r="G52" s="2"/>
      <c r="H52" s="2">
        <v>1</v>
      </c>
      <c r="I52" s="2">
        <v>8435</v>
      </c>
      <c r="J52" s="2">
        <v>13</v>
      </c>
      <c r="K52" s="2" t="s">
        <v>25</v>
      </c>
      <c r="L52" s="2"/>
      <c r="M52" s="2"/>
      <c r="N52" t="s">
        <v>494</v>
      </c>
      <c r="O52" t="s">
        <v>514</v>
      </c>
    </row>
    <row r="53" spans="1:15" ht="79.2" x14ac:dyDescent="0.3">
      <c r="A53" s="2" t="s">
        <v>183</v>
      </c>
      <c r="B53" s="2" t="str">
        <f>HYPERLINK("https://indy-ignite-pro-volleyball.muckrack.com/link/eGDQuK/atlanta-vibe-volleyball-topples-indy-ignite")</f>
        <v>https://indy-ignite-pro-volleyball.muckrack.com/link/eGDQuK/atlanta-vibe-volleyball-topples-indy-ignite</v>
      </c>
      <c r="C53" s="2"/>
      <c r="D53" s="2" t="s">
        <v>142</v>
      </c>
      <c r="E53" s="5">
        <v>45705.291666666657</v>
      </c>
      <c r="F53" s="2" t="s">
        <v>184</v>
      </c>
      <c r="G53" s="2"/>
      <c r="H53" s="2">
        <v>0</v>
      </c>
      <c r="I53" s="2">
        <v>0</v>
      </c>
      <c r="J53" s="2">
        <v>0</v>
      </c>
      <c r="K53" s="2" t="s">
        <v>25</v>
      </c>
      <c r="L53" s="4">
        <v>38341</v>
      </c>
      <c r="M53" s="2"/>
      <c r="N53" t="s">
        <v>499</v>
      </c>
      <c r="O53" t="s">
        <v>492</v>
      </c>
    </row>
    <row r="54" spans="1:15" ht="79.2" x14ac:dyDescent="0.3">
      <c r="A54" s="2" t="s">
        <v>185</v>
      </c>
      <c r="B54" s="2" t="str">
        <f>HYPERLINK("https://indy-ignite-pro-volleyball.muckrack.com/link/eGSeAU/jalen-rose-on-his-favorite-pacers-memory-being-a-volleyball-dad-and-nil")</f>
        <v>https://indy-ignite-pro-volleyball.muckrack.com/link/eGSeAU/jalen-rose-on-his-favorite-pacers-memory-being-a-volleyball-dad-and-nil</v>
      </c>
      <c r="C54" s="2" t="s">
        <v>186</v>
      </c>
      <c r="D54" s="2" t="s">
        <v>66</v>
      </c>
      <c r="E54" s="5">
        <v>45705.291666666657</v>
      </c>
      <c r="F54" s="2" t="s">
        <v>187</v>
      </c>
      <c r="G54" s="2"/>
      <c r="H54" s="2">
        <v>0</v>
      </c>
      <c r="I54" s="2">
        <v>0</v>
      </c>
      <c r="J54" s="2">
        <v>0</v>
      </c>
      <c r="K54" s="2" t="s">
        <v>28</v>
      </c>
      <c r="L54" s="4">
        <v>21007</v>
      </c>
      <c r="M54" s="2"/>
      <c r="N54" t="s">
        <v>437</v>
      </c>
      <c r="O54" t="s">
        <v>513</v>
      </c>
    </row>
    <row r="55" spans="1:15" ht="52.8" x14ac:dyDescent="0.3">
      <c r="A55" s="2" t="s">
        <v>188</v>
      </c>
      <c r="B55" s="2" t="str">
        <f>HYPERLINK("https://www.sportsbusinessjournal.com/Articles/2025/02/17/reaching-new-heights/")</f>
        <v>https://www.sportsbusinessjournal.com/Articles/2025/02/17/reaching-new-heights/</v>
      </c>
      <c r="C55" s="2" t="s">
        <v>189</v>
      </c>
      <c r="D55" s="2" t="s">
        <v>190</v>
      </c>
      <c r="E55" s="5">
        <v>45705.25</v>
      </c>
      <c r="F55" s="2" t="s">
        <v>191</v>
      </c>
      <c r="G55" s="2">
        <v>502817</v>
      </c>
      <c r="H55" s="2">
        <v>0</v>
      </c>
      <c r="I55" s="2">
        <v>0</v>
      </c>
      <c r="J55" s="2">
        <v>7</v>
      </c>
      <c r="K55" s="2" t="s">
        <v>28</v>
      </c>
      <c r="L55" s="4">
        <v>4651.0600000000004</v>
      </c>
      <c r="M55" s="2"/>
      <c r="N55" t="s">
        <v>494</v>
      </c>
      <c r="O55" t="s">
        <v>514</v>
      </c>
    </row>
    <row r="56" spans="1:15" ht="79.2" x14ac:dyDescent="0.3">
      <c r="A56" s="2" t="s">
        <v>185</v>
      </c>
      <c r="B56" s="2" t="str">
        <f>HYPERLINK("https://sports.yahoo.com/jalen-rose-favorite-pacers-memory-095026623.html")</f>
        <v>https://sports.yahoo.com/jalen-rose-favorite-pacers-memory-095026623.html</v>
      </c>
      <c r="C56" s="2" t="s">
        <v>186</v>
      </c>
      <c r="D56" s="2" t="s">
        <v>85</v>
      </c>
      <c r="E56" s="5">
        <v>45705.201689814807</v>
      </c>
      <c r="F56" s="2" t="s">
        <v>192</v>
      </c>
      <c r="G56" s="2">
        <v>23223632</v>
      </c>
      <c r="H56" s="2">
        <v>0</v>
      </c>
      <c r="I56" s="2">
        <v>0</v>
      </c>
      <c r="J56" s="2">
        <v>0</v>
      </c>
      <c r="K56" s="2" t="s">
        <v>28</v>
      </c>
      <c r="L56" s="4">
        <v>214818.6</v>
      </c>
      <c r="M56" s="2"/>
      <c r="N56" t="s">
        <v>492</v>
      </c>
      <c r="O56" t="s">
        <v>492</v>
      </c>
    </row>
    <row r="57" spans="1:15" ht="79.2" x14ac:dyDescent="0.3">
      <c r="A57" s="2" t="s">
        <v>185</v>
      </c>
      <c r="B57" s="2" t="str">
        <f>HYPERLINK("https://www.indystar.com/story/sports/2025/02/17/jalen-rose-pacers-nil-fab-5-volleyball-dad/78230667007/")</f>
        <v>https://www.indystar.com/story/sports/2025/02/17/jalen-rose-pacers-nil-fab-5-volleyball-dad/78230667007/</v>
      </c>
      <c r="C57" s="2"/>
      <c r="D57" s="2" t="s">
        <v>66</v>
      </c>
      <c r="E57" s="5">
        <v>45705.201689814807</v>
      </c>
      <c r="F57" s="2" t="s">
        <v>192</v>
      </c>
      <c r="G57" s="2">
        <v>3191890</v>
      </c>
      <c r="H57" s="2">
        <v>1</v>
      </c>
      <c r="I57" s="2">
        <v>16116</v>
      </c>
      <c r="J57" s="2">
        <v>127</v>
      </c>
      <c r="K57" s="2" t="s">
        <v>28</v>
      </c>
      <c r="L57" s="4">
        <v>29524.98</v>
      </c>
      <c r="M57" s="2"/>
      <c r="N57" t="s">
        <v>437</v>
      </c>
      <c r="O57" t="s">
        <v>513</v>
      </c>
    </row>
    <row r="58" spans="1:15" ht="105.6" x14ac:dyDescent="0.3">
      <c r="A58" s="2" t="s">
        <v>183</v>
      </c>
      <c r="B58" s="2" t="str">
        <f>HYPERLINK("https://www.gwinnettdailypost.com/sports/atlanta-vibe-volleyball-topples-indy-ignite/article_e48fd0d6-ecec-11ef-9e07-779d879040c7.html")</f>
        <v>https://www.gwinnettdailypost.com/sports/atlanta-vibe-volleyball-topples-indy-ignite/article_e48fd0d6-ecec-11ef-9e07-779d879040c7.html</v>
      </c>
      <c r="C58" s="2"/>
      <c r="D58" s="2" t="s">
        <v>142</v>
      </c>
      <c r="E58" s="5">
        <v>45705.073101851849</v>
      </c>
      <c r="F58" s="2" t="s">
        <v>193</v>
      </c>
      <c r="G58" s="2">
        <v>134281</v>
      </c>
      <c r="H58" s="2">
        <v>0</v>
      </c>
      <c r="I58" s="2">
        <v>0</v>
      </c>
      <c r="J58" s="2">
        <v>1</v>
      </c>
      <c r="K58" s="2" t="s">
        <v>25</v>
      </c>
      <c r="L58" s="4">
        <v>1242.0999999999999</v>
      </c>
      <c r="M58" s="2"/>
      <c r="N58" t="s">
        <v>499</v>
      </c>
      <c r="O58" t="s">
        <v>492</v>
      </c>
    </row>
    <row r="59" spans="1:15" ht="66" x14ac:dyDescent="0.3">
      <c r="A59" s="2" t="s">
        <v>194</v>
      </c>
      <c r="B59" s="2" t="str">
        <f>HYPERLINK("https://www.wthr.com/article/sports/local-sports/indy-ignite-lose-five-set-thriller-against-vibe-atlanta-pro-volleyball-federation/531-a788416d-a163-4d55-9ff8-50b8eaa1d276")</f>
        <v>https://www.wthr.com/article/sports/local-sports/indy-ignite-lose-five-set-thriller-against-vibe-atlanta-pro-volleyball-federation/531-a788416d-a163-4d55-9ff8-50b8eaa1d276</v>
      </c>
      <c r="C59" s="2"/>
      <c r="D59" s="2" t="s">
        <v>32</v>
      </c>
      <c r="E59" s="5">
        <v>45705.039953703701</v>
      </c>
      <c r="F59" s="2" t="s">
        <v>195</v>
      </c>
      <c r="G59" s="2">
        <v>1401295</v>
      </c>
      <c r="H59" s="2">
        <v>0</v>
      </c>
      <c r="I59" s="2">
        <v>0</v>
      </c>
      <c r="J59" s="2">
        <v>10</v>
      </c>
      <c r="K59" s="2" t="s">
        <v>25</v>
      </c>
      <c r="L59" s="4">
        <v>12961.98</v>
      </c>
      <c r="M59" s="2"/>
      <c r="N59" t="s">
        <v>437</v>
      </c>
      <c r="O59" t="s">
        <v>513</v>
      </c>
    </row>
    <row r="60" spans="1:15" ht="39.6" x14ac:dyDescent="0.3">
      <c r="A60" s="2" t="s">
        <v>183</v>
      </c>
      <c r="B60" s="2" t="str">
        <f>HYPERLINK("https://article.wn.com/view/2025/02/17/Atlanta_Vibe_Volleyball_Topples_Indy_Ignite/")</f>
        <v>https://article.wn.com/view/2025/02/17/Atlanta_Vibe_Volleyball_Topples_Indy_Ignite/</v>
      </c>
      <c r="C60" s="2"/>
      <c r="D60" s="2" t="s">
        <v>196</v>
      </c>
      <c r="E60" s="5">
        <v>45705</v>
      </c>
      <c r="F60" s="2"/>
      <c r="G60" s="2">
        <v>220681</v>
      </c>
      <c r="H60" s="2"/>
      <c r="I60" s="2"/>
      <c r="J60" s="2"/>
      <c r="K60" s="2"/>
      <c r="L60" s="4">
        <v>2041.3</v>
      </c>
      <c r="M60" s="2"/>
      <c r="N60" t="s">
        <v>494</v>
      </c>
      <c r="O60" t="s">
        <v>514</v>
      </c>
    </row>
    <row r="61" spans="1:15" ht="79.2" x14ac:dyDescent="0.3">
      <c r="A61" s="2" t="s">
        <v>197</v>
      </c>
      <c r="B61" s="2" t="str">
        <f>HYPERLINK("https://www.oursportscentral.com/services/releases/ignite-fall-just-shy-in-five-set-loss-at-atlanta/n-6192008")</f>
        <v>https://www.oursportscentral.com/services/releases/ignite-fall-just-shy-in-five-set-loss-at-atlanta/n-6192008</v>
      </c>
      <c r="C61" s="2"/>
      <c r="D61" s="2" t="s">
        <v>24</v>
      </c>
      <c r="E61" s="5">
        <v>45704.845138888893</v>
      </c>
      <c r="F61" s="2" t="s">
        <v>198</v>
      </c>
      <c r="G61" s="2">
        <v>62699</v>
      </c>
      <c r="H61" s="2">
        <v>0</v>
      </c>
      <c r="I61" s="2">
        <v>0</v>
      </c>
      <c r="J61" s="2">
        <v>0</v>
      </c>
      <c r="K61" s="2" t="s">
        <v>25</v>
      </c>
      <c r="L61" s="4">
        <v>579.97</v>
      </c>
      <c r="M61" s="2"/>
      <c r="N61" t="s">
        <v>492</v>
      </c>
      <c r="O61" t="s">
        <v>492</v>
      </c>
    </row>
    <row r="62" spans="1:15" ht="92.4" x14ac:dyDescent="0.3">
      <c r="A62" s="2" t="s">
        <v>199</v>
      </c>
      <c r="B62" s="2" t="str">
        <f>HYPERLINK("https://www.oursportscentral.com/services/releases/vibe-conquer-ignite-in-five-set-match/n-6192006")</f>
        <v>https://www.oursportscentral.com/services/releases/vibe-conquer-ignite-in-five-set-match/n-6192006</v>
      </c>
      <c r="C62" s="2"/>
      <c r="D62" s="2" t="s">
        <v>24</v>
      </c>
      <c r="E62" s="5">
        <v>45704.845138888893</v>
      </c>
      <c r="F62" s="2" t="s">
        <v>200</v>
      </c>
      <c r="G62" s="2">
        <v>62699</v>
      </c>
      <c r="H62" s="2">
        <v>0</v>
      </c>
      <c r="I62" s="2">
        <v>0</v>
      </c>
      <c r="J62" s="2">
        <v>0</v>
      </c>
      <c r="K62" s="2" t="s">
        <v>25</v>
      </c>
      <c r="L62" s="4">
        <v>579.97</v>
      </c>
      <c r="M62" s="2"/>
      <c r="N62" t="s">
        <v>492</v>
      </c>
      <c r="O62" t="s">
        <v>492</v>
      </c>
    </row>
    <row r="63" spans="1:15" ht="145.19999999999999" x14ac:dyDescent="0.3">
      <c r="A63" s="2" t="s">
        <v>201</v>
      </c>
      <c r="B63" s="2" t="str">
        <f>HYPERLINK("https://www.keepingupincarmel.com/post/the-in-list-2024-2-17-2-23")</f>
        <v>https://www.keepingupincarmel.com/post/the-in-list-2024-2-17-2-23</v>
      </c>
      <c r="C63" s="2" t="s">
        <v>79</v>
      </c>
      <c r="D63" s="2" t="s">
        <v>80</v>
      </c>
      <c r="E63" s="5">
        <v>45704.663310185177</v>
      </c>
      <c r="F63" s="2" t="s">
        <v>202</v>
      </c>
      <c r="G63" s="2">
        <v>473</v>
      </c>
      <c r="H63" s="2">
        <v>0</v>
      </c>
      <c r="I63" s="2">
        <v>0</v>
      </c>
      <c r="J63" s="2">
        <v>0</v>
      </c>
      <c r="K63" s="2" t="s">
        <v>25</v>
      </c>
      <c r="L63" s="4">
        <v>4.38</v>
      </c>
      <c r="M63" s="2"/>
      <c r="N63" t="s">
        <v>496</v>
      </c>
      <c r="O63" t="s">
        <v>513</v>
      </c>
    </row>
    <row r="64" spans="1:15" ht="132" x14ac:dyDescent="0.3">
      <c r="A64" s="2" t="s">
        <v>203</v>
      </c>
      <c r="B64" s="2" t="str">
        <f>HYPERLINK("https://www.si.com/onsi/athlete-lifestyle/relationships/caitlin-clark-cheers-boyfriend-connor-mccaffery-butler-basketball")</f>
        <v>https://www.si.com/onsi/athlete-lifestyle/relationships/caitlin-clark-cheers-boyfriend-connor-mccaffery-butler-basketball</v>
      </c>
      <c r="C64" s="2" t="s">
        <v>204</v>
      </c>
      <c r="D64" s="2" t="s">
        <v>205</v>
      </c>
      <c r="E64" s="5">
        <v>45704.42800925926</v>
      </c>
      <c r="F64" s="2" t="s">
        <v>206</v>
      </c>
      <c r="G64" s="2">
        <v>32744612</v>
      </c>
      <c r="H64" s="2">
        <v>0</v>
      </c>
      <c r="I64" s="2">
        <v>0</v>
      </c>
      <c r="J64" s="2">
        <v>0</v>
      </c>
      <c r="K64" s="2" t="s">
        <v>28</v>
      </c>
      <c r="L64" s="4">
        <v>302887.65999999997</v>
      </c>
      <c r="M64" s="2"/>
      <c r="N64" t="s">
        <v>492</v>
      </c>
      <c r="O64" t="s">
        <v>492</v>
      </c>
    </row>
    <row r="65" spans="1:15" ht="211.2" x14ac:dyDescent="0.3">
      <c r="A65" s="2" t="s">
        <v>51</v>
      </c>
      <c r="B65" s="2" t="str">
        <f>HYPERLINK("https://indy-ignite-pro-volleyball.muckrack.com/link/eGM3P2/on-the-air")</f>
        <v>https://indy-ignite-pro-volleyball.muckrack.com/link/eGM3P2/on-the-air</v>
      </c>
      <c r="C65" s="2"/>
      <c r="D65" s="2" t="s">
        <v>38</v>
      </c>
      <c r="E65" s="5">
        <v>45704.291666666657</v>
      </c>
      <c r="F65" s="2" t="s">
        <v>207</v>
      </c>
      <c r="G65" s="2"/>
      <c r="H65" s="2">
        <v>0</v>
      </c>
      <c r="I65" s="2">
        <v>0</v>
      </c>
      <c r="J65" s="2">
        <v>0</v>
      </c>
      <c r="K65" s="2" t="s">
        <v>28</v>
      </c>
      <c r="L65" s="4">
        <v>7812</v>
      </c>
      <c r="M65" s="2"/>
      <c r="N65" t="s">
        <v>493</v>
      </c>
      <c r="O65" t="s">
        <v>513</v>
      </c>
    </row>
    <row r="66" spans="1:15" ht="39.6" x14ac:dyDescent="0.3">
      <c r="A66" s="2" t="s">
        <v>208</v>
      </c>
      <c r="B66" s="2" t="str">
        <f>HYPERLINK("https://www.oursportscentral.com/services/releases/vibe-take-on-ignite-for-hbcu-night/n-6191622")</f>
        <v>https://www.oursportscentral.com/services/releases/vibe-take-on-ignite-for-hbcu-night/n-6191622</v>
      </c>
      <c r="C66" s="2"/>
      <c r="D66" s="2" t="s">
        <v>24</v>
      </c>
      <c r="E66" s="5">
        <v>45703.712500000001</v>
      </c>
      <c r="F66" s="2" t="s">
        <v>209</v>
      </c>
      <c r="G66" s="2">
        <v>62699</v>
      </c>
      <c r="H66" s="2">
        <v>0</v>
      </c>
      <c r="I66" s="2">
        <v>0</v>
      </c>
      <c r="J66" s="2">
        <v>0</v>
      </c>
      <c r="K66" s="2" t="s">
        <v>25</v>
      </c>
      <c r="L66" s="4">
        <v>579.97</v>
      </c>
      <c r="M66" s="2"/>
      <c r="N66" t="s">
        <v>492</v>
      </c>
      <c r="O66" t="s">
        <v>492</v>
      </c>
    </row>
    <row r="67" spans="1:15" ht="92.4" x14ac:dyDescent="0.3">
      <c r="A67" s="2" t="s">
        <v>210</v>
      </c>
      <c r="B67" s="2" t="str">
        <f>HYPERLINK("https://www.youarecurrent.com/2025/02/15/indy-ignite-ready-to-host-pvf-all-star-match/")</f>
        <v>https://www.youarecurrent.com/2025/02/15/indy-ignite-ready-to-host-pvf-all-star-match/</v>
      </c>
      <c r="C67" s="2" t="s">
        <v>59</v>
      </c>
      <c r="D67" s="2" t="s">
        <v>60</v>
      </c>
      <c r="E67" s="5">
        <v>45703.486886574072</v>
      </c>
      <c r="F67" s="2" t="s">
        <v>211</v>
      </c>
      <c r="G67" s="2">
        <v>45871</v>
      </c>
      <c r="H67" s="2">
        <v>0</v>
      </c>
      <c r="I67" s="2">
        <v>0</v>
      </c>
      <c r="J67" s="2">
        <v>10</v>
      </c>
      <c r="K67" s="2" t="s">
        <v>28</v>
      </c>
      <c r="L67" s="4">
        <v>424.31</v>
      </c>
      <c r="M67" s="2"/>
      <c r="N67" t="s">
        <v>437</v>
      </c>
      <c r="O67" t="s">
        <v>513</v>
      </c>
    </row>
    <row r="68" spans="1:15" ht="92.4" x14ac:dyDescent="0.3">
      <c r="A68" s="2" t="s">
        <v>210</v>
      </c>
      <c r="B68" s="2" t="str">
        <f>HYPERLINK("https://indy-ignite-pro-volleyball.muckrack.com/link/eG0eAn/indy-ignite-ready-to-host-pvf-all-star-match")</f>
        <v>https://indy-ignite-pro-volleyball.muckrack.com/link/eG0eAn/indy-ignite-ready-to-host-pvf-all-star-match</v>
      </c>
      <c r="C68" s="2" t="s">
        <v>59</v>
      </c>
      <c r="D68" s="2" t="s">
        <v>69</v>
      </c>
      <c r="E68" s="5">
        <v>45703.291666666657</v>
      </c>
      <c r="F68" s="2" t="s">
        <v>211</v>
      </c>
      <c r="G68" s="2"/>
      <c r="H68" s="2">
        <v>0</v>
      </c>
      <c r="I68" s="2">
        <v>0</v>
      </c>
      <c r="J68" s="2">
        <v>0</v>
      </c>
      <c r="K68" s="2" t="s">
        <v>28</v>
      </c>
      <c r="L68" s="4">
        <v>515</v>
      </c>
      <c r="M68" s="2"/>
      <c r="N68" t="s">
        <v>495</v>
      </c>
      <c r="O68" t="s">
        <v>513</v>
      </c>
    </row>
    <row r="69" spans="1:15" ht="66" x14ac:dyDescent="0.3">
      <c r="A69" s="2" t="s">
        <v>212</v>
      </c>
      <c r="B69" s="2" t="str">
        <f>HYPERLINK("https://indy-ignite-pro-volleyball.muckrack.com/link/eGnB6j/indy-preps-for-pvb-all-star-match")</f>
        <v>https://indy-ignite-pro-volleyball.muckrack.com/link/eGnB6j/indy-preps-for-pvb-all-star-match</v>
      </c>
      <c r="C69" s="2"/>
      <c r="D69" s="2" t="s">
        <v>92</v>
      </c>
      <c r="E69" s="5">
        <v>45703.291666666657</v>
      </c>
      <c r="F69" s="2" t="s">
        <v>213</v>
      </c>
      <c r="G69" s="2"/>
      <c r="H69" s="2">
        <v>0</v>
      </c>
      <c r="I69" s="2">
        <v>0</v>
      </c>
      <c r="J69" s="2">
        <v>0</v>
      </c>
      <c r="K69" s="2" t="s">
        <v>28</v>
      </c>
      <c r="L69" s="4">
        <v>4724</v>
      </c>
      <c r="M69" s="2"/>
      <c r="N69" t="s">
        <v>497</v>
      </c>
      <c r="O69" t="s">
        <v>513</v>
      </c>
    </row>
    <row r="70" spans="1:15" ht="52.8" x14ac:dyDescent="0.3">
      <c r="A70" s="2" t="s">
        <v>51</v>
      </c>
      <c r="B70" s="2" t="str">
        <f>HYPERLINK("https://indy-ignite-pro-volleyball.muckrack.com/link/eGiyIr/on-the-air")</f>
        <v>https://indy-ignite-pro-volleyball.muckrack.com/link/eGiyIr/on-the-air</v>
      </c>
      <c r="C70" s="2"/>
      <c r="D70" s="2" t="s">
        <v>38</v>
      </c>
      <c r="E70" s="5">
        <v>45703.291666666657</v>
      </c>
      <c r="F70" s="2" t="s">
        <v>214</v>
      </c>
      <c r="G70" s="2"/>
      <c r="H70" s="2">
        <v>0</v>
      </c>
      <c r="I70" s="2">
        <v>0</v>
      </c>
      <c r="J70" s="2">
        <v>0</v>
      </c>
      <c r="K70" s="2" t="s">
        <v>28</v>
      </c>
      <c r="L70" s="4">
        <v>7812</v>
      </c>
      <c r="M70" s="2"/>
      <c r="N70" t="s">
        <v>493</v>
      </c>
      <c r="O70" t="s">
        <v>513</v>
      </c>
    </row>
    <row r="71" spans="1:15" ht="118.8" x14ac:dyDescent="0.3">
      <c r="A71" s="2" t="s">
        <v>215</v>
      </c>
      <c r="B71" s="2" t="str">
        <f>HYPERLINK("https://expressdigest.com/caitlin-clarks-boyfriend-shares-heartfelt-valentines-day-post-for-wnba-star/")</f>
        <v>https://expressdigest.com/caitlin-clarks-boyfriend-shares-heartfelt-valentines-day-post-for-wnba-star/</v>
      </c>
      <c r="C71" s="2" t="s">
        <v>216</v>
      </c>
      <c r="D71" s="2" t="s">
        <v>217</v>
      </c>
      <c r="E71" s="5">
        <v>45702.924212962957</v>
      </c>
      <c r="F71" s="2" t="s">
        <v>218</v>
      </c>
      <c r="G71" s="2">
        <v>29283</v>
      </c>
      <c r="H71" s="2">
        <v>0</v>
      </c>
      <c r="I71" s="2">
        <v>0</v>
      </c>
      <c r="J71" s="2">
        <v>0</v>
      </c>
      <c r="K71" s="2" t="s">
        <v>28</v>
      </c>
      <c r="L71" s="4">
        <v>270.87</v>
      </c>
      <c r="M71" s="2"/>
      <c r="N71" t="s">
        <v>494</v>
      </c>
      <c r="O71" t="s">
        <v>514</v>
      </c>
    </row>
    <row r="72" spans="1:15" ht="52.8" x14ac:dyDescent="0.3">
      <c r="A72" s="2" t="s">
        <v>215</v>
      </c>
      <c r="B72" s="2" t="str">
        <f>HYPERLINK("https://uk-times.com/caitlin-clarks-boyfriend-shares-heartfelt-valentines-day-post-for-wnba-star/")</f>
        <v>https://uk-times.com/caitlin-clarks-boyfriend-shares-heartfelt-valentines-day-post-for-wnba-star/</v>
      </c>
      <c r="C72" s="2"/>
      <c r="D72" s="2" t="s">
        <v>219</v>
      </c>
      <c r="E72" s="5">
        <v>45702.915763888886</v>
      </c>
      <c r="F72" s="2" t="s">
        <v>220</v>
      </c>
      <c r="G72" s="2">
        <v>4418</v>
      </c>
      <c r="H72" s="2">
        <v>0</v>
      </c>
      <c r="I72" s="2">
        <v>0</v>
      </c>
      <c r="J72" s="2">
        <v>0</v>
      </c>
      <c r="K72" s="2" t="s">
        <v>28</v>
      </c>
      <c r="L72" s="4">
        <v>40.869999999999997</v>
      </c>
      <c r="M72" s="2"/>
      <c r="N72" t="s">
        <v>494</v>
      </c>
      <c r="O72" t="s">
        <v>514</v>
      </c>
    </row>
    <row r="73" spans="1:15" ht="52.8" x14ac:dyDescent="0.3">
      <c r="A73" s="2" t="s">
        <v>215</v>
      </c>
      <c r="B73" s="2" t="str">
        <f>HYPERLINK("https://thebritishclub.co.uk/caitlin-clarks-boyfriend-shares-heartfelt-valentines-day-post-for-wnba-star/")</f>
        <v>https://thebritishclub.co.uk/caitlin-clarks-boyfriend-shares-heartfelt-valentines-day-post-for-wnba-star/</v>
      </c>
      <c r="C73" s="2"/>
      <c r="D73" s="2" t="s">
        <v>221</v>
      </c>
      <c r="E73" s="5">
        <v>45702.875543981478</v>
      </c>
      <c r="F73" s="2" t="s">
        <v>220</v>
      </c>
      <c r="G73" s="2"/>
      <c r="H73" s="2">
        <v>0</v>
      </c>
      <c r="I73" s="2">
        <v>0</v>
      </c>
      <c r="J73" s="2">
        <v>0</v>
      </c>
      <c r="K73" s="2" t="s">
        <v>28</v>
      </c>
      <c r="L73" s="2"/>
      <c r="M73" s="2"/>
      <c r="N73" t="s">
        <v>494</v>
      </c>
      <c r="O73" t="s">
        <v>514</v>
      </c>
    </row>
    <row r="74" spans="1:15" ht="52.8" x14ac:dyDescent="0.3">
      <c r="A74" s="2" t="s">
        <v>222</v>
      </c>
      <c r="B74" s="2" t="str">
        <f>HYPERLINK("https://www.dailymail.co.uk/sport/wnba/article-14400067/caitlin-clark-boyfriend-valentines-day-post.html")</f>
        <v>https://www.dailymail.co.uk/sport/wnba/article-14400067/caitlin-clark-boyfriend-valentines-day-post.html</v>
      </c>
      <c r="C74" s="2" t="s">
        <v>216</v>
      </c>
      <c r="D74" s="2" t="s">
        <v>223</v>
      </c>
      <c r="E74" s="5">
        <v>45702.866435185177</v>
      </c>
      <c r="F74" s="2" t="s">
        <v>224</v>
      </c>
      <c r="G74" s="2">
        <v>61968441</v>
      </c>
      <c r="H74" s="2">
        <v>0</v>
      </c>
      <c r="I74" s="2">
        <v>0</v>
      </c>
      <c r="J74" s="2">
        <v>0</v>
      </c>
      <c r="K74" s="2" t="s">
        <v>28</v>
      </c>
      <c r="L74" s="4">
        <v>573208.07999999996</v>
      </c>
      <c r="M74" s="2"/>
      <c r="N74" t="s">
        <v>494</v>
      </c>
      <c r="O74" t="s">
        <v>514</v>
      </c>
    </row>
    <row r="75" spans="1:15" ht="52.8" x14ac:dyDescent="0.3">
      <c r="A75" s="2" t="s">
        <v>225</v>
      </c>
      <c r="B75" s="2" t="str">
        <f>HYPERLINK("https://nybreaking.com/caitlin-clarks-boyfriend-shares-heartfelt-valentines-day-post-for-wnba-star/")</f>
        <v>https://nybreaking.com/caitlin-clarks-boyfriend-shares-heartfelt-valentines-day-post-for-wnba-star/</v>
      </c>
      <c r="C75" s="2"/>
      <c r="D75" s="2" t="s">
        <v>226</v>
      </c>
      <c r="E75" s="5">
        <v>45702.864583333343</v>
      </c>
      <c r="F75" s="2" t="s">
        <v>227</v>
      </c>
      <c r="G75" s="2">
        <v>23397</v>
      </c>
      <c r="H75" s="2">
        <v>0</v>
      </c>
      <c r="I75" s="2">
        <v>0</v>
      </c>
      <c r="J75" s="2">
        <v>0</v>
      </c>
      <c r="K75" s="2" t="s">
        <v>28</v>
      </c>
      <c r="L75" s="4">
        <v>216.42</v>
      </c>
      <c r="M75" s="2"/>
      <c r="N75" t="s">
        <v>501</v>
      </c>
      <c r="O75" t="s">
        <v>492</v>
      </c>
    </row>
    <row r="76" spans="1:15" ht="105.6" x14ac:dyDescent="0.3">
      <c r="A76" s="2" t="s">
        <v>228</v>
      </c>
      <c r="B76" s="2" t="str">
        <f>HYPERLINK("https://www.oursportscentral.com/services/releases/indianapolis-cultural-organization-ganggang-to-curate-fan-experience-for-pro-volleyball-federation-indy-ignite/n-6191257")</f>
        <v>https://www.oursportscentral.com/services/releases/indianapolis-cultural-organization-ganggang-to-curate-fan-experience-for-pro-volleyball-federation-indy-ignite/n-6191257</v>
      </c>
      <c r="C76" s="2"/>
      <c r="D76" s="2" t="s">
        <v>24</v>
      </c>
      <c r="E76" s="5">
        <v>45702.547222222223</v>
      </c>
      <c r="F76" s="2" t="s">
        <v>229</v>
      </c>
      <c r="G76" s="2">
        <v>62699</v>
      </c>
      <c r="H76" s="2">
        <v>0</v>
      </c>
      <c r="I76" s="2">
        <v>0</v>
      </c>
      <c r="J76" s="2">
        <v>0</v>
      </c>
      <c r="K76" s="2" t="s">
        <v>28</v>
      </c>
      <c r="L76" s="4">
        <v>579.97</v>
      </c>
      <c r="M76" s="2"/>
      <c r="N76" t="s">
        <v>492</v>
      </c>
      <c r="O76" t="s">
        <v>492</v>
      </c>
    </row>
    <row r="77" spans="1:15" ht="66" x14ac:dyDescent="0.3">
      <c r="A77" s="2" t="s">
        <v>230</v>
      </c>
      <c r="B77" s="2" t="str">
        <f>HYPERLINK("https://www.ibj.com/articles/indianapolis-musicians-to-perform-at-pro-volleyball-federation-all-star-match")</f>
        <v>https://www.ibj.com/articles/indianapolis-musicians-to-perform-at-pro-volleyball-federation-all-star-match</v>
      </c>
      <c r="C77" s="2"/>
      <c r="D77" s="2" t="s">
        <v>76</v>
      </c>
      <c r="E77" s="5">
        <v>45702.418449074074</v>
      </c>
      <c r="F77" s="2" t="s">
        <v>231</v>
      </c>
      <c r="G77" s="2">
        <v>96182</v>
      </c>
      <c r="H77" s="2">
        <v>0</v>
      </c>
      <c r="I77" s="2">
        <v>0</v>
      </c>
      <c r="J77" s="2">
        <v>18</v>
      </c>
      <c r="K77" s="2" t="s">
        <v>28</v>
      </c>
      <c r="L77" s="4">
        <v>889.68</v>
      </c>
      <c r="M77" s="2"/>
      <c r="N77" t="s">
        <v>437</v>
      </c>
      <c r="O77" t="s">
        <v>513</v>
      </c>
    </row>
    <row r="78" spans="1:15" ht="92.4" x14ac:dyDescent="0.3">
      <c r="A78" s="2" t="s">
        <v>232</v>
      </c>
      <c r="B78" s="2" t="str">
        <f>HYPERLINK("https://www.wthr.com/article/sports/local-sports/indy-ignite-cut-off-losing-streak-win-over-san-diego-mojo-womens-sports-pro-volleyball-federation/531-15253a1a-dcaa-4de0-91cb-0f84847525ea")</f>
        <v>https://www.wthr.com/article/sports/local-sports/indy-ignite-cut-off-losing-streak-win-over-san-diego-mojo-womens-sports-pro-volleyball-federation/531-15253a1a-dcaa-4de0-91cb-0f84847525ea</v>
      </c>
      <c r="C78" s="2"/>
      <c r="D78" s="2" t="s">
        <v>32</v>
      </c>
      <c r="E78" s="5">
        <v>45702.206435185188</v>
      </c>
      <c r="F78" s="2" t="s">
        <v>233</v>
      </c>
      <c r="G78" s="2">
        <v>1401295</v>
      </c>
      <c r="H78" s="2">
        <v>0</v>
      </c>
      <c r="I78" s="2">
        <v>0</v>
      </c>
      <c r="J78" s="2">
        <v>0</v>
      </c>
      <c r="K78" s="2" t="s">
        <v>25</v>
      </c>
      <c r="L78" s="4">
        <v>12961.98</v>
      </c>
      <c r="M78" s="2"/>
      <c r="N78" t="s">
        <v>437</v>
      </c>
      <c r="O78" t="s">
        <v>513</v>
      </c>
    </row>
    <row r="79" spans="1:15" ht="92.4" x14ac:dyDescent="0.3">
      <c r="A79" s="2" t="s">
        <v>234</v>
      </c>
      <c r="B79" s="2" t="str">
        <f>HYPERLINK("https://www.wthr.com/article/sports/local-sports/3-indy-ignite-players-selected-2025-pvf-all-star-match-professional-volleyball-federation-indianapolis-indiana/531-4bc8630a-23b3-4236-a637-94502e56872d")</f>
        <v>https://www.wthr.com/article/sports/local-sports/3-indy-ignite-players-selected-2025-pvf-all-star-match-professional-volleyball-federation-indianapolis-indiana/531-4bc8630a-23b3-4236-a637-94502e56872d</v>
      </c>
      <c r="C79" s="2"/>
      <c r="D79" s="2" t="s">
        <v>32</v>
      </c>
      <c r="E79" s="5">
        <v>45702.092847222222</v>
      </c>
      <c r="F79" s="2" t="s">
        <v>235</v>
      </c>
      <c r="G79" s="2">
        <v>1401295</v>
      </c>
      <c r="H79" s="2">
        <v>0</v>
      </c>
      <c r="I79" s="2">
        <v>0</v>
      </c>
      <c r="J79" s="2">
        <v>0</v>
      </c>
      <c r="K79" s="2" t="s">
        <v>25</v>
      </c>
      <c r="L79" s="4">
        <v>12961.98</v>
      </c>
      <c r="M79" s="2"/>
      <c r="N79" t="s">
        <v>437</v>
      </c>
      <c r="O79" t="s">
        <v>513</v>
      </c>
    </row>
    <row r="80" spans="1:15" ht="66" x14ac:dyDescent="0.3">
      <c r="A80" s="2" t="s">
        <v>236</v>
      </c>
      <c r="B80" s="2" t="str">
        <f>HYPERLINK("https://www.nuvo.net/entertainment/indy-ignite-rolls-past-the-san-diego-mojo-in-four-sets/collection_2fa7f9ba-eb0b-11ef-97bc-63fc23c576cf.html")</f>
        <v>https://www.nuvo.net/entertainment/indy-ignite-rolls-past-the-san-diego-mojo-in-four-sets/collection_2fa7f9ba-eb0b-11ef-97bc-63fc23c576cf.html</v>
      </c>
      <c r="C80" s="2" t="s">
        <v>138</v>
      </c>
      <c r="D80" s="2" t="s">
        <v>139</v>
      </c>
      <c r="E80" s="5">
        <v>45702</v>
      </c>
      <c r="F80" s="2" t="s">
        <v>237</v>
      </c>
      <c r="G80" s="2">
        <v>16115</v>
      </c>
      <c r="H80" s="2">
        <v>0</v>
      </c>
      <c r="I80" s="2">
        <v>0</v>
      </c>
      <c r="J80" s="2">
        <v>27</v>
      </c>
      <c r="K80" s="2" t="s">
        <v>28</v>
      </c>
      <c r="L80" s="4">
        <v>149.06</v>
      </c>
      <c r="M80" s="2"/>
      <c r="N80" t="s">
        <v>437</v>
      </c>
      <c r="O80" t="s">
        <v>513</v>
      </c>
    </row>
    <row r="81" spans="1:15" ht="105.6" x14ac:dyDescent="0.3">
      <c r="A81" s="2" t="s">
        <v>238</v>
      </c>
      <c r="B81" s="2" t="str">
        <f>HYPERLINK("https://www.oursportscentral.com/services/releases/ignite-fire-back-into-win-column-with-victory-over-san-diego/n-6191078")</f>
        <v>https://www.oursportscentral.com/services/releases/ignite-fire-back-into-win-column-with-victory-over-san-diego/n-6191078</v>
      </c>
      <c r="C81" s="2"/>
      <c r="D81" s="2" t="s">
        <v>24</v>
      </c>
      <c r="E81" s="5">
        <v>45701.861111111109</v>
      </c>
      <c r="F81" s="2" t="s">
        <v>239</v>
      </c>
      <c r="G81" s="2">
        <v>62699</v>
      </c>
      <c r="H81" s="2">
        <v>0</v>
      </c>
      <c r="I81" s="2">
        <v>0</v>
      </c>
      <c r="J81" s="2">
        <v>0</v>
      </c>
      <c r="K81" s="2" t="s">
        <v>28</v>
      </c>
      <c r="L81" s="4">
        <v>579.97</v>
      </c>
      <c r="M81" s="2"/>
      <c r="N81" t="s">
        <v>492</v>
      </c>
      <c r="O81" t="s">
        <v>492</v>
      </c>
    </row>
    <row r="82" spans="1:15" ht="66" x14ac:dyDescent="0.3">
      <c r="A82" s="2" t="s">
        <v>240</v>
      </c>
      <c r="B82" s="2" t="str">
        <f>HYPERLINK("https://www.oursportscentral.com/services/releases/san-diego-mojos-dahlke-scores-24-points-in-four-set-loss-indy-ignite/n-6191011")</f>
        <v>https://www.oursportscentral.com/services/releases/san-diego-mojos-dahlke-scores-24-points-in-four-set-loss-indy-ignite/n-6191011</v>
      </c>
      <c r="C82" s="2"/>
      <c r="D82" s="2" t="s">
        <v>24</v>
      </c>
      <c r="E82" s="5">
        <v>45701.780555555553</v>
      </c>
      <c r="F82" s="2" t="s">
        <v>241</v>
      </c>
      <c r="G82" s="2">
        <v>62699</v>
      </c>
      <c r="H82" s="2">
        <v>0</v>
      </c>
      <c r="I82" s="2">
        <v>0</v>
      </c>
      <c r="J82" s="2">
        <v>0</v>
      </c>
      <c r="K82" s="2" t="s">
        <v>25</v>
      </c>
      <c r="L82" s="4">
        <v>579.97</v>
      </c>
      <c r="M82" s="2"/>
      <c r="N82" t="s">
        <v>492</v>
      </c>
      <c r="O82" t="s">
        <v>492</v>
      </c>
    </row>
    <row r="83" spans="1:15" ht="52.8" x14ac:dyDescent="0.3">
      <c r="A83" s="2" t="s">
        <v>242</v>
      </c>
      <c r="B83" s="2" t="str">
        <f>HYPERLINK("https://wishtv.com/sports/pro-volleyball-federation-all-star-match/")</f>
        <v>https://wishtv.com/sports/pro-volleyball-federation-all-star-match/</v>
      </c>
      <c r="C83" s="2" t="s">
        <v>243</v>
      </c>
      <c r="D83" s="2" t="s">
        <v>100</v>
      </c>
      <c r="E83" s="5">
        <v>45701.772303240738</v>
      </c>
      <c r="F83" s="2" t="s">
        <v>244</v>
      </c>
      <c r="G83" s="2">
        <v>942280</v>
      </c>
      <c r="H83" s="2">
        <v>1</v>
      </c>
      <c r="I83" s="2">
        <v>7665</v>
      </c>
      <c r="J83" s="2">
        <v>44</v>
      </c>
      <c r="K83" s="2" t="s">
        <v>28</v>
      </c>
      <c r="L83" s="4">
        <v>8716.09</v>
      </c>
      <c r="M83" s="2"/>
      <c r="N83" t="s">
        <v>437</v>
      </c>
      <c r="O83" t="s">
        <v>513</v>
      </c>
    </row>
    <row r="84" spans="1:15" ht="158.4" x14ac:dyDescent="0.3">
      <c r="A84" s="2" t="s">
        <v>245</v>
      </c>
      <c r="B84" s="2" t="str">
        <f>HYPERLINK("https://www.newsbreak.com/news/3805194634221-purdue-sports-update-feb-12")</f>
        <v>https://www.newsbreak.com/news/3805194634221-purdue-sports-update-feb-12</v>
      </c>
      <c r="C84" s="2"/>
      <c r="D84" s="2" t="s">
        <v>95</v>
      </c>
      <c r="E84" s="5">
        <v>45701.55059027778</v>
      </c>
      <c r="F84" s="2" t="s">
        <v>246</v>
      </c>
      <c r="G84" s="2">
        <v>21544598</v>
      </c>
      <c r="H84" s="2">
        <v>0</v>
      </c>
      <c r="I84" s="2">
        <v>0</v>
      </c>
      <c r="J84" s="2">
        <v>0</v>
      </c>
      <c r="K84" s="2" t="s">
        <v>25</v>
      </c>
      <c r="L84" s="4">
        <v>199287.53</v>
      </c>
      <c r="M84" s="2"/>
      <c r="N84" t="s">
        <v>492</v>
      </c>
      <c r="O84" t="s">
        <v>492</v>
      </c>
    </row>
    <row r="85" spans="1:15" ht="118.8" x14ac:dyDescent="0.3">
      <c r="A85" s="2" t="s">
        <v>247</v>
      </c>
      <c r="B85" s="2" t="str">
        <f>HYPERLINK("https://www.essentiallysports.com/us-sports-news-volleyball-news-louisville-volleyball-star-faces-harsh-reality-while-returning-to-court-after-long-injury/")</f>
        <v>https://www.essentiallysports.com/us-sports-news-volleyball-news-louisville-volleyball-star-faces-harsh-reality-while-returning-to-court-after-long-injury/</v>
      </c>
      <c r="C85" s="2" t="s">
        <v>248</v>
      </c>
      <c r="D85" s="2" t="s">
        <v>249</v>
      </c>
      <c r="E85" s="5">
        <v>45701.322337962964</v>
      </c>
      <c r="F85" s="2" t="s">
        <v>250</v>
      </c>
      <c r="G85" s="2">
        <v>10912895</v>
      </c>
      <c r="H85" s="2">
        <v>0</v>
      </c>
      <c r="I85" s="2">
        <v>0</v>
      </c>
      <c r="J85" s="2">
        <v>23</v>
      </c>
      <c r="K85" s="2" t="s">
        <v>25</v>
      </c>
      <c r="L85" s="4">
        <v>100944.28</v>
      </c>
      <c r="M85" s="2"/>
      <c r="N85" t="s">
        <v>492</v>
      </c>
      <c r="O85" t="s">
        <v>492</v>
      </c>
    </row>
    <row r="86" spans="1:15" ht="52.8" x14ac:dyDescent="0.3">
      <c r="A86" s="2" t="s">
        <v>251</v>
      </c>
      <c r="B86" s="2" t="str">
        <f>HYPERLINK("https://indy-ignite-pro-volleyball.muckrack.com/link/ePNtB9/3-players-selected-for-all-star-match")</f>
        <v>https://indy-ignite-pro-volleyball.muckrack.com/link/ePNtB9/3-players-selected-for-all-star-match</v>
      </c>
      <c r="C86" s="2"/>
      <c r="D86" s="2" t="s">
        <v>66</v>
      </c>
      <c r="E86" s="5">
        <v>45701.291666666657</v>
      </c>
      <c r="F86" s="2" t="s">
        <v>252</v>
      </c>
      <c r="G86" s="2"/>
      <c r="H86" s="2">
        <v>0</v>
      </c>
      <c r="I86" s="2">
        <v>0</v>
      </c>
      <c r="J86" s="2">
        <v>0</v>
      </c>
      <c r="K86" s="2" t="s">
        <v>28</v>
      </c>
      <c r="L86" s="4">
        <v>21007</v>
      </c>
      <c r="M86" s="2"/>
      <c r="N86" t="s">
        <v>437</v>
      </c>
      <c r="O86" t="s">
        <v>513</v>
      </c>
    </row>
    <row r="87" spans="1:15" ht="92.4" x14ac:dyDescent="0.3">
      <c r="A87" s="2" t="s">
        <v>253</v>
      </c>
      <c r="B87" s="2" t="str">
        <f>HYPERLINK("https://www.axios.com/local/indianapolis/2025/02/13/indianapolis-weekend-events-indy-ignite-winter-beer-fest")</f>
        <v>https://www.axios.com/local/indianapolis/2025/02/13/indianapolis-weekend-events-indy-ignite-winter-beer-fest</v>
      </c>
      <c r="C87" s="2" t="s">
        <v>254</v>
      </c>
      <c r="D87" s="2" t="s">
        <v>41</v>
      </c>
      <c r="E87" s="5">
        <v>45701.265648148154</v>
      </c>
      <c r="F87" s="2" t="s">
        <v>255</v>
      </c>
      <c r="G87" s="2">
        <v>18738508</v>
      </c>
      <c r="H87" s="2">
        <v>0</v>
      </c>
      <c r="I87" s="2">
        <v>0</v>
      </c>
      <c r="J87" s="2">
        <v>0</v>
      </c>
      <c r="K87" s="2" t="s">
        <v>28</v>
      </c>
      <c r="L87" s="4">
        <v>173331.20000000001</v>
      </c>
      <c r="M87" s="2"/>
      <c r="N87" t="s">
        <v>437</v>
      </c>
      <c r="O87" t="s">
        <v>513</v>
      </c>
    </row>
    <row r="88" spans="1:15" ht="132" x14ac:dyDescent="0.3">
      <c r="A88" s="2" t="s">
        <v>253</v>
      </c>
      <c r="B88" s="2" t="str">
        <f>HYPERLINK("https://flipboard.com/article/indianapolis-weekend-events-stand-up-comedy-indy-ignite-winter-beer-fest-and-/f-af4737b102/axios.com")</f>
        <v>https://flipboard.com/article/indianapolis-weekend-events-stand-up-comedy-indy-ignite-winter-beer-fest-and-/f-af4737b102/axios.com</v>
      </c>
      <c r="C88" s="2" t="s">
        <v>254</v>
      </c>
      <c r="D88" s="2" t="s">
        <v>176</v>
      </c>
      <c r="E88" s="5">
        <v>45701.26258101852</v>
      </c>
      <c r="F88" s="2" t="s">
        <v>256</v>
      </c>
      <c r="G88" s="2">
        <v>968762</v>
      </c>
      <c r="H88" s="2">
        <v>0</v>
      </c>
      <c r="I88" s="2">
        <v>0</v>
      </c>
      <c r="J88" s="2">
        <v>0</v>
      </c>
      <c r="K88" s="2" t="s">
        <v>28</v>
      </c>
      <c r="L88" s="4">
        <v>8961.0499999999993</v>
      </c>
      <c r="M88" s="2"/>
      <c r="N88" t="s">
        <v>494</v>
      </c>
      <c r="O88" t="s">
        <v>514</v>
      </c>
    </row>
    <row r="89" spans="1:15" ht="66" x14ac:dyDescent="0.3">
      <c r="A89" s="2" t="s">
        <v>257</v>
      </c>
      <c r="B89" s="2" t="str">
        <f>HYPERLINK("https://www.oursportscentral.com/services/releases/game-preview-san-diego-mojo-at-indy-ignite-february-13-2025/n-6190604")</f>
        <v>https://www.oursportscentral.com/services/releases/game-preview-san-diego-mojo-at-indy-ignite-february-13-2025/n-6190604</v>
      </c>
      <c r="C89" s="2"/>
      <c r="D89" s="2" t="s">
        <v>24</v>
      </c>
      <c r="E89" s="5">
        <v>45700.543749999997</v>
      </c>
      <c r="F89" s="2" t="s">
        <v>258</v>
      </c>
      <c r="G89" s="2">
        <v>62699</v>
      </c>
      <c r="H89" s="2">
        <v>0</v>
      </c>
      <c r="I89" s="2">
        <v>0</v>
      </c>
      <c r="J89" s="2">
        <v>0</v>
      </c>
      <c r="K89" s="2" t="s">
        <v>25</v>
      </c>
      <c r="L89" s="4">
        <v>579.97</v>
      </c>
      <c r="M89" s="2"/>
      <c r="N89" t="s">
        <v>492</v>
      </c>
      <c r="O89" t="s">
        <v>492</v>
      </c>
    </row>
    <row r="90" spans="1:15" ht="105.6" x14ac:dyDescent="0.3">
      <c r="A90" s="2" t="s">
        <v>259</v>
      </c>
      <c r="B90" s="2" t="str">
        <f>HYPERLINK("https://www.yourcommunitypaper.com/articles/the-orlando-valkyries-avenge-earlier-loss-against-indy-ignite/")</f>
        <v>https://www.yourcommunitypaper.com/articles/the-orlando-valkyries-avenge-earlier-loss-against-indy-ignite/</v>
      </c>
      <c r="C90" s="2" t="s">
        <v>260</v>
      </c>
      <c r="D90" s="2" t="s">
        <v>261</v>
      </c>
      <c r="E90" s="5">
        <v>45700.499340277784</v>
      </c>
      <c r="F90" s="2" t="s">
        <v>262</v>
      </c>
      <c r="G90" s="2">
        <v>9098</v>
      </c>
      <c r="H90" s="2">
        <v>0</v>
      </c>
      <c r="I90" s="2">
        <v>0</v>
      </c>
      <c r="J90" s="2">
        <v>0</v>
      </c>
      <c r="K90" s="2" t="s">
        <v>25</v>
      </c>
      <c r="L90" s="4">
        <v>84.16</v>
      </c>
      <c r="M90" s="2"/>
      <c r="N90" t="s">
        <v>502</v>
      </c>
      <c r="O90" t="s">
        <v>492</v>
      </c>
    </row>
    <row r="91" spans="1:15" ht="184.8" x14ac:dyDescent="0.3">
      <c r="A91" s="2" t="s">
        <v>245</v>
      </c>
      <c r="B91" s="2" t="str">
        <f>HYPERLINK("https://www.on3.com/teams/purdue-boilermakers/news/purdue-sports-update-feb-12/")</f>
        <v>https://www.on3.com/teams/purdue-boilermakers/news/purdue-sports-update-feb-12/</v>
      </c>
      <c r="C91" s="2" t="s">
        <v>45</v>
      </c>
      <c r="D91" s="2" t="s">
        <v>46</v>
      </c>
      <c r="E91" s="5">
        <v>45700.295057870368</v>
      </c>
      <c r="F91" s="2" t="s">
        <v>263</v>
      </c>
      <c r="G91" s="2">
        <v>7570240</v>
      </c>
      <c r="H91" s="2">
        <v>0</v>
      </c>
      <c r="I91" s="2">
        <v>0</v>
      </c>
      <c r="J91" s="2">
        <v>0</v>
      </c>
      <c r="K91" s="2" t="s">
        <v>25</v>
      </c>
      <c r="L91" s="4">
        <v>70024.72</v>
      </c>
      <c r="M91" s="2"/>
      <c r="N91" t="s">
        <v>492</v>
      </c>
      <c r="O91" t="s">
        <v>492</v>
      </c>
    </row>
    <row r="92" spans="1:15" ht="92.4" x14ac:dyDescent="0.3">
      <c r="A92" s="2" t="s">
        <v>264</v>
      </c>
      <c r="B92" s="2" t="str">
        <f>HYPERLINK("https://www.essentiallysports.com/wnba-basketball-news-indiana-pacers-no-words-only-emotions-from-caitlin-clark-as-nba-franchise-honors-indiana-fever-on-special-day/")</f>
        <v>https://www.essentiallysports.com/wnba-basketball-news-indiana-pacers-no-words-only-emotions-from-caitlin-clark-as-nba-franchise-honors-indiana-fever-on-special-day/</v>
      </c>
      <c r="C92" s="2" t="s">
        <v>265</v>
      </c>
      <c r="D92" s="2" t="s">
        <v>249</v>
      </c>
      <c r="E92" s="5">
        <v>45699.891574074078</v>
      </c>
      <c r="F92" s="2" t="s">
        <v>266</v>
      </c>
      <c r="G92" s="2">
        <v>10912895</v>
      </c>
      <c r="H92" s="2">
        <v>0</v>
      </c>
      <c r="I92" s="2">
        <v>0</v>
      </c>
      <c r="J92" s="2">
        <v>0</v>
      </c>
      <c r="K92" s="2" t="s">
        <v>28</v>
      </c>
      <c r="L92" s="4">
        <v>100944.28</v>
      </c>
      <c r="M92" s="2"/>
      <c r="N92" t="s">
        <v>492</v>
      </c>
      <c r="O92" t="s">
        <v>492</v>
      </c>
    </row>
    <row r="93" spans="1:15" ht="52.8" x14ac:dyDescent="0.3">
      <c r="A93" s="2" t="s">
        <v>267</v>
      </c>
      <c r="B93" s="2" t="str">
        <f>HYPERLINK("https://www.wrtv.com/sports/indy-ignite-trio-named-pro-volleyball-federation-all-stars")</f>
        <v>https://www.wrtv.com/sports/indy-ignite-trio-named-pro-volleyball-federation-all-stars</v>
      </c>
      <c r="C93" s="2" t="s">
        <v>268</v>
      </c>
      <c r="D93" s="2" t="s">
        <v>72</v>
      </c>
      <c r="E93" s="5">
        <v>45699.73265046296</v>
      </c>
      <c r="F93" s="2" t="s">
        <v>269</v>
      </c>
      <c r="G93" s="2">
        <v>420033</v>
      </c>
      <c r="H93" s="2">
        <v>0</v>
      </c>
      <c r="I93" s="2">
        <v>0</v>
      </c>
      <c r="J93" s="2">
        <v>0</v>
      </c>
      <c r="K93" s="2" t="s">
        <v>28</v>
      </c>
      <c r="L93" s="4">
        <v>3885.31</v>
      </c>
      <c r="M93" s="2"/>
      <c r="N93" t="s">
        <v>437</v>
      </c>
      <c r="O93" t="s">
        <v>513</v>
      </c>
    </row>
    <row r="94" spans="1:15" ht="92.4" x14ac:dyDescent="0.3">
      <c r="A94" s="2" t="s">
        <v>270</v>
      </c>
      <c r="B94" s="2" t="str">
        <f>HYPERLINK("https://www.si.com/college/pittsburgh/news/former-pitt-panthers-volleyball-leketor-member-meneh-all-star-nod")</f>
        <v>https://www.si.com/college/pittsburgh/news/former-pitt-panthers-volleyball-leketor-member-meneh-all-star-nod</v>
      </c>
      <c r="C94" s="2" t="s">
        <v>271</v>
      </c>
      <c r="D94" s="2" t="s">
        <v>205</v>
      </c>
      <c r="E94" s="5">
        <v>45699.70071759259</v>
      </c>
      <c r="F94" s="2" t="s">
        <v>272</v>
      </c>
      <c r="G94" s="2">
        <v>32744612</v>
      </c>
      <c r="H94" s="2">
        <v>0</v>
      </c>
      <c r="I94" s="2">
        <v>0</v>
      </c>
      <c r="J94" s="2">
        <v>0</v>
      </c>
      <c r="K94" s="2" t="s">
        <v>25</v>
      </c>
      <c r="L94" s="4">
        <v>302887.65999999997</v>
      </c>
      <c r="M94" s="2"/>
      <c r="N94" t="s">
        <v>492</v>
      </c>
      <c r="O94" t="s">
        <v>492</v>
      </c>
    </row>
    <row r="95" spans="1:15" ht="52.8" x14ac:dyDescent="0.3">
      <c r="A95" s="2" t="s">
        <v>273</v>
      </c>
      <c r="B95" s="2" t="str">
        <f>HYPERLINK("https://www.msn.com/en-us/sports/other/3-indy-ignite-players-selected-for-pvf-all-star-match-in-fishers/ar-AA1yQtlb")</f>
        <v>https://www.msn.com/en-us/sports/other/3-indy-ignite-players-selected-for-pvf-all-star-match-in-fishers/ar-AA1yQtlb</v>
      </c>
      <c r="C95" s="2"/>
      <c r="D95" s="2" t="s">
        <v>274</v>
      </c>
      <c r="E95" s="5">
        <v>45699.692824074067</v>
      </c>
      <c r="F95" s="2"/>
      <c r="G95" s="2">
        <v>127227053</v>
      </c>
      <c r="H95" s="2">
        <v>0</v>
      </c>
      <c r="I95" s="2">
        <v>0</v>
      </c>
      <c r="J95" s="2">
        <v>0</v>
      </c>
      <c r="K95" s="2"/>
      <c r="L95" s="4">
        <v>1176850.24</v>
      </c>
      <c r="M95" s="2"/>
      <c r="N95" t="s">
        <v>492</v>
      </c>
      <c r="O95" t="s">
        <v>492</v>
      </c>
    </row>
    <row r="96" spans="1:15" ht="118.8" x14ac:dyDescent="0.3">
      <c r="A96" s="2" t="s">
        <v>273</v>
      </c>
      <c r="B96" s="2" t="str">
        <f>HYPERLINK("https://www.indystar.com/story/sports/2025/02/11/pvf-all-star-game-indy-ignite-sydney-hilley-leketor-member-meneh-azhani-tealer/78422464007/")</f>
        <v>https://www.indystar.com/story/sports/2025/02/11/pvf-all-star-game-indy-ignite-sydney-hilley-leketor-member-meneh-azhani-tealer/78422464007/</v>
      </c>
      <c r="C96" s="2"/>
      <c r="D96" s="2" t="s">
        <v>66</v>
      </c>
      <c r="E96" s="5">
        <v>45699.621018518519</v>
      </c>
      <c r="F96" s="2" t="s">
        <v>275</v>
      </c>
      <c r="G96" s="2">
        <v>3191890</v>
      </c>
      <c r="H96" s="2">
        <v>0</v>
      </c>
      <c r="I96" s="2">
        <v>0</v>
      </c>
      <c r="J96" s="2">
        <v>9</v>
      </c>
      <c r="K96" s="2" t="s">
        <v>28</v>
      </c>
      <c r="L96" s="4">
        <v>29524.98</v>
      </c>
      <c r="M96" s="2"/>
      <c r="N96" t="s">
        <v>437</v>
      </c>
      <c r="O96" t="s">
        <v>513</v>
      </c>
    </row>
    <row r="97" spans="1:15" ht="105.6" x14ac:dyDescent="0.3">
      <c r="A97" s="2" t="s">
        <v>276</v>
      </c>
      <c r="B97" s="2" t="str">
        <f>HYPERLINK("https://www.oursportscentral.com/services/releases/three-indy-ignite-players-named-to-first-pvf-all-star-teams/n-6190312")</f>
        <v>https://www.oursportscentral.com/services/releases/three-indy-ignite-players-named-to-first-pvf-all-star-teams/n-6190312</v>
      </c>
      <c r="C97" s="2"/>
      <c r="D97" s="2" t="s">
        <v>24</v>
      </c>
      <c r="E97" s="5">
        <v>45699.581944444442</v>
      </c>
      <c r="F97" s="2" t="s">
        <v>277</v>
      </c>
      <c r="G97" s="2">
        <v>62699</v>
      </c>
      <c r="H97" s="2">
        <v>0</v>
      </c>
      <c r="I97" s="2">
        <v>0</v>
      </c>
      <c r="J97" s="2">
        <v>0</v>
      </c>
      <c r="K97" s="2" t="s">
        <v>28</v>
      </c>
      <c r="L97" s="4">
        <v>579.97</v>
      </c>
      <c r="M97" s="2"/>
      <c r="N97" t="s">
        <v>492</v>
      </c>
      <c r="O97" t="s">
        <v>492</v>
      </c>
    </row>
    <row r="98" spans="1:15" ht="105.6" x14ac:dyDescent="0.3">
      <c r="A98" s="2" t="s">
        <v>278</v>
      </c>
      <c r="B98" s="2" t="str">
        <f>HYPERLINK("https://fox59.com/morning-news/3-indy-ignite-players-named-to-pvf-all-star-match/")</f>
        <v>https://fox59.com/morning-news/3-indy-ignite-players-named-to-pvf-all-star-match/</v>
      </c>
      <c r="C98" s="2" t="s">
        <v>119</v>
      </c>
      <c r="D98" s="2" t="s">
        <v>122</v>
      </c>
      <c r="E98" s="5">
        <v>45699.490868055553</v>
      </c>
      <c r="F98" s="2" t="s">
        <v>279</v>
      </c>
      <c r="G98" s="2">
        <v>1972067</v>
      </c>
      <c r="H98" s="2"/>
      <c r="I98" s="2"/>
      <c r="J98" s="2"/>
      <c r="K98" s="2" t="s">
        <v>25</v>
      </c>
      <c r="L98" s="4">
        <v>18241.62</v>
      </c>
      <c r="M98" s="2"/>
      <c r="N98" t="s">
        <v>437</v>
      </c>
      <c r="O98" t="s">
        <v>513</v>
      </c>
    </row>
    <row r="99" spans="1:15" ht="52.8" x14ac:dyDescent="0.3">
      <c r="A99" s="2" t="s">
        <v>273</v>
      </c>
      <c r="B99" s="2" t="str">
        <f>HYPERLINK("https://indy-ignite-pro-volleyball.muckrack.com/link/ePlUCr/3-indy-ignite-players-selected-for-pvf-all-star-match-in-fishers")</f>
        <v>https://indy-ignite-pro-volleyball.muckrack.com/link/ePlUCr/3-indy-ignite-players-selected-for-pvf-all-star-match-in-fishers</v>
      </c>
      <c r="C99" s="2"/>
      <c r="D99" s="2" t="s">
        <v>66</v>
      </c>
      <c r="E99" s="5">
        <v>45699.291666666657</v>
      </c>
      <c r="F99" s="2" t="s">
        <v>252</v>
      </c>
      <c r="G99" s="2"/>
      <c r="H99" s="2">
        <v>0</v>
      </c>
      <c r="I99" s="2">
        <v>0</v>
      </c>
      <c r="J99" s="2">
        <v>0</v>
      </c>
      <c r="K99" s="2" t="s">
        <v>28</v>
      </c>
      <c r="L99" s="4">
        <v>21007</v>
      </c>
      <c r="M99" s="2"/>
      <c r="N99" t="s">
        <v>437</v>
      </c>
      <c r="O99" t="s">
        <v>513</v>
      </c>
    </row>
    <row r="100" spans="1:15" ht="118.8" x14ac:dyDescent="0.3">
      <c r="A100" s="2" t="s">
        <v>278</v>
      </c>
      <c r="B100" s="2" t="str">
        <f>HYPERLINK("https://cbs4indy.com/sports/3-indy-ignite-players-named-to-all-star-match/")</f>
        <v>https://cbs4indy.com/sports/3-indy-ignite-players-named-to-all-star-match/</v>
      </c>
      <c r="C100" s="2" t="s">
        <v>119</v>
      </c>
      <c r="D100" s="2" t="s">
        <v>120</v>
      </c>
      <c r="E100" s="5">
        <v>45699.277291666673</v>
      </c>
      <c r="F100" s="2" t="s">
        <v>280</v>
      </c>
      <c r="G100" s="2">
        <v>142737</v>
      </c>
      <c r="H100" s="2">
        <v>0</v>
      </c>
      <c r="I100" s="2">
        <v>0</v>
      </c>
      <c r="J100" s="2">
        <v>0</v>
      </c>
      <c r="K100" s="2" t="s">
        <v>25</v>
      </c>
      <c r="L100" s="4">
        <v>1320.32</v>
      </c>
      <c r="M100" s="2"/>
      <c r="N100" t="s">
        <v>437</v>
      </c>
      <c r="O100" t="s">
        <v>513</v>
      </c>
    </row>
    <row r="101" spans="1:15" ht="105.6" x14ac:dyDescent="0.3">
      <c r="A101" s="2" t="s">
        <v>278</v>
      </c>
      <c r="B101" s="2" t="str">
        <f>HYPERLINK("https://sports.yahoo.com/3-indy-ignite-players-named-113918303.html")</f>
        <v>https://sports.yahoo.com/3-indy-ignite-players-named-113918303.html</v>
      </c>
      <c r="C101" s="2" t="s">
        <v>119</v>
      </c>
      <c r="D101" s="2" t="s">
        <v>85</v>
      </c>
      <c r="E101" s="5">
        <v>45699.277291666673</v>
      </c>
      <c r="F101" s="2" t="s">
        <v>281</v>
      </c>
      <c r="G101" s="2">
        <v>23223632</v>
      </c>
      <c r="H101" s="2">
        <v>0</v>
      </c>
      <c r="I101" s="2">
        <v>0</v>
      </c>
      <c r="J101" s="2">
        <v>0</v>
      </c>
      <c r="K101" s="2" t="s">
        <v>25</v>
      </c>
      <c r="L101" s="4">
        <v>214818.6</v>
      </c>
      <c r="M101" s="2"/>
      <c r="N101" t="s">
        <v>492</v>
      </c>
      <c r="O101" t="s">
        <v>492</v>
      </c>
    </row>
    <row r="102" spans="1:15" ht="52.8" x14ac:dyDescent="0.3">
      <c r="A102" s="2" t="s">
        <v>282</v>
      </c>
      <c r="B102" s="2" t="str">
        <f>HYPERLINK("https://www.ballstatedaily.com/newslink/article/2025/02/indy-ignite-show-promise-in-first-season")</f>
        <v>https://www.ballstatedaily.com/newslink/article/2025/02/indy-ignite-show-promise-in-first-season</v>
      </c>
      <c r="C102" s="2" t="s">
        <v>283</v>
      </c>
      <c r="D102" s="2" t="s">
        <v>282</v>
      </c>
      <c r="E102" s="5">
        <v>45698.94604166667</v>
      </c>
      <c r="F102" s="2" t="s">
        <v>284</v>
      </c>
      <c r="G102" s="2">
        <v>28680</v>
      </c>
      <c r="H102" s="2">
        <v>0</v>
      </c>
      <c r="I102" s="2">
        <v>0</v>
      </c>
      <c r="J102" s="2">
        <v>0</v>
      </c>
      <c r="K102" s="2" t="s">
        <v>25</v>
      </c>
      <c r="L102" s="4">
        <v>265.29000000000002</v>
      </c>
      <c r="M102" s="2"/>
      <c r="N102" t="s">
        <v>503</v>
      </c>
      <c r="O102" t="s">
        <v>513</v>
      </c>
    </row>
    <row r="103" spans="1:15" ht="52.8" x14ac:dyDescent="0.3">
      <c r="A103" s="2" t="s">
        <v>285</v>
      </c>
      <c r="B103" s="2" t="str">
        <f>HYPERLINK("https://www.ballstatedailynews.com/article/2025/02/indy-ignite-show-promise-in-first-season")</f>
        <v>https://www.ballstatedailynews.com/article/2025/02/indy-ignite-show-promise-in-first-season</v>
      </c>
      <c r="C103" s="2" t="s">
        <v>283</v>
      </c>
      <c r="D103" s="2" t="s">
        <v>286</v>
      </c>
      <c r="E103" s="5">
        <v>45698.944490740738</v>
      </c>
      <c r="F103" s="2" t="s">
        <v>284</v>
      </c>
      <c r="G103" s="2">
        <v>7497</v>
      </c>
      <c r="H103" s="2">
        <v>0</v>
      </c>
      <c r="I103" s="2">
        <v>0</v>
      </c>
      <c r="J103" s="2">
        <v>0</v>
      </c>
      <c r="K103" s="2" t="s">
        <v>28</v>
      </c>
      <c r="L103" s="4">
        <v>69.349999999999994</v>
      </c>
      <c r="M103" s="2"/>
      <c r="N103" t="s">
        <v>503</v>
      </c>
      <c r="O103" t="s">
        <v>513</v>
      </c>
    </row>
    <row r="104" spans="1:15" ht="409.6" x14ac:dyDescent="0.3">
      <c r="A104" s="2" t="s">
        <v>287</v>
      </c>
      <c r="B104" s="2" t="str">
        <f>HYPERLINK("https://www.wrtv.com/marketplace/spotlight/meet-jim-schumacher-co-founder-of-the-indy-ignite")</f>
        <v>https://www.wrtv.com/marketplace/spotlight/meet-jim-schumacher-co-founder-of-the-indy-ignite</v>
      </c>
      <c r="C104" s="2"/>
      <c r="D104" s="2" t="s">
        <v>72</v>
      </c>
      <c r="E104" s="5">
        <v>45698.735243055547</v>
      </c>
      <c r="F104" s="2" t="s">
        <v>288</v>
      </c>
      <c r="G104" s="2">
        <v>420033</v>
      </c>
      <c r="H104" s="2">
        <v>0</v>
      </c>
      <c r="I104" s="2">
        <v>0</v>
      </c>
      <c r="J104" s="2">
        <v>0</v>
      </c>
      <c r="K104" s="2" t="s">
        <v>25</v>
      </c>
      <c r="L104" s="4">
        <v>3885.31</v>
      </c>
      <c r="M104" s="2"/>
      <c r="N104" t="s">
        <v>437</v>
      </c>
      <c r="O104" t="s">
        <v>513</v>
      </c>
    </row>
    <row r="105" spans="1:15" ht="52.8" x14ac:dyDescent="0.3">
      <c r="A105" s="2" t="s">
        <v>289</v>
      </c>
      <c r="B105" s="2" t="str">
        <f>HYPERLINK("https://www.wrtv.com/marketplace/spotlight/meet-carly-klanac-v-p-of-marketing-and-game-day-experience-with-the-indy-ignite")</f>
        <v>https://www.wrtv.com/marketplace/spotlight/meet-carly-klanac-v-p-of-marketing-and-game-day-experience-with-the-indy-ignite</v>
      </c>
      <c r="C105" s="2"/>
      <c r="D105" s="2" t="s">
        <v>72</v>
      </c>
      <c r="E105" s="5">
        <v>45698.735185185193</v>
      </c>
      <c r="F105" s="2" t="s">
        <v>290</v>
      </c>
      <c r="G105" s="2">
        <v>420033</v>
      </c>
      <c r="H105" s="2">
        <v>0</v>
      </c>
      <c r="I105" s="2">
        <v>0</v>
      </c>
      <c r="J105" s="2">
        <v>0</v>
      </c>
      <c r="K105" s="2" t="s">
        <v>25</v>
      </c>
      <c r="L105" s="4">
        <v>3885.31</v>
      </c>
      <c r="M105" s="2"/>
      <c r="N105" t="s">
        <v>437</v>
      </c>
      <c r="O105" t="s">
        <v>513</v>
      </c>
    </row>
    <row r="106" spans="1:15" ht="409.6" x14ac:dyDescent="0.3">
      <c r="A106" s="2" t="s">
        <v>291</v>
      </c>
      <c r="B106" s="2" t="str">
        <f>HYPERLINK("https://www.wrtv.com/marketplace/spotlight/meet-katie-voelz-director-of-ticketing-for-the-indy-ignite")</f>
        <v>https://www.wrtv.com/marketplace/spotlight/meet-katie-voelz-director-of-ticketing-for-the-indy-ignite</v>
      </c>
      <c r="C106" s="2"/>
      <c r="D106" s="2" t="s">
        <v>72</v>
      </c>
      <c r="E106" s="5">
        <v>45698.735069444447</v>
      </c>
      <c r="F106" s="2" t="s">
        <v>288</v>
      </c>
      <c r="G106" s="2">
        <v>420033</v>
      </c>
      <c r="H106" s="2">
        <v>0</v>
      </c>
      <c r="I106" s="2">
        <v>0</v>
      </c>
      <c r="J106" s="2">
        <v>0</v>
      </c>
      <c r="K106" s="2" t="s">
        <v>25</v>
      </c>
      <c r="L106" s="4">
        <v>3885.31</v>
      </c>
      <c r="M106" s="2"/>
      <c r="N106" t="s">
        <v>437</v>
      </c>
      <c r="O106" t="s">
        <v>513</v>
      </c>
    </row>
    <row r="107" spans="1:15" ht="92.4" x14ac:dyDescent="0.3">
      <c r="A107" s="2" t="s">
        <v>292</v>
      </c>
      <c r="B107" s="2" t="str">
        <f>HYPERLINK("https://kqky.com/2025/02/10/supernovas-get-weekend-sweep-over-indy-atlanta/")</f>
        <v>https://kqky.com/2025/02/10/supernovas-get-weekend-sweep-over-indy-atlanta/</v>
      </c>
      <c r="C107" s="2" t="s">
        <v>108</v>
      </c>
      <c r="D107" s="2" t="s">
        <v>111</v>
      </c>
      <c r="E107" s="5">
        <v>45698.559895833343</v>
      </c>
      <c r="F107" s="2" t="s">
        <v>293</v>
      </c>
      <c r="G107" s="2">
        <v>737</v>
      </c>
      <c r="H107" s="2">
        <v>0</v>
      </c>
      <c r="I107" s="2">
        <v>0</v>
      </c>
      <c r="J107" s="2">
        <v>0</v>
      </c>
      <c r="K107" s="2" t="s">
        <v>25</v>
      </c>
      <c r="L107" s="4">
        <v>6.82</v>
      </c>
      <c r="M107" s="2"/>
      <c r="N107" t="s">
        <v>459</v>
      </c>
      <c r="O107" t="s">
        <v>492</v>
      </c>
    </row>
    <row r="108" spans="1:15" ht="92.4" x14ac:dyDescent="0.3">
      <c r="A108" s="2" t="s">
        <v>292</v>
      </c>
      <c r="B108" s="2" t="str">
        <f>HYPERLINK("https://kgfw.com/2025/02/10/supernovas-get-weekend-sweep-over-indy-atlanta/")</f>
        <v>https://kgfw.com/2025/02/10/supernovas-get-weekend-sweep-over-indy-atlanta/</v>
      </c>
      <c r="C108" s="2" t="s">
        <v>108</v>
      </c>
      <c r="D108" s="2" t="s">
        <v>112</v>
      </c>
      <c r="E108" s="5">
        <v>45698.55740740741</v>
      </c>
      <c r="F108" s="2" t="s">
        <v>293</v>
      </c>
      <c r="G108" s="2">
        <v>9856</v>
      </c>
      <c r="H108" s="2">
        <v>0</v>
      </c>
      <c r="I108" s="2">
        <v>0</v>
      </c>
      <c r="J108" s="2">
        <v>0</v>
      </c>
      <c r="K108" s="2" t="s">
        <v>25</v>
      </c>
      <c r="L108" s="4">
        <v>91.17</v>
      </c>
      <c r="M108" s="2"/>
      <c r="N108" t="s">
        <v>459</v>
      </c>
      <c r="O108" t="s">
        <v>492</v>
      </c>
    </row>
    <row r="109" spans="1:15" ht="92.4" x14ac:dyDescent="0.3">
      <c r="A109" s="2" t="s">
        <v>292</v>
      </c>
      <c r="B109" s="2" t="str">
        <f>HYPERLINK("https://1077theisland.com/2025/02/10/supernovas-get-weekend-sweep-over-indy-atlanta/")</f>
        <v>https://1077theisland.com/2025/02/10/supernovas-get-weekend-sweep-over-indy-atlanta/</v>
      </c>
      <c r="C109" s="2" t="s">
        <v>108</v>
      </c>
      <c r="D109" s="2" t="s">
        <v>109</v>
      </c>
      <c r="E109" s="5">
        <v>45698.556967592587</v>
      </c>
      <c r="F109" s="2" t="s">
        <v>293</v>
      </c>
      <c r="G109" s="2">
        <v>1284</v>
      </c>
      <c r="H109" s="2">
        <v>0</v>
      </c>
      <c r="I109" s="2">
        <v>0</v>
      </c>
      <c r="J109" s="2">
        <v>0</v>
      </c>
      <c r="K109" s="2" t="s">
        <v>25</v>
      </c>
      <c r="L109" s="4">
        <v>11.88</v>
      </c>
      <c r="M109" s="2"/>
      <c r="N109" t="s">
        <v>504</v>
      </c>
      <c r="O109" t="s">
        <v>492</v>
      </c>
    </row>
    <row r="110" spans="1:15" ht="92.4" x14ac:dyDescent="0.3">
      <c r="A110" s="2" t="s">
        <v>292</v>
      </c>
      <c r="B110" s="2" t="str">
        <f>HYPERLINK("https://rock1015.com/2025/02/10/supernovas-get-weekend-sweep-over-indy-atlanta/")</f>
        <v>https://rock1015.com/2025/02/10/supernovas-get-weekend-sweep-over-indy-atlanta/</v>
      </c>
      <c r="C110" s="2" t="s">
        <v>108</v>
      </c>
      <c r="D110" s="2" t="s">
        <v>110</v>
      </c>
      <c r="E110" s="5">
        <v>45698.554259259261</v>
      </c>
      <c r="F110" s="2" t="s">
        <v>293</v>
      </c>
      <c r="G110" s="2">
        <v>1017</v>
      </c>
      <c r="H110" s="2">
        <v>0</v>
      </c>
      <c r="I110" s="2">
        <v>0</v>
      </c>
      <c r="J110" s="2">
        <v>0</v>
      </c>
      <c r="K110" s="2" t="s">
        <v>25</v>
      </c>
      <c r="L110" s="4">
        <v>9.41</v>
      </c>
      <c r="M110" s="2"/>
      <c r="N110" t="s">
        <v>504</v>
      </c>
      <c r="O110" t="s">
        <v>492</v>
      </c>
    </row>
    <row r="111" spans="1:15" ht="250.8" x14ac:dyDescent="0.3">
      <c r="A111" s="2" t="s">
        <v>294</v>
      </c>
      <c r="B111" s="2" t="str">
        <f>HYPERLINK("https://www.sportskeeda.com/us/olympics/news-ex-louisville-volleyball-player-anna-debeer-surprises-mother-sara-birthday")</f>
        <v>https://www.sportskeeda.com/us/olympics/news-ex-louisville-volleyball-player-anna-debeer-surprises-mother-sara-birthday</v>
      </c>
      <c r="C111" s="2" t="s">
        <v>175</v>
      </c>
      <c r="D111" s="2" t="s">
        <v>295</v>
      </c>
      <c r="E111" s="5">
        <v>45698.486979166657</v>
      </c>
      <c r="F111" s="2" t="s">
        <v>296</v>
      </c>
      <c r="G111" s="2">
        <v>32382109</v>
      </c>
      <c r="H111" s="2">
        <v>0</v>
      </c>
      <c r="I111" s="2">
        <v>0</v>
      </c>
      <c r="J111" s="2">
        <v>1</v>
      </c>
      <c r="K111" s="2" t="s">
        <v>28</v>
      </c>
      <c r="L111" s="4">
        <v>299534.51</v>
      </c>
      <c r="M111" s="2"/>
      <c r="N111" t="s">
        <v>492</v>
      </c>
      <c r="O111" t="s">
        <v>492</v>
      </c>
    </row>
    <row r="112" spans="1:15" ht="52.8" x14ac:dyDescent="0.3">
      <c r="A112" s="2" t="s">
        <v>297</v>
      </c>
      <c r="B112" s="2" t="str">
        <f>HYPERLINK("https://indy-ignite-pro-volleyball.muckrack.com/link/ePp64n/indy-ignite-show-promise-in-first-season")</f>
        <v>https://indy-ignite-pro-volleyball.muckrack.com/link/ePp64n/indy-ignite-show-promise-in-first-season</v>
      </c>
      <c r="C112" s="2"/>
      <c r="D112" s="2" t="s">
        <v>282</v>
      </c>
      <c r="E112" s="5">
        <v>45698.291666666657</v>
      </c>
      <c r="F112" s="2" t="s">
        <v>298</v>
      </c>
      <c r="G112" s="2"/>
      <c r="H112" s="2">
        <v>0</v>
      </c>
      <c r="I112" s="2">
        <v>0</v>
      </c>
      <c r="J112" s="2">
        <v>0</v>
      </c>
      <c r="K112" s="2" t="s">
        <v>28</v>
      </c>
      <c r="L112" s="4">
        <v>475</v>
      </c>
      <c r="M112" s="2"/>
      <c r="N112" t="s">
        <v>503</v>
      </c>
      <c r="O112" t="s">
        <v>513</v>
      </c>
    </row>
    <row r="113" spans="1:15" ht="92.4" x14ac:dyDescent="0.3">
      <c r="A113" s="2" t="s">
        <v>292</v>
      </c>
      <c r="B113" s="2" t="str">
        <f>HYPERLINK("https://www.centralnebraskatoday.com/2025/02/10/supernovas-get-weekend-sweep-over-indy-atlanta/")</f>
        <v>https://www.centralnebraskatoday.com/2025/02/10/supernovas-get-weekend-sweep-over-indy-atlanta/</v>
      </c>
      <c r="C113" s="2" t="s">
        <v>108</v>
      </c>
      <c r="D113" s="2" t="s">
        <v>113</v>
      </c>
      <c r="E113" s="5">
        <v>45698</v>
      </c>
      <c r="F113" s="2" t="s">
        <v>293</v>
      </c>
      <c r="G113" s="2"/>
      <c r="H113" s="2">
        <v>1</v>
      </c>
      <c r="I113" s="2">
        <v>1025</v>
      </c>
      <c r="J113" s="2">
        <v>1</v>
      </c>
      <c r="K113" s="2" t="s">
        <v>25</v>
      </c>
      <c r="L113" s="2"/>
      <c r="M113" s="2"/>
      <c r="N113" t="s">
        <v>459</v>
      </c>
      <c r="O113" t="s">
        <v>492</v>
      </c>
    </row>
    <row r="114" spans="1:15" ht="92.4" x14ac:dyDescent="0.3">
      <c r="A114" s="2" t="s">
        <v>299</v>
      </c>
      <c r="B114" s="2" t="str">
        <f>HYPERLINK("https://www.keepingupincarmel.com/post/the-in-list-2025-2-10-2-16")</f>
        <v>https://www.keepingupincarmel.com/post/the-in-list-2025-2-10-2-16</v>
      </c>
      <c r="C114" s="2" t="s">
        <v>79</v>
      </c>
      <c r="D114" s="2" t="s">
        <v>80</v>
      </c>
      <c r="E114" s="5">
        <v>45697.642627314817</v>
      </c>
      <c r="F114" s="2" t="s">
        <v>300</v>
      </c>
      <c r="G114" s="2">
        <v>473</v>
      </c>
      <c r="H114" s="2">
        <v>0</v>
      </c>
      <c r="I114" s="2">
        <v>0</v>
      </c>
      <c r="J114" s="2">
        <v>0</v>
      </c>
      <c r="K114" s="2" t="s">
        <v>25</v>
      </c>
      <c r="L114" s="4">
        <v>4.38</v>
      </c>
      <c r="M114" s="2"/>
      <c r="N114" t="s">
        <v>496</v>
      </c>
      <c r="O114" t="s">
        <v>513</v>
      </c>
    </row>
    <row r="115" spans="1:15" ht="79.2" x14ac:dyDescent="0.3">
      <c r="A115" s="2" t="s">
        <v>301</v>
      </c>
      <c r="B115" s="2" t="str">
        <f>HYPERLINK("https://en.volleyballworld.com/news/fury-celebrate-first-victory-season")</f>
        <v>https://en.volleyballworld.com/news/fury-celebrate-first-victory-season</v>
      </c>
      <c r="C115" s="2"/>
      <c r="D115" s="2" t="s">
        <v>47</v>
      </c>
      <c r="E115" s="5">
        <v>45696.917557870373</v>
      </c>
      <c r="F115" s="2" t="s">
        <v>302</v>
      </c>
      <c r="G115" s="2">
        <v>162951</v>
      </c>
      <c r="H115" s="2">
        <v>0</v>
      </c>
      <c r="I115" s="2">
        <v>0</v>
      </c>
      <c r="J115" s="2">
        <v>2</v>
      </c>
      <c r="K115" s="2" t="s">
        <v>25</v>
      </c>
      <c r="L115" s="4">
        <v>1507.3</v>
      </c>
      <c r="M115" s="2"/>
      <c r="N115" t="s">
        <v>494</v>
      </c>
      <c r="O115" t="s">
        <v>514</v>
      </c>
    </row>
    <row r="116" spans="1:15" ht="105.6" x14ac:dyDescent="0.3">
      <c r="A116" s="2" t="s">
        <v>303</v>
      </c>
      <c r="B116" s="2" t="str">
        <f>HYPERLINK("https://www.oursportscentral.com/services/releases/orlando-rallies-to-defeat-indy-ignite-in-four-sets/n-6189549")</f>
        <v>https://www.oursportscentral.com/services/releases/orlando-rallies-to-defeat-indy-ignite-in-four-sets/n-6189549</v>
      </c>
      <c r="C116" s="2"/>
      <c r="D116" s="2" t="s">
        <v>24</v>
      </c>
      <c r="E116" s="5">
        <v>45696.847222222219</v>
      </c>
      <c r="F116" s="2" t="s">
        <v>304</v>
      </c>
      <c r="G116" s="2">
        <v>62699</v>
      </c>
      <c r="H116" s="2">
        <v>0</v>
      </c>
      <c r="I116" s="2">
        <v>0</v>
      </c>
      <c r="J116" s="2">
        <v>0</v>
      </c>
      <c r="K116" s="2" t="s">
        <v>25</v>
      </c>
      <c r="L116" s="4">
        <v>579.97</v>
      </c>
      <c r="M116" s="2"/>
      <c r="N116" t="s">
        <v>492</v>
      </c>
      <c r="O116" t="s">
        <v>492</v>
      </c>
    </row>
    <row r="117" spans="1:15" ht="66" x14ac:dyDescent="0.3">
      <c r="A117" s="2" t="s">
        <v>305</v>
      </c>
      <c r="B117" s="2" t="str">
        <f>HYPERLINK("https://www.sportskeeda.com/us/olympics/news-this-season-didn-t-end-way-i-hoped-louisville-volleyball-s-anna-debeer-makes-feelings-known-ncaa-division-1-final-loss")</f>
        <v>https://www.sportskeeda.com/us/olympics/news-this-season-didn-t-end-way-i-hoped-louisville-volleyball-s-anna-debeer-makes-feelings-known-ncaa-division-1-final-loss</v>
      </c>
      <c r="C117" s="2" t="s">
        <v>306</v>
      </c>
      <c r="D117" s="2" t="s">
        <v>295</v>
      </c>
      <c r="E117" s="5">
        <v>45695.844710648147</v>
      </c>
      <c r="F117" s="2" t="s">
        <v>307</v>
      </c>
      <c r="G117" s="2">
        <v>32382109</v>
      </c>
      <c r="H117" s="2">
        <v>0</v>
      </c>
      <c r="I117" s="2">
        <v>0</v>
      </c>
      <c r="J117" s="2">
        <v>3</v>
      </c>
      <c r="K117" s="2" t="s">
        <v>25</v>
      </c>
      <c r="L117" s="4">
        <v>299534.51</v>
      </c>
      <c r="M117" s="2"/>
      <c r="N117" t="s">
        <v>492</v>
      </c>
      <c r="O117" t="s">
        <v>492</v>
      </c>
    </row>
    <row r="118" spans="1:15" ht="92.4" x14ac:dyDescent="0.3">
      <c r="A118" s="2" t="s">
        <v>308</v>
      </c>
      <c r="B118" s="2" t="str">
        <f>HYPERLINK("https://journalstar.com/sports/professional/other/omaha-supernovas-sweep-indy-ignite-in-first-ever-meeting-vs-new-pvf-team/article_c540136c-69a3-576b-9d0a-5032a38978e1.html")</f>
        <v>https://journalstar.com/sports/professional/other/omaha-supernovas-sweep-indy-ignite-in-first-ever-meeting-vs-new-pvf-team/article_c540136c-69a3-576b-9d0a-5032a38978e1.html</v>
      </c>
      <c r="C118" s="2" t="s">
        <v>309</v>
      </c>
      <c r="D118" s="2" t="s">
        <v>310</v>
      </c>
      <c r="E118" s="5">
        <v>45695.574884259258</v>
      </c>
      <c r="F118" s="2" t="s">
        <v>311</v>
      </c>
      <c r="G118" s="2">
        <v>374432</v>
      </c>
      <c r="H118" s="2">
        <v>0</v>
      </c>
      <c r="I118" s="2">
        <v>0</v>
      </c>
      <c r="J118" s="2">
        <v>0</v>
      </c>
      <c r="K118" s="2" t="s">
        <v>25</v>
      </c>
      <c r="L118" s="4">
        <v>3463.5</v>
      </c>
      <c r="M118" s="2"/>
      <c r="N118" t="s">
        <v>505</v>
      </c>
      <c r="O118" t="s">
        <v>492</v>
      </c>
    </row>
    <row r="119" spans="1:15" ht="66" x14ac:dyDescent="0.3">
      <c r="A119" s="2" t="s">
        <v>312</v>
      </c>
      <c r="B119" s="2" t="str">
        <f>HYPERLINK("https://www.norfolkneradio.com/sports/supernovas-offense-explodes-in-dominant-sweep-of-ignite/article_e7fdc834-e55f-11ef-8854-e3f64fcec53e.html")</f>
        <v>https://www.norfolkneradio.com/sports/supernovas-offense-explodes-in-dominant-sweep-of-ignite/article_e7fdc834-e55f-11ef-8854-e3f64fcec53e.html</v>
      </c>
      <c r="C119" s="2"/>
      <c r="D119" s="2" t="s">
        <v>182</v>
      </c>
      <c r="E119" s="5">
        <v>45695.560740740737</v>
      </c>
      <c r="F119" s="2" t="s">
        <v>313</v>
      </c>
      <c r="G119" s="2">
        <v>9088</v>
      </c>
      <c r="H119" s="2">
        <v>0</v>
      </c>
      <c r="I119" s="2">
        <v>0</v>
      </c>
      <c r="J119" s="2">
        <v>2</v>
      </c>
      <c r="K119" s="2" t="s">
        <v>25</v>
      </c>
      <c r="L119" s="4">
        <v>84.06</v>
      </c>
      <c r="M119" s="2"/>
      <c r="N119" t="s">
        <v>506</v>
      </c>
      <c r="O119" t="s">
        <v>492</v>
      </c>
    </row>
    <row r="120" spans="1:15" ht="52.8" x14ac:dyDescent="0.3">
      <c r="A120" s="2" t="s">
        <v>314</v>
      </c>
      <c r="B120" s="2" t="str">
        <f>HYPERLINK("https://ruralradio.com/ktic/news/supernovas-offense-explodes-in-dominant-sweep-of-ignite/")</f>
        <v>https://ruralradio.com/ktic/news/supernovas-offense-explodes-in-dominant-sweep-of-ignite/</v>
      </c>
      <c r="C120" s="2"/>
      <c r="D120" s="2" t="s">
        <v>97</v>
      </c>
      <c r="E120" s="5">
        <v>45694.942025462973</v>
      </c>
      <c r="F120" s="2" t="s">
        <v>315</v>
      </c>
      <c r="G120" s="2">
        <v>98799</v>
      </c>
      <c r="H120" s="2">
        <v>0</v>
      </c>
      <c r="I120" s="2">
        <v>0</v>
      </c>
      <c r="J120" s="2">
        <v>0</v>
      </c>
      <c r="K120" s="2" t="s">
        <v>25</v>
      </c>
      <c r="L120" s="4">
        <v>913.89</v>
      </c>
      <c r="M120" s="2"/>
      <c r="N120" t="s">
        <v>507</v>
      </c>
      <c r="O120" t="s">
        <v>492</v>
      </c>
    </row>
    <row r="121" spans="1:15" ht="66" x14ac:dyDescent="0.3">
      <c r="A121" s="2" t="s">
        <v>316</v>
      </c>
      <c r="B121" s="2" t="str">
        <f>HYPERLINK("https://www.ketv.com/article/omaha-supernovas-sweep-indy-ignite/63695994")</f>
        <v>https://www.ketv.com/article/omaha-supernovas-sweep-indy-ignite/63695994</v>
      </c>
      <c r="C121" s="2" t="s">
        <v>317</v>
      </c>
      <c r="D121" s="2" t="s">
        <v>318</v>
      </c>
      <c r="E121" s="5">
        <v>45694.913634259261</v>
      </c>
      <c r="F121" s="2" t="s">
        <v>319</v>
      </c>
      <c r="G121" s="2">
        <v>690805</v>
      </c>
      <c r="H121" s="2">
        <v>0</v>
      </c>
      <c r="I121" s="2">
        <v>0</v>
      </c>
      <c r="J121" s="2">
        <v>6</v>
      </c>
      <c r="K121" s="2" t="s">
        <v>25</v>
      </c>
      <c r="L121" s="4">
        <v>6389.95</v>
      </c>
      <c r="M121" s="2"/>
      <c r="N121" t="s">
        <v>508</v>
      </c>
      <c r="O121" t="s">
        <v>492</v>
      </c>
    </row>
    <row r="122" spans="1:15" ht="92.4" x14ac:dyDescent="0.3">
      <c r="A122" s="2" t="s">
        <v>308</v>
      </c>
      <c r="B122" s="2" t="str">
        <f>HYPERLINK("https://omaha.com/sports/professional/other/omaha-supernovas-sweep-indy-ignite-in-first-ever-meeting-vs-new-pvf-team/article_bbb24650-e4a7-11ef-b7db-67324fc785b5.html")</f>
        <v>https://omaha.com/sports/professional/other/omaha-supernovas-sweep-indy-ignite-in-first-ever-meeting-vs-new-pvf-team/article_bbb24650-e4a7-11ef-b7db-67324fc785b5.html</v>
      </c>
      <c r="C122" s="2" t="s">
        <v>309</v>
      </c>
      <c r="D122" s="2" t="s">
        <v>320</v>
      </c>
      <c r="E122" s="5">
        <v>45694.87395833333</v>
      </c>
      <c r="F122" s="2" t="s">
        <v>321</v>
      </c>
      <c r="G122" s="2">
        <v>360012</v>
      </c>
      <c r="H122" s="2">
        <v>0</v>
      </c>
      <c r="I122" s="2">
        <v>0</v>
      </c>
      <c r="J122" s="2">
        <v>33</v>
      </c>
      <c r="K122" s="2" t="s">
        <v>25</v>
      </c>
      <c r="L122" s="4">
        <v>3330.11</v>
      </c>
      <c r="M122" s="2"/>
      <c r="N122" t="s">
        <v>508</v>
      </c>
      <c r="O122" t="s">
        <v>492</v>
      </c>
    </row>
    <row r="123" spans="1:15" ht="92.4" x14ac:dyDescent="0.3">
      <c r="A123" s="2" t="s">
        <v>322</v>
      </c>
      <c r="B123" s="2" t="str">
        <f>HYPERLINK("https://www.oursportscentral.com/services/releases/ignite-come-up-short-for-first-time-at-home-this-season/n-6188873")</f>
        <v>https://www.oursportscentral.com/services/releases/ignite-come-up-short-for-first-time-at-home-this-season/n-6188873</v>
      </c>
      <c r="C123" s="2"/>
      <c r="D123" s="2" t="s">
        <v>24</v>
      </c>
      <c r="E123" s="5">
        <v>45694.838888888888</v>
      </c>
      <c r="F123" s="2" t="s">
        <v>323</v>
      </c>
      <c r="G123" s="2">
        <v>62699</v>
      </c>
      <c r="H123" s="2">
        <v>0</v>
      </c>
      <c r="I123" s="2">
        <v>0</v>
      </c>
      <c r="J123" s="2">
        <v>0</v>
      </c>
      <c r="K123" s="2" t="s">
        <v>25</v>
      </c>
      <c r="L123" s="4">
        <v>579.97</v>
      </c>
      <c r="M123" s="2"/>
      <c r="N123" t="s">
        <v>492</v>
      </c>
      <c r="O123" t="s">
        <v>492</v>
      </c>
    </row>
    <row r="124" spans="1:15" ht="52.8" x14ac:dyDescent="0.3">
      <c r="A124" s="2" t="s">
        <v>314</v>
      </c>
      <c r="B124" s="2" t="str">
        <f>HYPERLINK("https://www.oursportscentral.com/services/releases/supernovas-offense-explodes-in-dominant-sweep-of-ignite/n-6188839")</f>
        <v>https://www.oursportscentral.com/services/releases/supernovas-offense-explodes-in-dominant-sweep-of-ignite/n-6188839</v>
      </c>
      <c r="C124" s="2"/>
      <c r="D124" s="2" t="s">
        <v>24</v>
      </c>
      <c r="E124" s="5">
        <v>45694.796527777777</v>
      </c>
      <c r="F124" s="2" t="s">
        <v>324</v>
      </c>
      <c r="G124" s="2">
        <v>62699</v>
      </c>
      <c r="H124" s="2">
        <v>0</v>
      </c>
      <c r="I124" s="2">
        <v>0</v>
      </c>
      <c r="J124" s="2">
        <v>0</v>
      </c>
      <c r="K124" s="2" t="s">
        <v>25</v>
      </c>
      <c r="L124" s="4">
        <v>579.97</v>
      </c>
      <c r="M124" s="2"/>
      <c r="N124" t="s">
        <v>492</v>
      </c>
      <c r="O124" t="s">
        <v>492</v>
      </c>
    </row>
    <row r="125" spans="1:15" ht="66" x14ac:dyDescent="0.3">
      <c r="A125" s="2" t="s">
        <v>325</v>
      </c>
      <c r="B125" s="2" t="str">
        <f>HYPERLINK("https://rock1015.com/2025/02/06/supernovas-road-swing-continues-in-indy-atlanta-this-weekend/")</f>
        <v>https://rock1015.com/2025/02/06/supernovas-road-swing-continues-in-indy-atlanta-this-weekend/</v>
      </c>
      <c r="C125" s="2" t="s">
        <v>108</v>
      </c>
      <c r="D125" s="2" t="s">
        <v>110</v>
      </c>
      <c r="E125" s="5">
        <v>45694.63957175926</v>
      </c>
      <c r="F125" s="2" t="s">
        <v>326</v>
      </c>
      <c r="G125" s="2">
        <v>1017</v>
      </c>
      <c r="H125" s="2">
        <v>0</v>
      </c>
      <c r="I125" s="2">
        <v>0</v>
      </c>
      <c r="J125" s="2">
        <v>0</v>
      </c>
      <c r="K125" s="2" t="s">
        <v>25</v>
      </c>
      <c r="L125" s="4">
        <v>9.41</v>
      </c>
      <c r="M125" s="2"/>
      <c r="N125" t="s">
        <v>504</v>
      </c>
      <c r="O125" t="s">
        <v>492</v>
      </c>
    </row>
    <row r="126" spans="1:15" ht="66" x14ac:dyDescent="0.3">
      <c r="A126" s="2" t="s">
        <v>325</v>
      </c>
      <c r="B126" s="2" t="str">
        <f>HYPERLINK("https://1077theisland.com/2025/02/06/supernovas-road-swing-continues-in-indy-atlanta-this-weekend/")</f>
        <v>https://1077theisland.com/2025/02/06/supernovas-road-swing-continues-in-indy-atlanta-this-weekend/</v>
      </c>
      <c r="C126" s="2" t="s">
        <v>108</v>
      </c>
      <c r="D126" s="2" t="s">
        <v>109</v>
      </c>
      <c r="E126" s="5">
        <v>45694.629502314812</v>
      </c>
      <c r="F126" s="2" t="s">
        <v>326</v>
      </c>
      <c r="G126" s="2">
        <v>1284</v>
      </c>
      <c r="H126" s="2">
        <v>0</v>
      </c>
      <c r="I126" s="2">
        <v>0</v>
      </c>
      <c r="J126" s="2">
        <v>0</v>
      </c>
      <c r="K126" s="2" t="s">
        <v>25</v>
      </c>
      <c r="L126" s="4">
        <v>11.88</v>
      </c>
      <c r="M126" s="2"/>
      <c r="N126" t="s">
        <v>504</v>
      </c>
      <c r="O126" t="s">
        <v>492</v>
      </c>
    </row>
    <row r="127" spans="1:15" ht="66" x14ac:dyDescent="0.3">
      <c r="A127" s="2" t="s">
        <v>325</v>
      </c>
      <c r="B127" s="2" t="str">
        <f>HYPERLINK("https://kqky.com/2025/02/06/supernovas-road-swing-continues-in-indy-atlanta-this-weekend/")</f>
        <v>https://kqky.com/2025/02/06/supernovas-road-swing-continues-in-indy-atlanta-this-weekend/</v>
      </c>
      <c r="C127" s="2" t="s">
        <v>108</v>
      </c>
      <c r="D127" s="2" t="s">
        <v>111</v>
      </c>
      <c r="E127" s="5">
        <v>45694.626909722218</v>
      </c>
      <c r="F127" s="2" t="s">
        <v>326</v>
      </c>
      <c r="G127" s="2">
        <v>737</v>
      </c>
      <c r="H127" s="2">
        <v>0</v>
      </c>
      <c r="I127" s="2">
        <v>0</v>
      </c>
      <c r="J127" s="2">
        <v>0</v>
      </c>
      <c r="K127" s="2" t="s">
        <v>25</v>
      </c>
      <c r="L127" s="4">
        <v>6.82</v>
      </c>
      <c r="M127" s="2"/>
      <c r="N127" t="s">
        <v>459</v>
      </c>
      <c r="O127" t="s">
        <v>492</v>
      </c>
    </row>
    <row r="128" spans="1:15" ht="66" x14ac:dyDescent="0.3">
      <c r="A128" s="2" t="s">
        <v>325</v>
      </c>
      <c r="B128" s="2" t="str">
        <f>HYPERLINK("https://kgfw.com/2025/02/06/supernovas-road-swing-continues-in-indy-atlanta-this-weekend/")</f>
        <v>https://kgfw.com/2025/02/06/supernovas-road-swing-continues-in-indy-atlanta-this-weekend/</v>
      </c>
      <c r="C128" s="2" t="s">
        <v>108</v>
      </c>
      <c r="D128" s="2" t="s">
        <v>112</v>
      </c>
      <c r="E128" s="5">
        <v>45694.620613425926</v>
      </c>
      <c r="F128" s="2" t="s">
        <v>326</v>
      </c>
      <c r="G128" s="2">
        <v>9856</v>
      </c>
      <c r="H128" s="2">
        <v>0</v>
      </c>
      <c r="I128" s="2">
        <v>0</v>
      </c>
      <c r="J128" s="2">
        <v>0</v>
      </c>
      <c r="K128" s="2" t="s">
        <v>25</v>
      </c>
      <c r="L128" s="4">
        <v>91.17</v>
      </c>
      <c r="M128" s="2"/>
      <c r="N128" t="s">
        <v>459</v>
      </c>
      <c r="O128" t="s">
        <v>492</v>
      </c>
    </row>
    <row r="129" spans="1:15" ht="66" x14ac:dyDescent="0.3">
      <c r="A129" s="2" t="s">
        <v>325</v>
      </c>
      <c r="B129" s="2" t="str">
        <f>HYPERLINK("https://www.centralnebraskatoday.com/2025/02/06/supernovas-road-swing-continues-in-indy-atlanta-this-weekend/")</f>
        <v>https://www.centralnebraskatoday.com/2025/02/06/supernovas-road-swing-continues-in-indy-atlanta-this-weekend/</v>
      </c>
      <c r="C129" s="2" t="s">
        <v>108</v>
      </c>
      <c r="D129" s="2" t="s">
        <v>113</v>
      </c>
      <c r="E129" s="5">
        <v>45694.616886574076</v>
      </c>
      <c r="F129" s="2" t="s">
        <v>326</v>
      </c>
      <c r="G129" s="2"/>
      <c r="H129" s="2">
        <v>1</v>
      </c>
      <c r="I129" s="2">
        <v>1025</v>
      </c>
      <c r="J129" s="2">
        <v>11</v>
      </c>
      <c r="K129" s="2" t="s">
        <v>25</v>
      </c>
      <c r="L129" s="2"/>
      <c r="M129" s="2"/>
      <c r="N129" t="s">
        <v>459</v>
      </c>
      <c r="O129" t="s">
        <v>492</v>
      </c>
    </row>
    <row r="130" spans="1:15" ht="66" x14ac:dyDescent="0.3">
      <c r="A130" s="2" t="s">
        <v>328</v>
      </c>
      <c r="B130" s="2" t="str">
        <f>HYPERLINK("https://www.si.com/college/purdue/other-sports/purdue-volleyball-dave-shondell-to-coach-in-pro-volleyball-federation-all-star-match-indianapolis-big-ten-volleyball")</f>
        <v>https://www.si.com/college/purdue/other-sports/purdue-volleyball-dave-shondell-to-coach-in-pro-volleyball-federation-all-star-match-indianapolis-big-ten-volleyball</v>
      </c>
      <c r="C130" s="2" t="s">
        <v>329</v>
      </c>
      <c r="D130" s="2" t="s">
        <v>205</v>
      </c>
      <c r="E130" s="5">
        <v>45694.48609953704</v>
      </c>
      <c r="F130" s="2" t="s">
        <v>330</v>
      </c>
      <c r="G130" s="2">
        <v>32744612</v>
      </c>
      <c r="H130" s="2">
        <v>1</v>
      </c>
      <c r="I130" s="2">
        <v>1514</v>
      </c>
      <c r="J130" s="2">
        <v>70</v>
      </c>
      <c r="K130" s="2" t="s">
        <v>28</v>
      </c>
      <c r="L130" s="4">
        <v>302887.65999999997</v>
      </c>
      <c r="M130" s="2"/>
      <c r="N130" t="s">
        <v>492</v>
      </c>
      <c r="O130" t="s">
        <v>492</v>
      </c>
    </row>
    <row r="131" spans="1:15" ht="211.2" x14ac:dyDescent="0.3">
      <c r="A131" s="2" t="s">
        <v>331</v>
      </c>
      <c r="B131" s="2" t="str">
        <f>HYPERLINK("https://www.wishtv.com/news/local-news/indiana-professional-volleyball-ignite/")</f>
        <v>https://www.wishtv.com/news/local-news/indiana-professional-volleyball-ignite/</v>
      </c>
      <c r="C131" s="2" t="s">
        <v>332</v>
      </c>
      <c r="D131" s="2" t="s">
        <v>100</v>
      </c>
      <c r="E131" s="5">
        <v>45694.485983796287</v>
      </c>
      <c r="F131" s="2" t="s">
        <v>333</v>
      </c>
      <c r="G131" s="2">
        <v>942280</v>
      </c>
      <c r="H131" s="2">
        <v>1</v>
      </c>
      <c r="I131" s="2">
        <v>7665</v>
      </c>
      <c r="J131" s="2">
        <v>13</v>
      </c>
      <c r="K131" s="2" t="s">
        <v>28</v>
      </c>
      <c r="L131" s="4">
        <v>8716.09</v>
      </c>
      <c r="M131" s="2"/>
      <c r="N131" t="s">
        <v>437</v>
      </c>
      <c r="O131" t="s">
        <v>513</v>
      </c>
    </row>
    <row r="132" spans="1:15" ht="79.2" x14ac:dyDescent="0.3">
      <c r="A132" s="2" t="s">
        <v>334</v>
      </c>
      <c r="B132" s="2" t="str">
        <f>HYPERLINK("https://bvmsports.com/2025/02/06/dave-shondell-to-lead-inaugural-pvf-all-star-match-this-february/")</f>
        <v>https://bvmsports.com/2025/02/06/dave-shondell-to-lead-inaugural-pvf-all-star-match-this-february/</v>
      </c>
      <c r="C132" s="2" t="s">
        <v>148</v>
      </c>
      <c r="D132" s="2" t="s">
        <v>149</v>
      </c>
      <c r="E132" s="5">
        <v>45694.477766203701</v>
      </c>
      <c r="F132" s="2" t="s">
        <v>335</v>
      </c>
      <c r="G132" s="2">
        <v>1839760</v>
      </c>
      <c r="H132" s="2">
        <v>0</v>
      </c>
      <c r="I132" s="2">
        <v>0</v>
      </c>
      <c r="J132" s="2">
        <v>0</v>
      </c>
      <c r="K132" s="2" t="s">
        <v>28</v>
      </c>
      <c r="L132" s="4">
        <v>17017.78</v>
      </c>
      <c r="M132" s="2"/>
      <c r="N132" t="s">
        <v>494</v>
      </c>
      <c r="O132" t="s">
        <v>514</v>
      </c>
    </row>
    <row r="133" spans="1:15" ht="92.4" x14ac:dyDescent="0.3">
      <c r="A133" s="2" t="s">
        <v>336</v>
      </c>
      <c r="B133" s="2" t="str">
        <f>HYPERLINK("https://fox59.com/morning-news/fishers-set-to-host-pvf-all-star-match/")</f>
        <v>https://fox59.com/morning-news/fishers-set-to-host-pvf-all-star-match/</v>
      </c>
      <c r="C133" s="2" t="s">
        <v>119</v>
      </c>
      <c r="D133" s="2" t="s">
        <v>122</v>
      </c>
      <c r="E133" s="5">
        <v>45694.326863425929</v>
      </c>
      <c r="F133" s="2" t="s">
        <v>337</v>
      </c>
      <c r="G133" s="2">
        <v>1972067</v>
      </c>
      <c r="H133" s="2">
        <v>0</v>
      </c>
      <c r="I133" s="2">
        <v>0</v>
      </c>
      <c r="J133" s="2">
        <v>0</v>
      </c>
      <c r="K133" s="2" t="s">
        <v>25</v>
      </c>
      <c r="L133" s="4">
        <v>18241.62</v>
      </c>
      <c r="M133" s="2"/>
      <c r="N133" t="s">
        <v>437</v>
      </c>
      <c r="O133" t="s">
        <v>513</v>
      </c>
    </row>
    <row r="134" spans="1:15" ht="92.4" x14ac:dyDescent="0.3">
      <c r="A134" s="2" t="s">
        <v>336</v>
      </c>
      <c r="B134" s="2" t="str">
        <f>HYPERLINK("https://cbs4indy.com/this-morning/fishers-set-to-host-pvf-all-star-match/")</f>
        <v>https://cbs4indy.com/this-morning/fishers-set-to-host-pvf-all-star-match/</v>
      </c>
      <c r="C134" s="2" t="s">
        <v>119</v>
      </c>
      <c r="D134" s="2" t="s">
        <v>120</v>
      </c>
      <c r="E134" s="5">
        <v>45694.30064814815</v>
      </c>
      <c r="F134" s="2" t="s">
        <v>337</v>
      </c>
      <c r="G134" s="2">
        <v>142737</v>
      </c>
      <c r="H134" s="2">
        <v>0</v>
      </c>
      <c r="I134" s="2">
        <v>0</v>
      </c>
      <c r="J134" s="2">
        <v>0</v>
      </c>
      <c r="K134" s="2" t="s">
        <v>25</v>
      </c>
      <c r="L134" s="4">
        <v>1320.32</v>
      </c>
      <c r="M134" s="2"/>
      <c r="N134" t="s">
        <v>437</v>
      </c>
      <c r="O134" t="s">
        <v>513</v>
      </c>
    </row>
    <row r="135" spans="1:15" ht="92.4" x14ac:dyDescent="0.3">
      <c r="A135" s="2" t="s">
        <v>336</v>
      </c>
      <c r="B135" s="2" t="str">
        <f>HYPERLINK("https://sports.yahoo.com/fishers-set-host-pvf-star-121256365.html")</f>
        <v>https://sports.yahoo.com/fishers-set-host-pvf-star-121256365.html</v>
      </c>
      <c r="C135" s="2" t="s">
        <v>119</v>
      </c>
      <c r="D135" s="2" t="s">
        <v>85</v>
      </c>
      <c r="E135" s="5">
        <v>45694.30064814815</v>
      </c>
      <c r="F135" s="2" t="s">
        <v>337</v>
      </c>
      <c r="G135" s="2">
        <v>23223632</v>
      </c>
      <c r="H135" s="2">
        <v>0</v>
      </c>
      <c r="I135" s="2">
        <v>0</v>
      </c>
      <c r="J135" s="2">
        <v>0</v>
      </c>
      <c r="K135" s="2" t="s">
        <v>25</v>
      </c>
      <c r="L135" s="4">
        <v>214818.6</v>
      </c>
      <c r="M135" s="2"/>
      <c r="N135" t="s">
        <v>492</v>
      </c>
      <c r="O135" t="s">
        <v>492</v>
      </c>
    </row>
    <row r="136" spans="1:15" ht="79.2" x14ac:dyDescent="0.3">
      <c r="A136" s="2" t="s">
        <v>338</v>
      </c>
      <c r="B136" s="2" t="str">
        <f>HYPERLINK("https://www.oursportscentral.com/services/releases/shondell-collier-to-lead-pvf-all-star-teams/n-6188592")</f>
        <v>https://www.oursportscentral.com/services/releases/shondell-collier-to-lead-pvf-all-star-teams/n-6188592</v>
      </c>
      <c r="C136" s="2"/>
      <c r="D136" s="2" t="s">
        <v>24</v>
      </c>
      <c r="E136" s="5">
        <v>45694.193749999999</v>
      </c>
      <c r="F136" s="2" t="s">
        <v>339</v>
      </c>
      <c r="G136" s="2">
        <v>62699</v>
      </c>
      <c r="H136" s="2">
        <v>0</v>
      </c>
      <c r="I136" s="2">
        <v>0</v>
      </c>
      <c r="J136" s="2">
        <v>0</v>
      </c>
      <c r="K136" s="2" t="s">
        <v>28</v>
      </c>
      <c r="L136" s="4">
        <v>579.97</v>
      </c>
      <c r="M136" s="2"/>
      <c r="N136" t="s">
        <v>492</v>
      </c>
      <c r="O136" t="s">
        <v>492</v>
      </c>
    </row>
    <row r="137" spans="1:15" ht="132" x14ac:dyDescent="0.3">
      <c r="A137" s="2" t="s">
        <v>340</v>
      </c>
      <c r="B137" s="2" t="str">
        <f>HYPERLINK("https://www.sportingnews.com/us/tickets/news/pro-volleyball-federation-all-star-tickets-2025-seats-rosters-indiana/50bfe17f7a09311fe5dd29a9")</f>
        <v>https://www.sportingnews.com/us/tickets/news/pro-volleyball-federation-all-star-tickets-2025-seats-rosters-indiana/50bfe17f7a09311fe5dd29a9</v>
      </c>
      <c r="C137" s="2" t="s">
        <v>341</v>
      </c>
      <c r="D137" s="2" t="s">
        <v>342</v>
      </c>
      <c r="E137" s="5">
        <v>45694.169675925928</v>
      </c>
      <c r="F137" s="2" t="s">
        <v>343</v>
      </c>
      <c r="G137" s="2">
        <v>23166645</v>
      </c>
      <c r="H137" s="2">
        <v>0</v>
      </c>
      <c r="I137" s="2">
        <v>0</v>
      </c>
      <c r="J137" s="2">
        <v>0</v>
      </c>
      <c r="K137" s="2" t="s">
        <v>28</v>
      </c>
      <c r="L137" s="4">
        <v>214291.47</v>
      </c>
      <c r="M137" s="2"/>
      <c r="N137" t="s">
        <v>492</v>
      </c>
      <c r="O137" t="s">
        <v>492</v>
      </c>
    </row>
    <row r="138" spans="1:15" ht="158.4" x14ac:dyDescent="0.3">
      <c r="A138" s="2" t="s">
        <v>344</v>
      </c>
      <c r="B138" s="2" t="str">
        <f>HYPERLINK("https://purduesports.com/news/2025/2/6/volleyball-shondell-to-coach-pvf-all-star-match")</f>
        <v>https://purduesports.com/news/2025/2/6/volleyball-shondell-to-coach-pvf-all-star-match</v>
      </c>
      <c r="C138" s="2" t="s">
        <v>153</v>
      </c>
      <c r="D138" s="2" t="s">
        <v>154</v>
      </c>
      <c r="E138" s="5">
        <v>45694</v>
      </c>
      <c r="F138" s="2" t="s">
        <v>345</v>
      </c>
      <c r="G138" s="2">
        <v>201151</v>
      </c>
      <c r="H138" s="2">
        <v>0</v>
      </c>
      <c r="I138" s="2">
        <v>0</v>
      </c>
      <c r="J138" s="2">
        <v>0</v>
      </c>
      <c r="K138" s="2" t="s">
        <v>28</v>
      </c>
      <c r="L138" s="4">
        <v>1860.65</v>
      </c>
      <c r="M138" s="2"/>
      <c r="N138" t="s">
        <v>509</v>
      </c>
      <c r="O138" t="s">
        <v>513</v>
      </c>
    </row>
    <row r="139" spans="1:15" ht="79.2" x14ac:dyDescent="0.3">
      <c r="A139" s="2" t="s">
        <v>346</v>
      </c>
      <c r="B139" s="2" t="str">
        <f>HYPERLINK("https://www.wrtv.com/sports/weve-seen-the-growth-hoosier-girls-women-in-sports-take-center-stage-during-national-day-of-recognition")</f>
        <v>https://www.wrtv.com/sports/weve-seen-the-growth-hoosier-girls-women-in-sports-take-center-stage-during-national-day-of-recognition</v>
      </c>
      <c r="C139" s="2" t="s">
        <v>347</v>
      </c>
      <c r="D139" s="2" t="s">
        <v>72</v>
      </c>
      <c r="E139" s="5">
        <v>45693.824282407397</v>
      </c>
      <c r="F139" s="2" t="s">
        <v>348</v>
      </c>
      <c r="G139" s="2">
        <v>420033</v>
      </c>
      <c r="H139" s="2">
        <v>0</v>
      </c>
      <c r="I139" s="2">
        <v>0</v>
      </c>
      <c r="J139" s="2">
        <v>0</v>
      </c>
      <c r="K139" s="2" t="s">
        <v>28</v>
      </c>
      <c r="L139" s="4">
        <v>3885.31</v>
      </c>
      <c r="M139" s="2"/>
      <c r="N139" t="s">
        <v>437</v>
      </c>
      <c r="O139" t="s">
        <v>513</v>
      </c>
    </row>
    <row r="140" spans="1:15" ht="79.2" x14ac:dyDescent="0.3">
      <c r="A140" s="2" t="s">
        <v>349</v>
      </c>
      <c r="B140" s="2" t="str">
        <f>HYPERLINK("https://fox59.com/news/indynews/fishers-mayor-highlights-future-developments-in-state-of-the-city-address/")</f>
        <v>https://fox59.com/news/indynews/fishers-mayor-highlights-future-developments-in-state-of-the-city-address/</v>
      </c>
      <c r="C140" s="2" t="s">
        <v>350</v>
      </c>
      <c r="D140" s="2" t="s">
        <v>122</v>
      </c>
      <c r="E140" s="5">
        <v>45693.763495370367</v>
      </c>
      <c r="F140" s="2" t="s">
        <v>351</v>
      </c>
      <c r="G140" s="2">
        <v>1972067</v>
      </c>
      <c r="H140" s="2">
        <v>0</v>
      </c>
      <c r="I140" s="2">
        <v>0</v>
      </c>
      <c r="J140" s="2">
        <v>0</v>
      </c>
      <c r="K140" s="2" t="s">
        <v>28</v>
      </c>
      <c r="L140" s="4">
        <v>18241.62</v>
      </c>
      <c r="M140" s="2"/>
      <c r="N140" t="s">
        <v>437</v>
      </c>
      <c r="O140" t="s">
        <v>513</v>
      </c>
    </row>
    <row r="141" spans="1:15" ht="79.2" x14ac:dyDescent="0.3">
      <c r="A141" s="2" t="s">
        <v>349</v>
      </c>
      <c r="B141" s="2" t="str">
        <f>HYPERLINK("https://cbs4indy.com/news/central-indiana-news/fishers-mayor-highlights-future-developments-in-state-of-the-city-address/")</f>
        <v>https://cbs4indy.com/news/central-indiana-news/fishers-mayor-highlights-future-developments-in-state-of-the-city-address/</v>
      </c>
      <c r="C141" s="2"/>
      <c r="D141" s="2" t="s">
        <v>120</v>
      </c>
      <c r="E141" s="5">
        <v>45693.741736111107</v>
      </c>
      <c r="F141" s="2" t="s">
        <v>352</v>
      </c>
      <c r="G141" s="2">
        <v>142737</v>
      </c>
      <c r="H141" s="2">
        <v>0</v>
      </c>
      <c r="I141" s="2">
        <v>0</v>
      </c>
      <c r="J141" s="2">
        <v>0</v>
      </c>
      <c r="K141" s="2" t="s">
        <v>28</v>
      </c>
      <c r="L141" s="4">
        <v>1320.32</v>
      </c>
      <c r="M141" s="2"/>
      <c r="N141" t="s">
        <v>437</v>
      </c>
      <c r="O141" t="s">
        <v>513</v>
      </c>
    </row>
    <row r="142" spans="1:15" ht="39.6" x14ac:dyDescent="0.3">
      <c r="A142" s="2" t="s">
        <v>353</v>
      </c>
      <c r="B142" s="2" t="str">
        <f>HYPERLINK("https://indianapolisrecorder.com/lena-pringle-hopes-to-win-miss-indiana-usa-for-community/")</f>
        <v>https://indianapolisrecorder.com/lena-pringle-hopes-to-win-miss-indiana-usa-for-community/</v>
      </c>
      <c r="C142" s="2" t="s">
        <v>354</v>
      </c>
      <c r="D142" s="2" t="s">
        <v>104</v>
      </c>
      <c r="E142" s="5">
        <v>45693.660138888888</v>
      </c>
      <c r="F142" s="2" t="s">
        <v>355</v>
      </c>
      <c r="G142" s="2">
        <v>40036</v>
      </c>
      <c r="H142" s="2">
        <v>0</v>
      </c>
      <c r="I142" s="2">
        <v>0</v>
      </c>
      <c r="J142" s="2">
        <v>0</v>
      </c>
      <c r="K142" s="2" t="s">
        <v>28</v>
      </c>
      <c r="L142" s="4">
        <v>370.33</v>
      </c>
      <c r="M142" s="2"/>
      <c r="N142" t="s">
        <v>437</v>
      </c>
      <c r="O142" t="s">
        <v>513</v>
      </c>
    </row>
    <row r="143" spans="1:15" ht="66" x14ac:dyDescent="0.3">
      <c r="A143" s="2" t="s">
        <v>356</v>
      </c>
      <c r="B143" s="2" t="str">
        <f>HYPERLINK("https://www.oursportscentral.com/services/releases/supernovas-face-ignite-for-first-time-in-franchise-history-conclude-road-trip-in-atlanta/n-6188473")</f>
        <v>https://www.oursportscentral.com/services/releases/supernovas-face-ignite-for-first-time-in-franchise-history-conclude-road-trip-in-atlanta/n-6188473</v>
      </c>
      <c r="C143" s="2"/>
      <c r="D143" s="2" t="s">
        <v>24</v>
      </c>
      <c r="E143" s="5">
        <v>45693.588194444441</v>
      </c>
      <c r="F143" s="2" t="s">
        <v>357</v>
      </c>
      <c r="G143" s="2">
        <v>62699</v>
      </c>
      <c r="H143" s="2">
        <v>0</v>
      </c>
      <c r="I143" s="2">
        <v>0</v>
      </c>
      <c r="J143" s="2">
        <v>0</v>
      </c>
      <c r="K143" s="2" t="s">
        <v>25</v>
      </c>
      <c r="L143" s="4">
        <v>579.97</v>
      </c>
      <c r="M143" s="2"/>
      <c r="N143" t="s">
        <v>492</v>
      </c>
      <c r="O143" t="s">
        <v>492</v>
      </c>
    </row>
    <row r="144" spans="1:15" ht="92.4" x14ac:dyDescent="0.3">
      <c r="A144" s="2" t="s">
        <v>358</v>
      </c>
      <c r="B144" s="2" t="str">
        <f>HYPERLINK("https://www.oursportscentral.com/services/releases/indy-ignite-host-reigning-pvf-champs-on-girls--women-in-sports-night/n-6188403")</f>
        <v>https://www.oursportscentral.com/services/releases/indy-ignite-host-reigning-pvf-champs-on-girls--women-in-sports-night/n-6188403</v>
      </c>
      <c r="C144" s="2"/>
      <c r="D144" s="2" t="s">
        <v>24</v>
      </c>
      <c r="E144" s="5">
        <v>45693.488194444442</v>
      </c>
      <c r="F144" s="2" t="s">
        <v>359</v>
      </c>
      <c r="G144" s="2">
        <v>62699</v>
      </c>
      <c r="H144" s="2">
        <v>0</v>
      </c>
      <c r="I144" s="2">
        <v>0</v>
      </c>
      <c r="J144" s="2">
        <v>0</v>
      </c>
      <c r="K144" s="2" t="s">
        <v>28</v>
      </c>
      <c r="L144" s="4">
        <v>579.97</v>
      </c>
      <c r="M144" s="2"/>
      <c r="N144" t="s">
        <v>492</v>
      </c>
      <c r="O144" t="s">
        <v>492</v>
      </c>
    </row>
    <row r="145" spans="1:15" ht="79.2" x14ac:dyDescent="0.3">
      <c r="A145" s="2" t="s">
        <v>360</v>
      </c>
      <c r="B145" s="2" t="str">
        <f>HYPERLINK("https://www.visitindiana.com/blog/post/celebrating-national-girls-and-women-in-sports-day-in-indiana/")</f>
        <v>https://www.visitindiana.com/blog/post/celebrating-national-girls-and-women-in-sports-day-in-indiana/</v>
      </c>
      <c r="C145" s="2"/>
      <c r="D145" s="2" t="s">
        <v>361</v>
      </c>
      <c r="E145" s="5">
        <v>45693.25</v>
      </c>
      <c r="F145" s="2" t="s">
        <v>362</v>
      </c>
      <c r="G145" s="2">
        <v>66456</v>
      </c>
      <c r="H145" s="2"/>
      <c r="I145" s="2"/>
      <c r="J145" s="2"/>
      <c r="K145" s="2" t="s">
        <v>28</v>
      </c>
      <c r="L145" s="4">
        <v>614.72</v>
      </c>
      <c r="M145" s="2"/>
      <c r="N145" t="s">
        <v>437</v>
      </c>
      <c r="O145" t="s">
        <v>513</v>
      </c>
    </row>
    <row r="146" spans="1:15" ht="92.4" x14ac:dyDescent="0.3">
      <c r="A146" s="2" t="s">
        <v>363</v>
      </c>
      <c r="B146" s="2" t="str">
        <f>HYPERLINK("https://indyschild.com/indy-ignite-lighting-up-the-volleyball-scene-in-indianapolis/")</f>
        <v>https://indyschild.com/indy-ignite-lighting-up-the-volleyball-scene-in-indianapolis/</v>
      </c>
      <c r="C146" s="2" t="s">
        <v>364</v>
      </c>
      <c r="D146" s="2" t="s">
        <v>365</v>
      </c>
      <c r="E146" s="5">
        <v>45692.806527777779</v>
      </c>
      <c r="F146" s="2" t="s">
        <v>366</v>
      </c>
      <c r="G146" s="2">
        <v>27215</v>
      </c>
      <c r="H146" s="2">
        <v>0</v>
      </c>
      <c r="I146" s="2">
        <v>0</v>
      </c>
      <c r="J146" s="2">
        <v>0</v>
      </c>
      <c r="K146" s="2" t="s">
        <v>28</v>
      </c>
      <c r="L146" s="4">
        <v>251.74</v>
      </c>
      <c r="M146" s="2"/>
      <c r="N146" t="s">
        <v>437</v>
      </c>
      <c r="O146" t="s">
        <v>513</v>
      </c>
    </row>
    <row r="147" spans="1:15" ht="224.4" x14ac:dyDescent="0.3">
      <c r="A147" s="2" t="s">
        <v>367</v>
      </c>
      <c r="B147" s="2" t="str">
        <f>HYPERLINK("https://indymaven.com/articles/your-guide-to-fun-in-fishers/")</f>
        <v>https://indymaven.com/articles/your-guide-to-fun-in-fishers/</v>
      </c>
      <c r="C147" s="2" t="s">
        <v>368</v>
      </c>
      <c r="D147" s="2" t="s">
        <v>369</v>
      </c>
      <c r="E147" s="5">
        <v>45692.612569444442</v>
      </c>
      <c r="F147" s="2" t="s">
        <v>370</v>
      </c>
      <c r="G147" s="2">
        <v>8342</v>
      </c>
      <c r="H147" s="2">
        <v>0</v>
      </c>
      <c r="I147" s="2">
        <v>0</v>
      </c>
      <c r="J147" s="2">
        <v>12</v>
      </c>
      <c r="K147" s="2" t="s">
        <v>28</v>
      </c>
      <c r="L147" s="4">
        <v>77.16</v>
      </c>
      <c r="M147" s="2"/>
      <c r="N147" t="s">
        <v>437</v>
      </c>
      <c r="O147" t="s">
        <v>513</v>
      </c>
    </row>
    <row r="148" spans="1:15" ht="79.2" x14ac:dyDescent="0.3">
      <c r="A148" s="2" t="s">
        <v>371</v>
      </c>
      <c r="B148" s="2" t="str">
        <f>HYPERLINK("https://www.oursportscentral.com/services/releases/jalen-rose-to-co-host-historic-pro-volleyball-federation-all-star-event/n-6187967")</f>
        <v>https://www.oursportscentral.com/services/releases/jalen-rose-to-co-host-historic-pro-volleyball-federation-all-star-event/n-6187967</v>
      </c>
      <c r="C148" s="2"/>
      <c r="D148" s="2" t="s">
        <v>24</v>
      </c>
      <c r="E148" s="5">
        <v>45692.359722222223</v>
      </c>
      <c r="F148" s="2" t="s">
        <v>372</v>
      </c>
      <c r="G148" s="2">
        <v>62699</v>
      </c>
      <c r="H148" s="2">
        <v>0</v>
      </c>
      <c r="I148" s="2">
        <v>0</v>
      </c>
      <c r="J148" s="2">
        <v>0</v>
      </c>
      <c r="K148" s="2" t="s">
        <v>28</v>
      </c>
      <c r="L148" s="4">
        <v>579.97</v>
      </c>
      <c r="M148" s="2"/>
      <c r="N148" t="s">
        <v>492</v>
      </c>
      <c r="O148" t="s">
        <v>492</v>
      </c>
    </row>
    <row r="149" spans="1:15" ht="118.8" x14ac:dyDescent="0.3">
      <c r="A149" s="2" t="s">
        <v>373</v>
      </c>
      <c r="B149" s="2" t="str">
        <f>HYPERLINK("https://www.nuvo.net/sports/indy-ignite-dominates-columbus-fury-in-straight-sets/collection_e5104354-e294-11ef-93ac-a725e9acaa41.html")</f>
        <v>https://www.nuvo.net/sports/indy-ignite-dominates-columbus-fury-in-straight-sets/collection_e5104354-e294-11ef-93ac-a725e9acaa41.html</v>
      </c>
      <c r="C149" s="2" t="s">
        <v>138</v>
      </c>
      <c r="D149" s="2" t="s">
        <v>139</v>
      </c>
      <c r="E149" s="5">
        <v>45691.877349537041</v>
      </c>
      <c r="F149" s="2" t="s">
        <v>374</v>
      </c>
      <c r="G149" s="2">
        <v>16115</v>
      </c>
      <c r="H149" s="2">
        <v>0</v>
      </c>
      <c r="I149" s="2">
        <v>0</v>
      </c>
      <c r="J149" s="2">
        <v>15</v>
      </c>
      <c r="K149" s="2" t="s">
        <v>25</v>
      </c>
      <c r="L149" s="4">
        <v>149.06</v>
      </c>
      <c r="M149" s="2"/>
      <c r="N149" t="s">
        <v>437</v>
      </c>
      <c r="O149" t="s">
        <v>513</v>
      </c>
    </row>
    <row r="150" spans="1:15" ht="79.2" x14ac:dyDescent="0.3">
      <c r="A150" s="2" t="s">
        <v>375</v>
      </c>
      <c r="B150" s="2" t="str">
        <f>HYPERLINK("https://www.oursportscentral.com/services/releases/vegas-captures-third-reverse-sweep-of-the-season-against-indy/n-6187742")</f>
        <v>https://www.oursportscentral.com/services/releases/vegas-captures-third-reverse-sweep-of-the-season-against-indy/n-6187742</v>
      </c>
      <c r="C150" s="2"/>
      <c r="D150" s="2" t="s">
        <v>24</v>
      </c>
      <c r="E150" s="5">
        <v>45691.504166666673</v>
      </c>
      <c r="F150" s="2" t="s">
        <v>376</v>
      </c>
      <c r="G150" s="2">
        <v>62699</v>
      </c>
      <c r="H150" s="2">
        <v>0</v>
      </c>
      <c r="I150" s="2">
        <v>0</v>
      </c>
      <c r="J150" s="2">
        <v>0</v>
      </c>
      <c r="K150" s="2" t="s">
        <v>25</v>
      </c>
      <c r="L150" s="4">
        <v>579.97</v>
      </c>
      <c r="M150" s="2"/>
      <c r="N150" t="s">
        <v>492</v>
      </c>
      <c r="O150" t="s">
        <v>492</v>
      </c>
    </row>
    <row r="151" spans="1:15" ht="79.2" x14ac:dyDescent="0.3">
      <c r="A151" s="2" t="s">
        <v>377</v>
      </c>
      <c r="B151" s="2" t="str">
        <f>HYPERLINK("https://thetimes24-7.com/2025/02/countdown-is-on-for-all-star-vb/")</f>
        <v>https://thetimes24-7.com/2025/02/countdown-is-on-for-all-star-vb/</v>
      </c>
      <c r="C151" s="2"/>
      <c r="D151" s="2" t="s">
        <v>378</v>
      </c>
      <c r="E151" s="5">
        <v>45691.405381944453</v>
      </c>
      <c r="F151" s="2" t="s">
        <v>379</v>
      </c>
      <c r="G151" s="2">
        <v>1933</v>
      </c>
      <c r="H151" s="2">
        <v>0</v>
      </c>
      <c r="I151" s="2">
        <v>0</v>
      </c>
      <c r="J151" s="2">
        <v>0</v>
      </c>
      <c r="K151" s="2" t="s">
        <v>28</v>
      </c>
      <c r="L151" s="4">
        <v>17.88</v>
      </c>
      <c r="M151" s="2"/>
      <c r="N151" t="s">
        <v>510</v>
      </c>
      <c r="O151" t="s">
        <v>513</v>
      </c>
    </row>
    <row r="152" spans="1:15" ht="79.2" x14ac:dyDescent="0.3">
      <c r="A152" s="2" t="s">
        <v>377</v>
      </c>
      <c r="B152" s="2" t="str">
        <f>HYPERLINK("https://indy-ignite-pro-volleyball.muckrack.com/link/e5ZnbD/countdown-is-on-for-all-star-vb")</f>
        <v>https://indy-ignite-pro-volleyball.muckrack.com/link/e5ZnbD/countdown-is-on-for-all-star-vb</v>
      </c>
      <c r="C152" s="2"/>
      <c r="D152" s="2" t="s">
        <v>380</v>
      </c>
      <c r="E152" s="5">
        <v>45691.291666666657</v>
      </c>
      <c r="F152" s="2" t="s">
        <v>381</v>
      </c>
      <c r="G152" s="2"/>
      <c r="H152" s="2">
        <v>0</v>
      </c>
      <c r="I152" s="2">
        <v>0</v>
      </c>
      <c r="J152" s="2">
        <v>0</v>
      </c>
      <c r="K152" s="2" t="s">
        <v>28</v>
      </c>
      <c r="L152" s="4">
        <v>4213</v>
      </c>
      <c r="M152" s="2"/>
      <c r="N152" t="s">
        <v>510</v>
      </c>
      <c r="O152" t="s">
        <v>513</v>
      </c>
    </row>
    <row r="153" spans="1:15" ht="79.2" x14ac:dyDescent="0.3">
      <c r="A153" s="2" t="s">
        <v>382</v>
      </c>
      <c r="B153" s="2" t="str">
        <f>HYPERLINK("https://www.wthr.com/article/sports/local-sports/indy-ignite-bounce-back-with-fourth-win-inaugural-season-professional-volleyball-federation/531-80d09c7f-a063-43de-83be-7d44890efc22")</f>
        <v>https://www.wthr.com/article/sports/local-sports/indy-ignite-bounce-back-with-fourth-win-inaugural-season-professional-volleyball-federation/531-80d09c7f-a063-43de-83be-7d44890efc22</v>
      </c>
      <c r="C153" s="2"/>
      <c r="D153" s="2" t="s">
        <v>32</v>
      </c>
      <c r="E153" s="5">
        <v>45691.253657407397</v>
      </c>
      <c r="F153" s="2" t="s">
        <v>383</v>
      </c>
      <c r="G153" s="2">
        <v>1401295</v>
      </c>
      <c r="H153" s="2">
        <v>0</v>
      </c>
      <c r="I153" s="2">
        <v>0</v>
      </c>
      <c r="J153" s="2">
        <v>55</v>
      </c>
      <c r="K153" s="2" t="s">
        <v>28</v>
      </c>
      <c r="L153" s="4">
        <v>12961.98</v>
      </c>
      <c r="M153" s="2"/>
      <c r="N153" t="s">
        <v>437</v>
      </c>
      <c r="O153" t="s">
        <v>513</v>
      </c>
    </row>
    <row r="154" spans="1:15" ht="79.2" x14ac:dyDescent="0.3">
      <c r="A154" s="2" t="s">
        <v>384</v>
      </c>
      <c r="B154" s="2" t="str">
        <f>HYPERLINK("https://www.oursportscentral.com/services/releases/ignite-bounce-back-with-sweep-over-fury/n-6187596")</f>
        <v>https://www.oursportscentral.com/services/releases/ignite-bounce-back-with-sweep-over-fury/n-6187596</v>
      </c>
      <c r="C154" s="2"/>
      <c r="D154" s="2" t="s">
        <v>24</v>
      </c>
      <c r="E154" s="5">
        <v>45690.822916666657</v>
      </c>
      <c r="F154" s="2" t="s">
        <v>385</v>
      </c>
      <c r="G154" s="2">
        <v>62699</v>
      </c>
      <c r="H154" s="2">
        <v>0</v>
      </c>
      <c r="I154" s="2">
        <v>0</v>
      </c>
      <c r="J154" s="2">
        <v>0</v>
      </c>
      <c r="K154" s="2" t="s">
        <v>25</v>
      </c>
      <c r="L154" s="4">
        <v>579.97</v>
      </c>
      <c r="M154" s="2"/>
      <c r="N154" t="s">
        <v>492</v>
      </c>
      <c r="O154" t="s">
        <v>492</v>
      </c>
    </row>
    <row r="155" spans="1:15" ht="66" x14ac:dyDescent="0.3">
      <c r="A155" s="2" t="s">
        <v>386</v>
      </c>
      <c r="B155" s="2" t="str">
        <f>HYPERLINK("https://www.oursportscentral.com/services/releases/fury-fall-to-indy/n-6187567")</f>
        <v>https://www.oursportscentral.com/services/releases/fury-fall-to-indy/n-6187567</v>
      </c>
      <c r="C155" s="2"/>
      <c r="D155" s="2" t="s">
        <v>24</v>
      </c>
      <c r="E155" s="5">
        <v>45690.738194444442</v>
      </c>
      <c r="F155" s="2" t="s">
        <v>387</v>
      </c>
      <c r="G155" s="2">
        <v>62699</v>
      </c>
      <c r="H155" s="2">
        <v>0</v>
      </c>
      <c r="I155" s="2">
        <v>0</v>
      </c>
      <c r="J155" s="2">
        <v>0</v>
      </c>
      <c r="K155" s="2" t="s">
        <v>25</v>
      </c>
      <c r="L155" s="4">
        <v>579.97</v>
      </c>
      <c r="M155" s="2"/>
      <c r="N155" t="s">
        <v>492</v>
      </c>
      <c r="O155" t="s">
        <v>492</v>
      </c>
    </row>
    <row r="156" spans="1:15" ht="105.6" x14ac:dyDescent="0.3">
      <c r="A156" s="2" t="s">
        <v>388</v>
      </c>
      <c r="B156" s="2" t="str">
        <f>HYPERLINK("https://myfox28columbus.com/sports/columbus-fury-falls-to-indy-ignite-in-straight-sets-abby-walker-megan-lush-izabella-rapacz-kaley-rammelsberg-paula-cerame-angel-hernandez")</f>
        <v>https://myfox28columbus.com/sports/columbus-fury-falls-to-indy-ignite-in-straight-sets-abby-walker-megan-lush-izabella-rapacz-kaley-rammelsberg-paula-cerame-angel-hernandez</v>
      </c>
      <c r="C156" s="2"/>
      <c r="D156" s="2" t="s">
        <v>389</v>
      </c>
      <c r="E156" s="5">
        <v>45690.689675925933</v>
      </c>
      <c r="F156" s="2" t="s">
        <v>390</v>
      </c>
      <c r="G156" s="2">
        <v>136943</v>
      </c>
      <c r="H156" s="2">
        <v>0</v>
      </c>
      <c r="I156" s="2">
        <v>0</v>
      </c>
      <c r="J156" s="2">
        <v>0</v>
      </c>
      <c r="K156" s="2" t="s">
        <v>25</v>
      </c>
      <c r="L156" s="4">
        <v>1266.72</v>
      </c>
      <c r="M156" s="2"/>
      <c r="N156" t="s">
        <v>511</v>
      </c>
      <c r="O156" t="s">
        <v>492</v>
      </c>
    </row>
    <row r="157" spans="1:15" ht="105.6" x14ac:dyDescent="0.3">
      <c r="A157" s="2" t="s">
        <v>388</v>
      </c>
      <c r="B157" s="2" t="str">
        <f>HYPERLINK("https://cwcolumbus.com/sports/columbus-fury-falls-to-indy-ignite-in-straight-sets-abby-walker-megan-lush-izabella-rapacz-kaley-rammelsberg-paula-cerame-angel-hernandez")</f>
        <v>https://cwcolumbus.com/sports/columbus-fury-falls-to-indy-ignite-in-straight-sets-abby-walker-megan-lush-izabella-rapacz-kaley-rammelsberg-paula-cerame-angel-hernandez</v>
      </c>
      <c r="C157" s="2"/>
      <c r="D157" s="2" t="s">
        <v>391</v>
      </c>
      <c r="E157" s="5">
        <v>45690.689675925933</v>
      </c>
      <c r="F157" s="2" t="s">
        <v>390</v>
      </c>
      <c r="G157" s="2">
        <v>15730</v>
      </c>
      <c r="H157" s="2">
        <v>0</v>
      </c>
      <c r="I157" s="2">
        <v>0</v>
      </c>
      <c r="J157" s="2">
        <v>0</v>
      </c>
      <c r="K157" s="2" t="s">
        <v>25</v>
      </c>
      <c r="L157" s="4">
        <v>145.5</v>
      </c>
      <c r="M157" s="2"/>
      <c r="N157" t="s">
        <v>511</v>
      </c>
      <c r="O157" t="s">
        <v>492</v>
      </c>
    </row>
    <row r="158" spans="1:15" ht="79.2" x14ac:dyDescent="0.3">
      <c r="A158" s="2" t="s">
        <v>388</v>
      </c>
      <c r="B158" s="2" t="str">
        <f>HYPERLINK("https://abc6onyourside.com/sports/sports-newsletter/columbus-fury-falls-to-indy-ignite-in-straight-sets-abby-walker-megan-lush-izabella-rapacz-kaley-rammelsberg-paula-cerame-angel-hernandez")</f>
        <v>https://abc6onyourside.com/sports/sports-newsletter/columbus-fury-falls-to-indy-ignite-in-straight-sets-abby-walker-megan-lush-izabella-rapacz-kaley-rammelsberg-paula-cerame-angel-hernandez</v>
      </c>
      <c r="C158" s="2"/>
      <c r="D158" s="2" t="s">
        <v>392</v>
      </c>
      <c r="E158" s="5">
        <v>45690.689675925933</v>
      </c>
      <c r="F158" s="2" t="s">
        <v>393</v>
      </c>
      <c r="G158" s="2">
        <v>603473</v>
      </c>
      <c r="H158" s="2">
        <v>0</v>
      </c>
      <c r="I158" s="2">
        <v>0</v>
      </c>
      <c r="J158" s="2">
        <v>0</v>
      </c>
      <c r="K158" s="2" t="s">
        <v>25</v>
      </c>
      <c r="L158" s="4">
        <v>5582.13</v>
      </c>
      <c r="M158" s="2"/>
      <c r="N158" t="s">
        <v>511</v>
      </c>
      <c r="O158" t="s">
        <v>492</v>
      </c>
    </row>
    <row r="159" spans="1:15" ht="66" x14ac:dyDescent="0.3">
      <c r="A159" s="2" t="s">
        <v>394</v>
      </c>
      <c r="B159" s="2" t="str">
        <f>HYPERLINK("https://www.wishtv.com/news/indiana-ignite-volleyball-fan-experience/")</f>
        <v>https://www.wishtv.com/news/indiana-ignite-volleyball-fan-experience/</v>
      </c>
      <c r="C159" s="2" t="s">
        <v>395</v>
      </c>
      <c r="D159" s="2" t="s">
        <v>100</v>
      </c>
      <c r="E159" s="5">
        <v>45690.417083333326</v>
      </c>
      <c r="F159" s="2" t="s">
        <v>396</v>
      </c>
      <c r="G159" s="2">
        <v>942280</v>
      </c>
      <c r="H159" s="2">
        <v>0</v>
      </c>
      <c r="I159" s="2">
        <v>0</v>
      </c>
      <c r="J159" s="2">
        <v>0</v>
      </c>
      <c r="K159" s="2" t="s">
        <v>28</v>
      </c>
      <c r="L159" s="4">
        <v>8716.09</v>
      </c>
      <c r="M159" s="2"/>
      <c r="N159" t="s">
        <v>437</v>
      </c>
      <c r="O159" t="s">
        <v>513</v>
      </c>
    </row>
    <row r="160" spans="1:15" ht="145.19999999999999" x14ac:dyDescent="0.3">
      <c r="A160" s="2" t="s">
        <v>397</v>
      </c>
      <c r="B160" s="2" t="str">
        <f>HYPERLINK("https://www.keepingupincarmel.com/post/the-in-list-2024-2-3-2-9")</f>
        <v>https://www.keepingupincarmel.com/post/the-in-list-2024-2-3-2-9</v>
      </c>
      <c r="C160" s="2" t="s">
        <v>79</v>
      </c>
      <c r="D160" s="2" t="s">
        <v>80</v>
      </c>
      <c r="E160" s="5">
        <v>45690.285729166673</v>
      </c>
      <c r="F160" s="2" t="s">
        <v>398</v>
      </c>
      <c r="G160" s="2">
        <v>473</v>
      </c>
      <c r="H160" s="2">
        <v>0</v>
      </c>
      <c r="I160" s="2">
        <v>0</v>
      </c>
      <c r="J160" s="2">
        <v>0</v>
      </c>
      <c r="K160" s="2" t="s">
        <v>25</v>
      </c>
      <c r="L160" s="4">
        <v>4.38</v>
      </c>
      <c r="M160" s="2"/>
      <c r="N160" t="s">
        <v>496</v>
      </c>
      <c r="O160" t="s">
        <v>513</v>
      </c>
    </row>
    <row r="161" spans="1:15" ht="132" x14ac:dyDescent="0.3">
      <c r="A161" s="2" t="s">
        <v>399</v>
      </c>
      <c r="B161" s="2" t="str">
        <f>HYPERLINK("https://www.oursportscentral.com/services/releases/ignite-return-home-to-face-fury-on-family-day-presented-by-team-rehab/n-6187163")</f>
        <v>https://www.oursportscentral.com/services/releases/ignite-return-home-to-face-fury-on-family-day-presented-by-team-rehab/n-6187163</v>
      </c>
      <c r="C161" s="2"/>
      <c r="D161" s="2" t="s">
        <v>24</v>
      </c>
      <c r="E161" s="5">
        <v>45689.565972222219</v>
      </c>
      <c r="F161" s="2" t="s">
        <v>400</v>
      </c>
      <c r="G161" s="2">
        <v>62699</v>
      </c>
      <c r="H161" s="2">
        <v>0</v>
      </c>
      <c r="I161" s="2">
        <v>0</v>
      </c>
      <c r="J161" s="2">
        <v>0</v>
      </c>
      <c r="K161" s="2" t="s">
        <v>25</v>
      </c>
      <c r="L161" s="4">
        <v>579.97</v>
      </c>
      <c r="M161" s="2"/>
      <c r="N161" t="s">
        <v>492</v>
      </c>
      <c r="O161" t="s">
        <v>492</v>
      </c>
    </row>
    <row r="162" spans="1:15" ht="92.4" x14ac:dyDescent="0.3">
      <c r="A162" s="2" t="s">
        <v>401</v>
      </c>
      <c r="B162" s="2" t="str">
        <f>HYPERLINK("https://www.oursportscentral.com/services/releases/ignite-lose-five-set-battle-to-thrill/n-6187062")</f>
        <v>https://www.oursportscentral.com/services/releases/ignite-lose-five-set-battle-to-thrill/n-6187062</v>
      </c>
      <c r="C162" s="2"/>
      <c r="D162" s="2" t="s">
        <v>24</v>
      </c>
      <c r="E162" s="5">
        <v>45689.275694444441</v>
      </c>
      <c r="F162" s="2" t="s">
        <v>402</v>
      </c>
      <c r="G162" s="2">
        <v>62699</v>
      </c>
      <c r="H162" s="2">
        <v>0</v>
      </c>
      <c r="I162" s="2">
        <v>0</v>
      </c>
      <c r="J162" s="2">
        <v>0</v>
      </c>
      <c r="K162" s="2" t="s">
        <v>25</v>
      </c>
      <c r="L162" s="4">
        <v>579.97</v>
      </c>
      <c r="M162" s="2"/>
      <c r="N162" t="s">
        <v>492</v>
      </c>
      <c r="O162" t="s">
        <v>492</v>
      </c>
    </row>
    <row r="163" spans="1:15" x14ac:dyDescent="0.3">
      <c r="L163"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
  <sheetViews>
    <sheetView workbookViewId="0"/>
  </sheetViews>
  <sheetFormatPr defaultRowHeight="14.4" x14ac:dyDescent="0.3"/>
  <cols>
    <col min="1" max="3" width="24" customWidth="1"/>
    <col min="4" max="4" width="16" customWidth="1"/>
    <col min="5" max="6" width="32" customWidth="1"/>
    <col min="7" max="7" width="21" customWidth="1"/>
    <col min="8" max="8" width="24" customWidth="1"/>
    <col min="9" max="9" width="48" customWidth="1"/>
    <col min="10" max="11" width="24" customWidth="1"/>
    <col min="12" max="12" width="48" customWidth="1"/>
    <col min="13" max="13" width="19" customWidth="1"/>
    <col min="14" max="15" width="32" customWidth="1"/>
  </cols>
  <sheetData>
    <row r="1" spans="1:15" x14ac:dyDescent="0.3">
      <c r="A1" s="1" t="s">
        <v>403</v>
      </c>
      <c r="B1" s="1" t="s">
        <v>404</v>
      </c>
      <c r="C1" s="1" t="s">
        <v>405</v>
      </c>
      <c r="D1" s="1" t="s">
        <v>406</v>
      </c>
      <c r="E1" s="1" t="s">
        <v>407</v>
      </c>
      <c r="F1" s="1" t="s">
        <v>408</v>
      </c>
      <c r="G1" s="1" t="s">
        <v>409</v>
      </c>
      <c r="H1" s="1" t="s">
        <v>410</v>
      </c>
      <c r="I1" s="1" t="s">
        <v>411</v>
      </c>
      <c r="J1" s="1" t="s">
        <v>412</v>
      </c>
      <c r="K1" s="1" t="s">
        <v>413</v>
      </c>
      <c r="L1" s="1" t="s">
        <v>414</v>
      </c>
      <c r="M1" s="1" t="s">
        <v>415</v>
      </c>
      <c r="N1" s="1" t="s">
        <v>416</v>
      </c>
      <c r="O1" s="1" t="s">
        <v>417</v>
      </c>
    </row>
    <row r="2" spans="1:15" ht="39.6" x14ac:dyDescent="0.3">
      <c r="A2" s="2" t="s">
        <v>418</v>
      </c>
      <c r="B2" s="2" t="s">
        <v>419</v>
      </c>
      <c r="C2" s="2"/>
      <c r="D2" s="2" t="s">
        <v>420</v>
      </c>
      <c r="E2" s="2" t="str">
        <f>HYPERLINK("http://twitter.com/fangsbites")</f>
        <v>http://twitter.com/fangsbites</v>
      </c>
      <c r="F2" s="2" t="str">
        <f>HYPERLINK("https://muckrack.com/ken-fang")</f>
        <v>https://muckrack.com/ken-fang</v>
      </c>
      <c r="G2" s="2">
        <v>8105</v>
      </c>
      <c r="H2" s="2" t="s">
        <v>421</v>
      </c>
      <c r="I2" s="2" t="s">
        <v>422</v>
      </c>
      <c r="J2" s="2" t="s">
        <v>423</v>
      </c>
      <c r="K2" s="2" t="s">
        <v>50</v>
      </c>
      <c r="L2" s="2" t="s">
        <v>424</v>
      </c>
      <c r="M2" s="5">
        <v>45714.313101851847</v>
      </c>
      <c r="N2" s="2" t="str">
        <f>HYPERLINK("http://twitter.com/fangsbites/status/1894726825403715795")</f>
        <v>http://twitter.com/fangsbites/status/1894726825403715795</v>
      </c>
      <c r="O2" s="2" t="str">
        <f>HYPERLINK("https://awfulannouncing.com/viewing-picks/february-26-2025-watch-shebelieves-cup.html")</f>
        <v>https://awfulannouncing.com/viewing-picks/february-26-2025-watch-shebelieves-cup.html</v>
      </c>
    </row>
    <row r="3" spans="1:15" ht="39.6" x14ac:dyDescent="0.3">
      <c r="A3" s="2" t="s">
        <v>425</v>
      </c>
      <c r="B3" s="2" t="s">
        <v>426</v>
      </c>
      <c r="C3" s="2" t="s">
        <v>427</v>
      </c>
      <c r="D3" s="2" t="s">
        <v>428</v>
      </c>
      <c r="E3" s="2" t="str">
        <f>HYPERLINK("http://twitter.com/AmberDSampson")</f>
        <v>http://twitter.com/AmberDSampson</v>
      </c>
      <c r="F3" s="2" t="str">
        <f>HYPERLINK("https://muckrack.com/amber-sampson")</f>
        <v>https://muckrack.com/amber-sampson</v>
      </c>
      <c r="G3" s="2">
        <v>553</v>
      </c>
      <c r="H3" s="2" t="s">
        <v>429</v>
      </c>
      <c r="I3" s="2" t="s">
        <v>430</v>
      </c>
      <c r="J3" s="2" t="s">
        <v>431</v>
      </c>
      <c r="K3" s="2" t="s">
        <v>53</v>
      </c>
      <c r="L3" s="2" t="s">
        <v>432</v>
      </c>
      <c r="M3" s="5">
        <v>45714.45244212963</v>
      </c>
      <c r="N3" s="2" t="str">
        <f>HYPERLINK("http://twitter.com/AmberDSampson/status/1894777321686749339")</f>
        <v>http://twitter.com/AmberDSampson/status/1894777321686749339</v>
      </c>
      <c r="O3" s="2" t="str">
        <f>HYPERLINK("https://lasvegasweekly.com/ae/2025/feb/26/what-to-do-in-las-vegas-this-week-february-27/")</f>
        <v>https://lasvegasweekly.com/ae/2025/feb/26/what-to-do-in-las-vegas-this-week-february-27/</v>
      </c>
    </row>
    <row r="4" spans="1:15" ht="52.8" x14ac:dyDescent="0.3">
      <c r="A4" s="2" t="s">
        <v>433</v>
      </c>
      <c r="B4" s="2" t="s">
        <v>434</v>
      </c>
      <c r="C4" s="2" t="s">
        <v>435</v>
      </c>
      <c r="D4" s="2" t="s">
        <v>436</v>
      </c>
      <c r="E4" s="2" t="str">
        <f>HYPERLINK("http://twitter.com/Sports_Aaron")</f>
        <v>http://twitter.com/Sports_Aaron</v>
      </c>
      <c r="F4" s="2" t="str">
        <f>HYPERLINK("https://muckrack.com/aaron-ferguson-1")</f>
        <v>https://muckrack.com/aaron-ferguson-1</v>
      </c>
      <c r="G4" s="2">
        <v>4952</v>
      </c>
      <c r="H4" s="2" t="s">
        <v>437</v>
      </c>
      <c r="I4" s="2" t="s">
        <v>438</v>
      </c>
      <c r="J4" s="2" t="s">
        <v>439</v>
      </c>
      <c r="K4" s="2" t="s">
        <v>440</v>
      </c>
      <c r="L4" s="2" t="s">
        <v>441</v>
      </c>
      <c r="M4" s="5">
        <v>45710.752395833333</v>
      </c>
      <c r="N4" s="2" t="str">
        <f>HYPERLINK("http://twitter.com/Sports_Aaron/status/1893436469819093424")</f>
        <v>http://twitter.com/Sports_Aaron/status/1893436469819093424</v>
      </c>
      <c r="O4" s="2" t="str">
        <f>HYPERLINK("https://www.indystar.com/story/sports/2025/02/22/pro-volleyball-federation-all-star-game-sell-out-indy-ignite/78991902007/")</f>
        <v>https://www.indystar.com/story/sports/2025/02/22/pro-volleyball-federation-all-star-game-sell-out-indy-ignite/78991902007/</v>
      </c>
    </row>
    <row r="5" spans="1:15" ht="52.8" x14ac:dyDescent="0.3">
      <c r="A5" s="2" t="s">
        <v>5</v>
      </c>
      <c r="B5" s="2" t="s">
        <v>442</v>
      </c>
      <c r="C5" s="2"/>
      <c r="D5" s="2" t="s">
        <v>443</v>
      </c>
      <c r="E5" s="2" t="str">
        <f>HYPERLINK("http://twitter.com/CKightlinger")</f>
        <v>http://twitter.com/CKightlinger</v>
      </c>
      <c r="F5" s="2" t="str">
        <f>HYPERLINK("https://muckrack.com/ckightlinger")</f>
        <v>https://muckrack.com/ckightlinger</v>
      </c>
      <c r="G5" s="2">
        <v>8354</v>
      </c>
      <c r="H5" s="2" t="s">
        <v>444</v>
      </c>
      <c r="I5" s="2" t="s">
        <v>445</v>
      </c>
      <c r="J5" s="2" t="s">
        <v>446</v>
      </c>
      <c r="K5" s="2" t="s">
        <v>447</v>
      </c>
      <c r="L5" s="2" t="s">
        <v>448</v>
      </c>
      <c r="M5" s="5">
        <v>45711.6953125</v>
      </c>
      <c r="N5" s="2" t="str">
        <f>HYPERLINK("http://twitter.com/CKightlinger/status/1893778170114965845")</f>
        <v>http://twitter.com/CKightlinger/status/1893778170114965845</v>
      </c>
      <c r="O5" s="2" t="str">
        <f>HYPERLINK("https://www.indystar.com/story/sports/2025/02/22/pro-volleyball-federation-all-star-game-sell-out-indy-ignite/78991902007/")</f>
        <v>https://www.indystar.com/story/sports/2025/02/22/pro-volleyball-federation-all-star-game-sell-out-indy-ignite/78991902007/</v>
      </c>
    </row>
    <row r="6" spans="1:15" ht="105.6" x14ac:dyDescent="0.3">
      <c r="A6" s="2" t="s">
        <v>88</v>
      </c>
      <c r="B6" s="2" t="s">
        <v>449</v>
      </c>
      <c r="C6" s="2" t="s">
        <v>450</v>
      </c>
      <c r="D6" s="2" t="s">
        <v>451</v>
      </c>
      <c r="E6" s="2" t="str">
        <f>HYPERLINK("http://twitter.com/ScottAgness")</f>
        <v>http://twitter.com/ScottAgness</v>
      </c>
      <c r="F6" s="2" t="str">
        <f>HYPERLINK("https://muckrack.com/scott-agness")</f>
        <v>https://muckrack.com/scott-agness</v>
      </c>
      <c r="G6" s="2">
        <v>30129</v>
      </c>
      <c r="H6" s="2" t="s">
        <v>452</v>
      </c>
      <c r="I6" s="2" t="s">
        <v>453</v>
      </c>
      <c r="J6" s="2" t="s">
        <v>454</v>
      </c>
      <c r="K6" s="2" t="s">
        <v>89</v>
      </c>
      <c r="L6" s="2" t="s">
        <v>455</v>
      </c>
      <c r="M6" s="5">
        <v>45710.529444444437</v>
      </c>
      <c r="N6" s="2" t="str">
        <f>HYPERLINK("http://twitter.com/ScottAgness/status/1893355677361348659")</f>
        <v>http://twitter.com/ScottAgness/status/1893355677361348659</v>
      </c>
      <c r="O6" s="2" t="str">
        <f>HYPERLINK("https://www.fieldhousefiles.com/p/jalen-rose-returns-to-indy-for-pvf-all-stars")</f>
        <v>https://www.fieldhousefiles.com/p/jalen-rose-returns-to-indy-for-pvf-all-stars</v>
      </c>
    </row>
    <row r="7" spans="1:15" ht="52.8" x14ac:dyDescent="0.3">
      <c r="A7" s="2" t="s">
        <v>108</v>
      </c>
      <c r="B7" s="2" t="s">
        <v>456</v>
      </c>
      <c r="C7" s="2" t="s">
        <v>457</v>
      </c>
      <c r="D7" s="2" t="s">
        <v>458</v>
      </c>
      <c r="E7" s="2" t="str">
        <f>HYPERLINK("http://twitter.com/alexhammeke")</f>
        <v>http://twitter.com/alexhammeke</v>
      </c>
      <c r="F7" s="2" t="str">
        <f>HYPERLINK("https://muckrack.com/alex-hammeke-1")</f>
        <v>https://muckrack.com/alex-hammeke-1</v>
      </c>
      <c r="G7" s="2">
        <v>1055</v>
      </c>
      <c r="H7" s="2" t="s">
        <v>459</v>
      </c>
      <c r="I7" s="2" t="s">
        <v>460</v>
      </c>
      <c r="J7" s="2"/>
      <c r="K7" s="2" t="s">
        <v>461</v>
      </c>
      <c r="L7" s="2" t="s">
        <v>462</v>
      </c>
      <c r="M7" s="5">
        <v>45707.749409722222</v>
      </c>
      <c r="N7" s="2" t="str">
        <f>HYPERLINK("http://twitter.com/alexhammeke/status/1892348224960139365")</f>
        <v>http://twitter.com/alexhammeke/status/1892348224960139365</v>
      </c>
      <c r="O7" s="2" t="str">
        <f>HYPERLINK("https://www.centralnebraskatoday.com/2025/02/19/first-place-supernovas-battle-mojo-in-thursday-night-road-test/")</f>
        <v>https://www.centralnebraskatoday.com/2025/02/19/first-place-supernovas-battle-mojo-in-thursday-night-road-test/</v>
      </c>
    </row>
    <row r="8" spans="1:15" ht="52.8" x14ac:dyDescent="0.3">
      <c r="A8" s="2" t="s">
        <v>5</v>
      </c>
      <c r="B8" s="2" t="s">
        <v>442</v>
      </c>
      <c r="C8" s="2"/>
      <c r="D8" s="2" t="s">
        <v>443</v>
      </c>
      <c r="E8" s="2" t="str">
        <f>HYPERLINK("http://twitter.com/CKightlinger")</f>
        <v>http://twitter.com/CKightlinger</v>
      </c>
      <c r="F8" s="2" t="str">
        <f>HYPERLINK("https://muckrack.com/ckightlinger")</f>
        <v>https://muckrack.com/ckightlinger</v>
      </c>
      <c r="G8" s="2">
        <v>8354</v>
      </c>
      <c r="H8" s="2" t="s">
        <v>444</v>
      </c>
      <c r="I8" s="2" t="s">
        <v>445</v>
      </c>
      <c r="J8" s="2" t="s">
        <v>446</v>
      </c>
      <c r="K8" s="2" t="s">
        <v>447</v>
      </c>
      <c r="L8" s="2" t="s">
        <v>463</v>
      </c>
      <c r="M8" s="5">
        <v>45705.557870370372</v>
      </c>
      <c r="N8" s="2" t="str">
        <f>HYPERLINK("http://twitter.com/CKightlinger/status/1891554037633253700")</f>
        <v>http://twitter.com/CKightlinger/status/1891554037633253700</v>
      </c>
      <c r="O8" s="2" t="str">
        <f>HYPERLINK("https://provolleyball.com/all-star-match")</f>
        <v>https://provolleyball.com/all-star-match</v>
      </c>
    </row>
    <row r="9" spans="1:15" ht="52.8" x14ac:dyDescent="0.3">
      <c r="A9" s="2" t="s">
        <v>464</v>
      </c>
      <c r="B9" s="2" t="s">
        <v>465</v>
      </c>
      <c r="C9" s="2" t="s">
        <v>466</v>
      </c>
      <c r="D9" s="2" t="s">
        <v>467</v>
      </c>
      <c r="E9" s="2" t="str">
        <f>HYPERLINK("http://twitter.com/DustinDopirak")</f>
        <v>http://twitter.com/DustinDopirak</v>
      </c>
      <c r="F9" s="2" t="str">
        <f>HYPERLINK("https://muckrack.com/dustin-dopirak")</f>
        <v>https://muckrack.com/dustin-dopirak</v>
      </c>
      <c r="G9" s="2">
        <v>16793</v>
      </c>
      <c r="H9" s="2" t="s">
        <v>437</v>
      </c>
      <c r="I9" s="2" t="s">
        <v>468</v>
      </c>
      <c r="J9" s="2" t="s">
        <v>439</v>
      </c>
      <c r="K9" s="2" t="s">
        <v>66</v>
      </c>
      <c r="L9" s="2" t="s">
        <v>469</v>
      </c>
      <c r="M9" s="5">
        <v>45705.443958333337</v>
      </c>
      <c r="N9" s="2" t="str">
        <f>HYPERLINK("http://twitter.com/DustinDopirak/status/1891512756265734209")</f>
        <v>http://twitter.com/DustinDopirak/status/1891512756265734209</v>
      </c>
      <c r="O9" s="2" t="str">
        <f>HYPERLINK("https://www.indystar.com/story/sports/2025/02/17/jalen-rose-pacers-nil-fab-5-volleyball-dad/78230667007/")</f>
        <v>https://www.indystar.com/story/sports/2025/02/17/jalen-rose-pacers-nil-fab-5-volleyball-dad/78230667007/</v>
      </c>
    </row>
    <row r="10" spans="1:15" ht="52.8" x14ac:dyDescent="0.3">
      <c r="A10" s="2" t="s">
        <v>108</v>
      </c>
      <c r="B10" s="2" t="s">
        <v>456</v>
      </c>
      <c r="C10" s="2" t="s">
        <v>457</v>
      </c>
      <c r="D10" s="2" t="s">
        <v>458</v>
      </c>
      <c r="E10" s="2" t="str">
        <f>HYPERLINK("http://twitter.com/alexhammeke")</f>
        <v>http://twitter.com/alexhammeke</v>
      </c>
      <c r="F10" s="2" t="str">
        <f>HYPERLINK("https://muckrack.com/alex-hammeke-1")</f>
        <v>https://muckrack.com/alex-hammeke-1</v>
      </c>
      <c r="G10" s="2">
        <v>1055</v>
      </c>
      <c r="H10" s="2" t="s">
        <v>459</v>
      </c>
      <c r="I10" s="2" t="s">
        <v>460</v>
      </c>
      <c r="J10" s="2"/>
      <c r="K10" s="2" t="s">
        <v>461</v>
      </c>
      <c r="L10" s="2" t="s">
        <v>470</v>
      </c>
      <c r="M10" s="5">
        <v>45702.748078703713</v>
      </c>
      <c r="N10" s="2" t="str">
        <f>HYPERLINK("http://twitter.com/alexhammeke/status/1890535801487868259")</f>
        <v>http://twitter.com/alexhammeke/status/1890535801487868259</v>
      </c>
      <c r="O10" s="2" t="str">
        <f>HYPERLINK("https://www.centralnebraskatoday.com/2025/02/14/238704/")</f>
        <v>https://www.centralnebraskatoday.com/2025/02/14/238704/</v>
      </c>
    </row>
    <row r="11" spans="1:15" ht="66" x14ac:dyDescent="0.3">
      <c r="A11" s="2" t="s">
        <v>243</v>
      </c>
      <c r="B11" s="2" t="s">
        <v>471</v>
      </c>
      <c r="C11" s="2" t="s">
        <v>472</v>
      </c>
      <c r="D11" s="2" t="s">
        <v>473</v>
      </c>
      <c r="E11" s="2" t="str">
        <f>HYPERLINK("http://twitter.com/ADChernoff")</f>
        <v>http://twitter.com/ADChernoff</v>
      </c>
      <c r="F11" s="2" t="str">
        <f>HYPERLINK("https://muckrack.com/andrew-chernoff")</f>
        <v>https://muckrack.com/andrew-chernoff</v>
      </c>
      <c r="G11" s="2">
        <v>7778</v>
      </c>
      <c r="H11" s="2" t="s">
        <v>437</v>
      </c>
      <c r="I11" s="2" t="s">
        <v>474</v>
      </c>
      <c r="J11" s="2" t="s">
        <v>439</v>
      </c>
      <c r="K11" s="2" t="s">
        <v>475</v>
      </c>
      <c r="L11" s="2" t="s">
        <v>476</v>
      </c>
      <c r="M11" s="5">
        <v>45701.8125</v>
      </c>
      <c r="N11" s="2" t="str">
        <f>HYPERLINK("http://twitter.com/ADChernoff/status/1890196760251011420")</f>
        <v>http://twitter.com/ADChernoff/status/1890196760251011420</v>
      </c>
      <c r="O11" s="2" t="str">
        <f>HYPERLINK("https://wishtv.com/sports/pro-volleyball-federation-all-star-match/")</f>
        <v>https://wishtv.com/sports/pro-volleyball-federation-all-star-match/</v>
      </c>
    </row>
    <row r="12" spans="1:15" ht="66" x14ac:dyDescent="0.3">
      <c r="A12" s="2" t="s">
        <v>108</v>
      </c>
      <c r="B12" s="2" t="s">
        <v>456</v>
      </c>
      <c r="C12" s="2" t="s">
        <v>457</v>
      </c>
      <c r="D12" s="2" t="s">
        <v>458</v>
      </c>
      <c r="E12" s="2" t="str">
        <f>HYPERLINK("http://twitter.com/alexhammeke")</f>
        <v>http://twitter.com/alexhammeke</v>
      </c>
      <c r="F12" s="2" t="str">
        <f>HYPERLINK("https://muckrack.com/alex-hammeke-1")</f>
        <v>https://muckrack.com/alex-hammeke-1</v>
      </c>
      <c r="G12" s="2">
        <v>1055</v>
      </c>
      <c r="H12" s="2" t="s">
        <v>459</v>
      </c>
      <c r="I12" s="2" t="s">
        <v>460</v>
      </c>
      <c r="J12" s="2"/>
      <c r="K12" s="2" t="s">
        <v>461</v>
      </c>
      <c r="L12" s="2" t="s">
        <v>477</v>
      </c>
      <c r="M12" s="5">
        <v>45698.579629629632</v>
      </c>
      <c r="N12" s="2" t="str">
        <f>HYPERLINK("http://twitter.com/alexhammeke/status/1889025206641148042")</f>
        <v>http://twitter.com/alexhammeke/status/1889025206641148042</v>
      </c>
      <c r="O12" s="2" t="str">
        <f>HYPERLINK("https://www.centralnebraskatoday.com/2025/02/10/supernovas-get-weekend-sweep-over-indy-atlanta/")</f>
        <v>https://www.centralnebraskatoday.com/2025/02/10/supernovas-get-weekend-sweep-over-indy-atlanta/</v>
      </c>
    </row>
    <row r="13" spans="1:15" ht="52.8" x14ac:dyDescent="0.3">
      <c r="A13" s="2" t="s">
        <v>108</v>
      </c>
      <c r="B13" s="2" t="s">
        <v>456</v>
      </c>
      <c r="C13" s="2" t="s">
        <v>457</v>
      </c>
      <c r="D13" s="2" t="s">
        <v>458</v>
      </c>
      <c r="E13" s="2" t="str">
        <f>HYPERLINK("http://twitter.com/alexhammeke")</f>
        <v>http://twitter.com/alexhammeke</v>
      </c>
      <c r="F13" s="2" t="str">
        <f>HYPERLINK("https://muckrack.com/alex-hammeke-1")</f>
        <v>https://muckrack.com/alex-hammeke-1</v>
      </c>
      <c r="G13" s="2">
        <v>1055</v>
      </c>
      <c r="H13" s="2" t="s">
        <v>459</v>
      </c>
      <c r="I13" s="2" t="s">
        <v>460</v>
      </c>
      <c r="J13" s="2"/>
      <c r="K13" s="2" t="s">
        <v>461</v>
      </c>
      <c r="L13" s="2" t="s">
        <v>478</v>
      </c>
      <c r="M13" s="5">
        <v>45694.62232638889</v>
      </c>
      <c r="N13" s="2" t="str">
        <f>HYPERLINK("http://twitter.com/alexhammeke/status/1887591126758273086")</f>
        <v>http://twitter.com/alexhammeke/status/1887591126758273086</v>
      </c>
      <c r="O13" s="2" t="str">
        <f>HYPERLINK("https://www.centralnebraskatoday.com/2025/02/06/supernovas-road-swing-continues-in-indy-atlanta-this-weekend/")</f>
        <v>https://www.centralnebraskatoday.com/2025/02/06/supernovas-road-swing-continues-in-indy-atlanta-this-weekend/</v>
      </c>
    </row>
    <row r="14" spans="1:15" ht="92.4" x14ac:dyDescent="0.3">
      <c r="A14" s="2" t="s">
        <v>327</v>
      </c>
      <c r="B14" s="2" t="s">
        <v>479</v>
      </c>
      <c r="C14" s="2"/>
      <c r="D14" s="2" t="s">
        <v>480</v>
      </c>
      <c r="E14" s="2" t="str">
        <f>HYPERLINK("http://twitter.com/mike_carmin")</f>
        <v>http://twitter.com/mike_carmin</v>
      </c>
      <c r="F14" s="2" t="str">
        <f>HYPERLINK("https://muckrack.com/mike-carmin")</f>
        <v>https://muckrack.com/mike-carmin</v>
      </c>
      <c r="G14" s="2">
        <v>13217</v>
      </c>
      <c r="H14" s="2" t="s">
        <v>481</v>
      </c>
      <c r="I14" s="2" t="s">
        <v>482</v>
      </c>
      <c r="J14" s="2" t="s">
        <v>423</v>
      </c>
      <c r="K14" s="2" t="s">
        <v>447</v>
      </c>
      <c r="L14" s="2" t="s">
        <v>483</v>
      </c>
      <c r="M14" s="5">
        <v>45694.630497685182</v>
      </c>
      <c r="N14" s="2" t="str">
        <f>HYPERLINK("http://twitter.com/mike_carmin/status/1887594091740815698")</f>
        <v>http://twitter.com/mike_carmin/status/1887594091740815698</v>
      </c>
      <c r="O14" s="2" t="str">
        <f>HYPERLINK("https://mikecarmin.substack.com/p/purdue-womens-basketball-financial")</f>
        <v>https://mikecarmin.substack.com/p/purdue-womens-basketball-financial</v>
      </c>
    </row>
    <row r="15" spans="1:15" ht="66" x14ac:dyDescent="0.3">
      <c r="A15" s="2" t="s">
        <v>329</v>
      </c>
      <c r="B15" s="2" t="s">
        <v>484</v>
      </c>
      <c r="C15" s="2" t="s">
        <v>485</v>
      </c>
      <c r="D15" s="2" t="s">
        <v>486</v>
      </c>
      <c r="E15" s="2" t="str">
        <f>HYPERLINK("http://twitter.com/SchutteDustin")</f>
        <v>http://twitter.com/SchutteDustin</v>
      </c>
      <c r="F15" s="2" t="str">
        <f>HYPERLINK("https://muckrack.com/dustin-schutte")</f>
        <v>https://muckrack.com/dustin-schutte</v>
      </c>
      <c r="G15" s="2">
        <v>1816</v>
      </c>
      <c r="H15" s="2" t="s">
        <v>487</v>
      </c>
      <c r="I15" s="2" t="s">
        <v>488</v>
      </c>
      <c r="J15" s="2" t="s">
        <v>454</v>
      </c>
      <c r="K15" s="2" t="s">
        <v>489</v>
      </c>
      <c r="L15" s="2" t="s">
        <v>490</v>
      </c>
      <c r="M15" s="5">
        <v>45694.48710648148</v>
      </c>
      <c r="N15" s="2" t="str">
        <f>HYPERLINK("http://twitter.com/SchutteDustin/status/1887542125610385713")</f>
        <v>http://twitter.com/SchutteDustin/status/1887542125610385713</v>
      </c>
      <c r="O15" s="2" t="str">
        <f>HYPERLINK("https://www.si.com/college/purdue/other-sports/purdue-volleyball-dave-shondell-to-coach-in-pro-volleyball-federation-all-star-match-indianapolis-big-ten-volleyball")</f>
        <v>https://www.si.com/college/purdue/other-sports/purdue-volleyball-dave-shondell-to-coach-in-pro-volleyball-federation-all-star-match-indianapolis-big-ten-volleyball</v>
      </c>
    </row>
    <row r="16" spans="1:15" ht="92.4" x14ac:dyDescent="0.3">
      <c r="A16" s="2" t="s">
        <v>243</v>
      </c>
      <c r="B16" s="2" t="s">
        <v>471</v>
      </c>
      <c r="C16" s="2" t="s">
        <v>472</v>
      </c>
      <c r="D16" s="2" t="s">
        <v>473</v>
      </c>
      <c r="E16" s="2" t="str">
        <f>HYPERLINK("http://twitter.com/ADChernoff")</f>
        <v>http://twitter.com/ADChernoff</v>
      </c>
      <c r="F16" s="2" t="str">
        <f>HYPERLINK("https://muckrack.com/andrew-chernoff")</f>
        <v>https://muckrack.com/andrew-chernoff</v>
      </c>
      <c r="G16" s="2">
        <v>7778</v>
      </c>
      <c r="H16" s="2" t="s">
        <v>437</v>
      </c>
      <c r="I16" s="2" t="s">
        <v>474</v>
      </c>
      <c r="J16" s="2" t="s">
        <v>439</v>
      </c>
      <c r="K16" s="2" t="s">
        <v>475</v>
      </c>
      <c r="L16" s="2" t="s">
        <v>491</v>
      </c>
      <c r="M16" s="5">
        <v>45694.638888888891</v>
      </c>
      <c r="N16" s="2" t="str">
        <f>HYPERLINK("http://twitter.com/ADChernoff/status/1887597130656927908")</f>
        <v>http://twitter.com/ADChernoff/status/1887597130656927908</v>
      </c>
      <c r="O16" s="2" t="str">
        <f>HYPERLINK("https://www.wishtv.com/news/local-news/indiana-professional-volleyball-ignite/")</f>
        <v>https://www.wishtv.com/news/local-news/indiana-professional-volleyball-ignite/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Articles</vt:lpstr>
      <vt:lpstr>Journalist 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Brianna Stopher</cp:lastModifiedBy>
  <dcterms:created xsi:type="dcterms:W3CDTF">2025-06-10T16:11:50Z</dcterms:created>
  <dcterms:modified xsi:type="dcterms:W3CDTF">2025-07-28T15:12:26Z</dcterms:modified>
</cp:coreProperties>
</file>