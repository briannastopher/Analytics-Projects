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https://d.docs.live.net/4e8a8e9b618fe9e1/Documents/Indy Ignite Summer Project/"/>
    </mc:Choice>
  </mc:AlternateContent>
  <xr:revisionPtr revIDLastSave="5" documentId="13_ncr:1_{1B3FF138-0DDE-4274-9EA8-728D8DECA940}" xr6:coauthVersionLast="47" xr6:coauthVersionMax="47" xr10:uidLastSave="{390040FD-899B-4808-8A6A-2AE6CC9075F5}"/>
  <bookViews>
    <workbookView xWindow="-108" yWindow="-108" windowWidth="23256" windowHeight="12456" xr2:uid="{4740B068-86CC-434B-A651-A53817AF1E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 l="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2" i="1"/>
  <c r="B69" i="1"/>
  <c r="B70" i="1"/>
  <c r="B71" i="1"/>
  <c r="B72"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3" i="1"/>
  <c r="B92" i="1"/>
  <c r="B91" i="1"/>
  <c r="B90" i="1"/>
  <c r="B89" i="1"/>
  <c r="B88" i="1"/>
  <c r="B87" i="1"/>
  <c r="B86" i="1"/>
  <c r="B85" i="1"/>
  <c r="B84" i="1"/>
  <c r="B83" i="1"/>
  <c r="B82" i="1"/>
  <c r="B81" i="1"/>
  <c r="B80" i="1"/>
  <c r="B79" i="1"/>
  <c r="B78" i="1"/>
  <c r="B77" i="1"/>
  <c r="B76" i="1"/>
  <c r="B75" i="1"/>
  <c r="B74" i="1"/>
  <c r="B73" i="1"/>
  <c r="B68" i="1"/>
  <c r="B67" i="1"/>
  <c r="B66" i="1"/>
  <c r="B65" i="1"/>
  <c r="B64" i="1"/>
  <c r="B63" i="1"/>
  <c r="B62" i="1"/>
  <c r="B61" i="1"/>
  <c r="B60" i="1"/>
  <c r="B59" i="1"/>
  <c r="B58" i="1"/>
  <c r="B57" i="1"/>
  <c r="B56" i="1"/>
  <c r="B55" i="1"/>
  <c r="B54" i="1"/>
  <c r="B53" i="1"/>
  <c r="B52" i="1"/>
  <c r="B51" i="1"/>
  <c r="B50" i="1"/>
  <c r="B49" i="1"/>
  <c r="B48" i="1"/>
  <c r="B47" i="1"/>
  <c r="B46" i="1"/>
  <c r="B45" i="1"/>
  <c r="B44" i="1"/>
  <c r="B43" i="1"/>
  <c r="B42" i="1"/>
  <c r="B41" i="1"/>
  <c r="B40" i="1"/>
  <c r="B39" i="1"/>
  <c r="B38" i="1"/>
  <c r="B37" i="1"/>
  <c r="B36" i="1"/>
  <c r="B35" i="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B2" i="1"/>
</calcChain>
</file>

<file path=xl/sharedStrings.xml><?xml version="1.0" encoding="utf-8"?>
<sst xmlns="http://schemas.openxmlformats.org/spreadsheetml/2006/main" count="647" uniqueCount="261">
  <si>
    <t>The Journal Gazette</t>
  </si>
  <si>
    <t>Neutral</t>
  </si>
  <si>
    <t>Our Sports Central</t>
  </si>
  <si>
    <t>Positive</t>
  </si>
  <si>
    <t>Fuel Ring in the New Year with Victory</t>
  </si>
  <si>
    <t>December 31, 2024 - ECHL (ECHL)
Indy Fuel News Release
KALAMAZOO - The Fuel headed to Kalamazoo for an evening New Year's Eve game against the K-Wings.</t>
  </si>
  <si>
    <t>Negative</t>
  </si>
  <si>
    <t>Fishers community events – January 2025 • Current Publishing</t>
  </si>
  <si>
    <t>Current Publishing</t>
  </si>
  <si>
    <t>Fuel game benefits Fishers Parks Foundation
A portion of the proceeds from the Indy Fuel’s Jan. 3 “Family Glow Night” home game against the Kalamazoo Wings will benefit the Fishers Parks Foundation when tickets are purchased through the foundation’s website, playfishers.com/783/Fishers-Parks-Foundation</t>
  </si>
  <si>
    <t>K-Wings can't hold lead against Fuel, drop final contest of 2024</t>
  </si>
  <si>
    <t>WWMT-TV (Kalamazoo, MI)</t>
  </si>
  <si>
    <t>The Kalamazoo Wings (12-15-1-0), proud ECHL affiliate of the National Hockey League’s Vancouver Canucks, fell to the Indy Fuel (12-11-2-2) Tuesday at Wings Event Center in the annual New Year’s Eve Game, 3-2.
Indy scored first on the power play at the 14:44 mark of the opening frame.</t>
  </si>
  <si>
    <t>Coming Up</t>
  </si>
  <si>
    <t>The Herald Bulletin</t>
  </si>
  <si>
    <t>ECHL – Indy Fuel at Kalamazoo Wings, 6 p.m.
Wednesday
NCAA Women’s Basketball – Ball State at Miami (Ohio), 1 p.m.; Purdue at Michigan State, 2 p.m.; Butler at Creighton, 3 p.m.
NCAA Men’s Basketball – Villanova at Butler, 6:30 p.m.; Bradley at Indiana State, 7 p.m.</t>
  </si>
  <si>
    <t>2024 Indy Fuel vs Kalamazoo Wings</t>
  </si>
  <si>
    <t>FloHockey</t>
  </si>
  <si>
    <t>Event Info
Here's how to watch the 2024 Indy Fuel vs Kalamazoo Wings broadcast on FloHockey. The 2024 Indy Fuel vs Kalamazoo Wings broadcast starts on Dec 31, 2024. Stream or cast from your desktop, mobile or TV. Now available on Roku, Fire TV, Chromecast and Apple TV.</t>
  </si>
  <si>
    <t>komets.com</t>
  </si>
  <si>
    <t>WANE-TV (Fort Wayne, IN)</t>
  </si>
  <si>
    <t>Top 2024 Fishers Indiana News Stories: A Year in Review</t>
  </si>
  <si>
    <t>larryInFishers</t>
  </si>
  <si>
    <t>Indy Ignite Volleyball Team coming to Fishers
The Indy Fuel hocky team and the Fishers Freight Indoor Football League squad will be joined by the Indy Ignite women’s professional volleyball team as tenants in the new Fishers Event Center. </t>
  </si>
  <si>
    <t>Indy Fuel's Heartbreaking Shootout Loss to Fort Wayne Komets</t>
  </si>
  <si>
    <t>The Indy Fuel capped off a grueling weekend of hockey on Sunday, falling to the Fort Wayne Komets in a dramatic 3-2 shootout at the Allen County War Memorial Coliseum.
The game began with a flurry of action in the first period.</t>
  </si>
  <si>
    <t>Komets defeat Fuel in overtime shootout, as in-state rivalry finally intensifies</t>
  </si>
  <si>
    <t>It only took a decade, but it finally seems there’s some heat to the rivalry between the Komets and the Indy Fuel. Of course, playing four times in the span of five games will make any two teams hate one another.</t>
  </si>
  <si>
    <t>Video: Komets vs. Fuel heats up in Fort Wayne’s shootout victory</t>
  </si>
  <si>
    <t>Odeen Tufto had the only goal of the overtime shootout and Connor Ungar shined in net, as the Komets defeated the Indy Fuel 3-2 on Dec. 29, 2024, at Memorial Coliseum. The teams have been playing for a decade, but it finally seems there’s some heat between them. Clips from: FloHockey/Komets/ECHL</t>
  </si>
  <si>
    <t>Komets gut out win over Fuel in overtime shootout</t>
  </si>
  <si>
    <t>(WANE) – The Komets emptied the fuel tanks in a 3-2 win over the Indy Fuel that came down to an overtime shootout.
Fort Wayne has won seven of their last eight games dating back to Dec. 13.</t>
  </si>
  <si>
    <t>The IN List 2024/5: 12/30 - 1/5</t>
  </si>
  <si>
    <t>Chelsea Kopelman</t>
  </si>
  <si>
    <t>Keeping Up in Carmel</t>
  </si>
  <si>
    <t>Indy Fuel vs. Kalamazoo Wings: 7pm. Fishers Event Center. Tickets required
Pajama-Rama: 7pm-7:45pm. Cool Creek Nature Center. Put on your favorite pair of PJs and bring a blanket. Instructor will lead the kids through songs and stories. Best for kids ages 1-7.Registration required.</t>
  </si>
  <si>
    <t>Fuel Fall in Shootout to Fort Wayne</t>
  </si>
  <si>
    <t>December 29, 2024 - ECHL (ECHL)
Indy Fuel News Release
FORT WAYNE - The Fuel wrapped up the weekend on the road in Fort Wayne.</t>
  </si>
  <si>
    <t>Toledo Walleye beat Indy Fuel - Hawkins scores 2</t>
  </si>
  <si>
    <t>The Rink Live</t>
  </si>
  <si>
    <t>The Toledo Walleye beat the hosting Indy Fuel 4-1 on Saturday, Dec. 27, 2024.
 Brandon Hawkins
 nettet two for the Walleye, while 
 Jalen Smereck
 and 
 Colin Swoyer
 scored one a piece.
The Walleye chalked up four straight road wins.</t>
  </si>
  <si>
    <t>Walleye Defeat Fuel 4-1 in First Visit to Fishers Event Center</t>
  </si>
  <si>
    <t>The Toledo Walleye showcased their dominance Saturday night, defeating the Indy Fuel 4-1 in their first visit to the Fishers Event Center this season, before a second-straight sellout crowd.  A fast start and strong special teams play propelled Toledo to the victory.</t>
  </si>
  <si>
    <t>ECHL – Indy Fuel at Fort Wayne Komets, 5:05 p.m.
NBA – Indiana Pacers at Boston Celtics, 6 p.m.
Monday
No events scheduled
Tuesday
NCAA Men’s Basketball – Anderson at Ball State, 2 p.m.; Notre Dame at Georgia Tech, 2:30 p.m.
NBA – Milwaukee Bucks at Indiana Pacers, 3 p.m.</t>
  </si>
  <si>
    <t>Strong defense as Toledo Walleye beat Indy Fuel</t>
  </si>
  <si>
    <t>The Toledo Walleye secured the road victory against the Indy Fuel on Saturday, Dec. 27, 2024. The game ended 4-0.
 Brandon Hawkins
 scored twice and 
 Jalen Smereck
 and 
 Colin Swoyer
 all got one.
The Walleye chalked up four straight road wins.</t>
  </si>
  <si>
    <t>Hawkins scores twice as Walleye shut out Indy on road</t>
  </si>
  <si>
    <t>The Toledo Blade</t>
  </si>
  <si>
    <t>. — The Toledo Walleye held the Indy Fuel to 19 shots on goal and stopped every one of them in a 4-0 victory Saturday night at Fishers Event Center.
Toledo got on the board right away Saturday with Colin Swoyer’s goal just 35 seconds into the game, assisted by Sam Craggs and Mitchell Lewandowski.</t>
  </si>
  <si>
    <t>Fuel Sell Out Saturday Night in Loss to Toledo</t>
  </si>
  <si>
    <t>December 28, 2024 - ECHL (ECHL)
Indy Fuel News Release
FISHERS- The Fuel hosted the Toledo Walleye for the first time this season on Saturday night.</t>
  </si>
  <si>
    <t>Hawkins Tallies Two in Dominant Win in Indy</t>
  </si>
  <si>
    <t>December 28, 2024 - ECHL (ECHL)
Toledo Walleye News Release
Fishers, IN - The Toledo Walleye defeated the Indy Fuel at Fishers Event Center in a high-intensity matchup with a final score of 4-1.</t>
  </si>
  <si>
    <t>Indy Fuel Hockey Team Falls to Fort Wayne Komets in a 4-2 Loss</t>
  </si>
  <si>
    <t>The Indy Fuel faced the Fort Wayne Komets for the third consecutive game, falling 4-2, despite a strong start at the Fishers Event Center. The Fuel jumped to an early lead but were unable to hold off a relentless Komets squad.</t>
  </si>
  <si>
    <t>ECHL – Toledo Walleye at Indy Fuel, 7 p.m.
Sunday
NCAA Men’s Basketball – Indiana State at Ohio State, noon; Winthrop at Indiana, 4 p.m.; Toledo at Purdue, 6 p.m.</t>
  </si>
  <si>
    <t>Yahoo Sports Canada</t>
  </si>
  <si>
    <t>Yahoo Sports</t>
  </si>
  <si>
    <t>Fort Wayne Komets victorious against Indy Fuel</t>
  </si>
  <si>
    <t>The Fort Wayne Komets defeated the Indy Fuel 4-2 on Friday, Dec. 26, 2024.</t>
  </si>
  <si>
    <t>Fuel Sell Out Friday Night, Fall To Komets</t>
  </si>
  <si>
    <t>December 27, 2024 - ECHL (ECHL)
Indy Fuel News Release
FISHERS- The Fuel hosted the Fort Wayne Komets for the third game in a row.</t>
  </si>
  <si>
    <t>LOOK AHEAD
Friday
ECHL – Fort Wayne Komets at Indy Fuel, 7 p.m.
NBA – Indiana Pacers at Boston Celtics, 7:30 p.m.
Saturday
NCAA Women’s Basketball – Wisconsin at Indiana, 2 p.m.
ECHL – Toledo Walleye at Indy Fuel, 7 p.m.</t>
  </si>
  <si>
    <t>Your Weekend: Dec. 27</t>
  </si>
  <si>
    <t>Here are some fun activities to consider this weekend in the Madison County area:
The Indy Fuel wants fans to head to their new digs — the Fishers Event Center —on Saturday as they celebrate mascot Nitro’s birthday.
The Fuel will take on the Toledo Walleye with the puck dropping at 7 p.m.</t>
  </si>
  <si>
    <t>Out &amp; About: A calendar of events in the Fort Wayne area</t>
  </si>
  <si>
    <t>Indy Fuels; 5 p.m.; Memorial Coliseum, 4000 Parnell Ave.; $15 to $32 adults, $14 to $27 ages 60 and older and 12 to 18, $10 to $22 ages 11 and younger; Ticketmaster.com.</t>
  </si>
  <si>
    <t>BVM Sports</t>
  </si>
  <si>
    <t>2024 Fort Wayne Komets vs Indy Fuel</t>
  </si>
  <si>
    <t>Event Info
Here's how to watch the 2024 Fort Wayne Komets vs Indy Fuel broadcast on FloHockey. The 2024 Fort Wayne Komets vs Indy Fuel broadcast starts on Dec 27, 2024. Stream or cast from your desktop, mobile or TV. Now available on Roku, Fire TV, Chromecast and Apple TV.</t>
  </si>
  <si>
    <t>Cam Hausinger named Alaska Athlete of the Week after four-point hockey game for Indy Fuel</t>
  </si>
  <si>
    <t>The Anchorage winger for the ECHL's Indy Fuel sparked last Friday's 5-2 win over Fort Wayne with a hat trick and one assist; the four points in a game were a career high.</t>
  </si>
  <si>
    <t>Friday
ECHL – Fort Wayne Komets at Indy Fuel, 7 p.m.
NBA – Indiana Pacers at Boston Celtics, 7:30 p.m.
Saturday
NCAA Women’s Basketball – Wisconsin at Indiana, 2 p.m.
ECHL – Toledo Walleye at Indy Fuel, 7 p.m.</t>
  </si>
  <si>
    <t>Komets Split weekend with Fuel</t>
  </si>
  <si>
    <t>Fort Wayne, IN – After splitting two games with the Indy Fuel last weekend, the Komets enter the holiday break with a mark of 15-8-1-0 with 31 points in third place in the Central Division.</t>
  </si>
  <si>
    <t>Komets Split Weekend with Fuel</t>
  </si>
  <si>
    <t>December 23, 2024 - ECHL (ECHL)
Fort Wayne Komets News Release
Fort Wayne, IN - After splitting two games with the Indy Fuel last weekend, the Komets enter the holiday break with a mark of 15-8-1-0 with 31 points in third place in the Central Division.</t>
  </si>
  <si>
    <t>Analysis: Komets' DTV Line flourishing; rivalry with Fuel intensifying; changes to roster made</t>
  </si>
  <si>
    <t>One of the silver linings of the Komets’ 5-2 loss to the Indy Fuel on Saturday – the first ever meeting between the teams at the new Fishers Event Center in Fishers – was that Justin Taylor scored a goal.</t>
  </si>
  <si>
    <t>The IN List 2024: 12/23 - 12/29</t>
  </si>
  <si>
    <t>Indy Fuel vs. Fort Wayne Komets: 7pm. Fishers Event Center. Tickets required
Murder Mystery Night @ Feinstein’s: 7:30pm-9:30pm. Become part of the mystery as you work to discover “whodunnit”. Tickets required.</t>
  </si>
  <si>
    <t>Indy Fuel win 5-2 at home against Fort Wayne Komets</t>
  </si>
  <si>
    <t>The Indy Fuel won at home on Saturday, Dec. 20, 2024, handing the Fort Wayne Komets a defeat 5-2.
 Cam Hausinger
 netted three for the Fuel, while 
 Andrew Bellant
 and 
 Ryan Gagnier
 scored one each.</t>
  </si>
  <si>
    <t>Komets start with bang, as Turcotte fights Indy's Cameron, but lose 1st trip to Fishers Event Center</t>
  </si>
  <si>
    <t>He reminded them of that fact Saturday night with three goals and an assist to lead the Indy Fuel to a 5-2 victory over Fort Wayne in the first ever meeting between the teams at the Fishers Event Center in Fishers.
“He’s a fine player,” Komets coach Jesse Kallechy said.</t>
  </si>
  <si>
    <t>Indy Fuel vs. Fort Wayne Komets: Cam Hausinger's Hat Trick Seals the Win</t>
  </si>
  <si>
    <t>Cam Hausinger had one impressive night of hockey Saturday night at the Fishers Event Center, leading the Indy Fuel to a 5-2 victory over the in-state rival Fort Wayne Komets.  Hausinger earned the first-ever hat trick in the Fishers Event Center, and topped off the night with an assist to boot.</t>
  </si>
  <si>
    <t>Video: Yanick Turcotte, Christopher Cameron start game with fight, Komets lose 5-2 to Fuel</t>
  </si>
  <si>
    <t>The Komets lose 5-2 to the Indy Fuel on Dec. 21, 2024, at the Fishers Event Center in a game that began with a fight between Yanick Turcotte of Fort Wayne and Christopher Cameron of Indy. Clips from: Fuel/FloHockey/ECHL</t>
  </si>
  <si>
    <t>Hausinger’s hat trick dooms Komets in loss to Fuel</t>
  </si>
  <si>
    <t>(WANE) – Cam Hausinger scored a hat trick to lead the Indy Fuel to a 5-2 win against the Komets on Saturday night. Fort Wayne’s 4-game winning streak is snapped following their first visit to the Fishers Event Center.</t>
  </si>
  <si>
    <t>Fuel Defeat Komets with Hausinger Hatty</t>
  </si>
  <si>
    <t>December 21, 2024 - ECHL (ECHL)
Indy Fuel News Release
FISHERS- The Fuel hosted the Fort Wayne Komets on Saturday night after falling to them 3-0 on Friday night in Fort Wayne.</t>
  </si>
  <si>
    <t>ECHL – Fort Wayne Komets at Indy Fuel, 7 p.m.
Sunday
NCAA Women’s Basketball – Loyola (Md.) at Notre Dame, noon; Oakland at Indiana, noon
NFL – Tennessee Titans at Indianapolis Colts, 1 p.m.
NBA – Indiana Pacers at Sacramento Kings, 6 p.m.
NCAA Men’ Basketball – Le Moyne at Notre Dame, 6 p.m.</t>
  </si>
  <si>
    <t>Indy Fuel couldn't stop hard-to-beat Fort Wayne Komets from winning</t>
  </si>
  <si>
    <t>The Fort Wayne Komets and the Indy Fuel met on Friday, Dec. 19, 2024.
Fort Wayne came into the game off the back of a run of three successive wins and managed to claim yet another victory. The game finished 3-0.</t>
  </si>
  <si>
    <t>Fuel Lose on the Road at Fort Wayne: A Tough Battle with the Komets</t>
  </si>
  <si>
    <t>The Indy Fuel faced off against the Fort Wayne Komets on Friday night in their first clash of the season, but a tough, hard-fought game saw the Fuel shut out, 3-0.
The Komets claimed an early advantage in the weekend series, with the two teams set to meet again Saturday night in Fishers.</t>
  </si>
  <si>
    <t>Strong at both ends, Komets solve Fuel for victory</t>
  </si>
  <si>
    <t>The Komets solved the Indy Fuel’s notoriously stingy defense on Friday night. As for the Indy offense, it couldn’t get anything past Fort Wayne goaltender Brett Brochu. … “Playing the Indy Fuel, they’re very good in all three zones and very defensive, and (we) tried to not get frustrated with how well they defend and we were fortunate enough to get the two points.”
The Fuel’s defense held to its form early, as the Komets didn’t tally a shot through the first 8:15.</t>
  </si>
  <si>
    <t>Video: Brett Brochu gets shutout, as Komets solve Indy</t>
  </si>
  <si>
    <t>And the Komets defeated the Indy Fuel 3-0 at Memorial Coliseum on Dec. 20, 2024. Clips from: FloHockey/Komets/ECHL</t>
  </si>
  <si>
    <t>Komets blank Fuel, win fourth in a row</t>
  </si>
  <si>
    <t>(WANE) – The Komets won their fourth game in a row, beating the Indy Fuel 3-0 Friday night at Allen County War Memorial Coliseum.
Justin Taylor, Jack Dugan, and Harrison Rees all found the back of the net for Fort Wayne.</t>
  </si>
  <si>
    <t>Fuel Fall 3-0 in First Battle with Fort Wayne</t>
  </si>
  <si>
    <t>December 20, 2024 - ECHL (ECHL)
Indy Fuel News Release
FORT WAYNE- The Fuel headed to Fort Wayne to face off with the Komets for the first time this season before both teams head back down to Indy for another matchup tomorrow night.</t>
  </si>
  <si>
    <t>Glow Night with the Indy Fuel</t>
  </si>
  <si>
    <t>WRTV-TV (Indianapolis, IN)</t>
  </si>
  <si>
    <t>Sports broadcasting legend Kevin Lee takes us on the ice at the new Fishers Event Center for Indy Fuel Rinkside! Click here to watch and learn about the Indy Fuel’s new home in Fishers and hear about their Glow in the Dark jerseys for Glow Night on January 3rd</t>
  </si>
  <si>
    <t>ANDERSON UNIVERSITY
No events scheduled
LOOK AHEAD
Friday
ECHL – Indy Fuel at Fort Wayne Komets, 7:35 p.m.
NCAA Football – College Football Playoff, Indiana at Notre Dame, 8 p.m.
Saturday
NCAA Men’s Basketball – Chattanooga at Indiana, noon; Connecticut at Butler, noon; St.</t>
  </si>
  <si>
    <t>IceHogs Assign Ben Gaudreau to Indy</t>
  </si>
  <si>
    <t>December 20, 2024 - American Hockey League (AHL)
Rockford IceHogs News Release
The Rockford IceHogs today announced that they have assigned goaltender Ben Gaudreau to the Indy Fuel of the ECHL. The move comes after Drew Commesso was assigned to Rockford.</t>
  </si>
  <si>
    <t>Indy Fuel; 7:30 p.m.; Memorial Coliseum, 4000 Parnell Ave.; $15 to $32 adults, $14 to $27 ages 60 and older and 12 to 18, $10 to $22 ages 11 and younger; Ticketmaster.com.
STAGE
ALL WEEKEND
“Anastasia: The Musical” – 7 p.m. Friday, 3 p.m.</t>
  </si>
  <si>
    <t>Komets must figure out Indy's stifling defense, which is like 'solving a Rubik's Cube'</t>
  </si>
  <si>
    <t>The Komets seem to have gotten their offense going, they’ve won three straight games, but now they face a difficult and unique challenge – the Indy Fuel’s defense.
“It’s incredible,” said Komets coach Jesse Kallechy, whose team is 14-7-1.</t>
  </si>
  <si>
    <t>20 Cheap Things to Do in Indianapolis JANUARY EVENTS &amp; ACTIVITIES</t>
  </si>
  <si>
    <t>Rebeca Simpson Holloway</t>
  </si>
  <si>
    <t>Indy with Kids</t>
  </si>
  <si>
    <t>Dress Up for Star Wars Night at IndyFuel
Let the force be with you as Indy Fuel takes on the Cincinnati Cyclones on January 18th on Star Wars Night.
Ice Skating Downtown
Hit the ice at the beautiful Elevance Health Rink on Bicentennial Unity Plaza downtown for ice skating and ice booce.</t>
  </si>
  <si>
    <t>Friday
ECHL – Indy Fuel at Fort Wayne Komets, 7:35 p.m.
NCAA Football – College Football Playoff, Indiana at Notre Dame, 8 p.m.
Saturday
NCAA Men’s Basketball – Chattanooga at Indiana, noon; Connecticut at Butler, noon; St.</t>
  </si>
  <si>
    <t>Indy Fuel fall to Bloomington Bison 3-1</t>
  </si>
  <si>
    <t>It was a closely-fought contest between franchises owned by Jim Hallet…this time the Bloomington Illinois Bison came out on top 3-1 in a Wednesday night game at Fishers Event Center. An open-net goal by Bloomington’s Dalton Duhart with 22 seconds remaining in Period 3 sealed the victory for the Bison. No one scored in the first period.  The Fuel had one power play opportunity but could not cash-in.  Blake McLaughlin found the goal in the waning moments of Period 2, bringing the tally to 2-0 Bison.</t>
  </si>
  <si>
    <t>Red-hot Komets prep for pair of games vs. Fuel</t>
  </si>
  <si>
    <t>(WANE) – After winning all three games last weekend – and scoring 14 goals to boot – the Komets will look to stay hot this weekend when they play the Indy Fuel twice.</t>
  </si>
  <si>
    <t>Fuel Fall to Bison 3-1 on Wednesday Night</t>
  </si>
  <si>
    <t>December 18, 2024 - ECHL (ECHL)
Indy Fuel News Release
Indy Fuel goaltender Joe Vrbetic and defenseman Christopher Cameron
(Indy Fuel)
FISHERS - The Fuel hosted the Bloomington Bison for the first time in franchise history.</t>
  </si>
  <si>
    <t>LOOK AHEAD
Wednesday
ECHL Hockey – Bloomington Bison at Indy Fuel, 7 p.m.
NCAA Men’s Basketball – Murray State at Indiana State, 7 p.m.; Butler at Marquette, 9 p.m.
Thursday
NCAA Women’s Basketball – Anderson at Ball State, 6:30 p.m.
NBA – Indiana Pacers at Phoenix Suns, 9 p.m.</t>
  </si>
  <si>
    <t>2024 Bloomington vs Indy Fuel</t>
  </si>
  <si>
    <t>Event Info
Here's how to watch the 2024 Bloomington vs Indy Fuel broadcast on FloHockey. The 2024 Bloomington vs Indy Fuel broadcast starts on Dec 18, 2024. Stream or cast from your desktop, mobile or TV. Now available on Roku, Fire TV, Chromecast and Apple TV.</t>
  </si>
  <si>
    <t>The IN List: 12/9 - 12/15</t>
  </si>
  <si>
    <t>Indy Fuel vs. Allen Americans: 7pm. Fishers Event Center, Fishers, IN. Tickets required.
Saturday, Dec 14
Santa Saturdays: 2-5pm. “Santa’s House” - 200 South Range Line Road, Carmel, IN. Free event, no tickets required.
Meet Me on Main: 4-8pm. Main St. Carmel, IN.</t>
  </si>
  <si>
    <t>The IN List 2024: 12/16 - 12/22</t>
  </si>
  <si>
    <t>Indy Fuel vs. Bloomington: 7pm. Fishers Event Center - Fishers, IN. Tickets required.
Elf the Musical: 7pm. Clowes Memorial Hall - Butler University. Tickets required.
Yuletide Celebration at the Indy Symphony: 7:30pm. Hilbert Circle Theatre - Indianapolis, IN.Tickets required.</t>
  </si>
  <si>
    <t>The IN List 2024: 12/2 - 12/8</t>
  </si>
  <si>
    <t>Indy Fuel vs. Heartlanders: 7pm. Fishers Event Center - Fishers, IN. Tickets required.
Holly Jolly Jamboree: 2-4pm. Cool Creek Nature Center - Carmel, IN. Pictures with Santa. Silly Safaris will present their Indiana Reindeer Reserve program from 2:30-3:30 pm, including a live reindeer!</t>
  </si>
  <si>
    <t>Wednesday
ECHL Hockey – Bloomington Bison at Indy Fuel, 7 p.m.
NCAA Men’s Basketball – Murray State at Indiana State, 7 p.m.; Butler at Marquette, 9 p.m.
Thursday
NCAA Women’s Basketball – Anderson at Ball State, 6:30 p.m.
NBA – Indiana Pacers at Phoenix Suns, 9 p.m.</t>
  </si>
  <si>
    <t>Record-breaking number of stuffed animals donated to Indy Fuel’s 2024 Teddy Bear Toss</t>
  </si>
  <si>
    <t>INDIANAPOLIS — Over the weekend, Indy Fuel’s Teddy Bear Toss received a record-breaking number of stuffed animals.
The Teddy Bear Toss was held at the Fishers Event Center on Saturday night in partnership with WRTV. … Indy Fuel says they received a total of 6,852 stuffed animals, which is the most in the Teddy Bear Toss’ history. The toys will be donated to several different charities.</t>
  </si>
  <si>
    <t>K-WINGS TOP FUEL SATURDAY IN OT</t>
  </si>
  <si>
    <t>NewsBreak</t>
  </si>
  <si>
    <t>Kalamazoo
FISHERS, IN – The Kalamazoo Wings (8-11-1-0), proud ECHL affiliate of the National Hockey League’s Vancouver Canucks, used overtime to beat the Indy Fuel (8-7-2-1) Saturday in the franchise’s first visit to Fishers Event Center, 4-3.</t>
  </si>
  <si>
    <t>WISH-TV (Indianapolis, IN)</t>
  </si>
  <si>
    <t>ECHL – Indy Fuel at Kalamazoo Wings, 3 p.m.
NFL – Indianapolis Colts at Denver Broncos, 4:25 p.m.
NBA – New Orleans Pelicans at Indiana Pacers, 5 p.m.
Monday
NCAA Women’s Basketball – Indiana State at Eastern Kentucky, 2 p.m.
Tuesday
NCAA Women’s Basketball – Purdue at Miami (Ohio), 7 p.m.</t>
  </si>
  <si>
    <t>K-Wings Drop Defensive Battle against Fuel Sunday</t>
  </si>
  <si>
    <t>December 15, 2024 - ECHL (ECHL)
Kalamazoo Wings News Release
KALAMAZOO, MI - The Kalamazoo Wings (8-12-1-0), proud ECHL affiliate of the National Hockey League's Vancouver Canucks, slugged back-and-forth against the Indy Fuel (10-7-2-1) Sunday at Wings Event Center, ultimately falling 2-0.</t>
  </si>
  <si>
    <t>Fuel Shutout Kalamazoo for Second Time this Season</t>
  </si>
  <si>
    <t>December 15, 2024 - ECHL (ECHL)
Indy Fuel News Release
Indy Fuel exchange congratulations following a goal
(Indy Fuel)
KALAMAZOO - The Fuel ended the weekend on the road in Kalamazoo against the Wings.</t>
  </si>
  <si>
    <t>K-Wings Pick Up Overtime Win In Indy</t>
  </si>
  <si>
    <t>The Kalamazoo Wings’ first visit to the Indy Fuel’s new Fishers Event Center on Saturday was a successful one, even if it took overtime to determine the outcome.
Zach Okabe was the hero for the K-Wings on this night, scoring the game-winner at the 2:32 mark of OT to ensure a 4-3 victory.</t>
  </si>
  <si>
    <t>Kalamazoo Wings beat Indy Fuel in overtime</t>
  </si>
  <si>
    <t>The Kalamazoo Wings managed to squeeze out an overtime road win against the Indy Fuel, ending 4-3 in the action on Saturday, Dec. 13, 2024.</t>
  </si>
  <si>
    <t>Indy Fuel lose in overtime on Teddy Bear Night: A Heartwarming Tradition</t>
  </si>
  <si>
    <t>In front of a sold-out crowd of 6,610 fans at the Fishers Event Center, the Indy Fuel hosted their annual Teddy Bear Toss game, a heartwarming tradition that saw a franchise-record 6,852 stuffed animals collected for charity.</t>
  </si>
  <si>
    <t>FUEL BREAK FRANCHISE TEDDY BEAR RECORD IN SELL OUT GAME</t>
  </si>
  <si>
    <t>indyfuelhockey.com</t>
  </si>
  <si>
    <t>ABOUT THE INDY FUEL:
The Indy Fuel are the proud ECHL affiliate of the National Hockey League’s Chicago Blackhawks and the American Hockey League’s Rockford IceHogs. Information and tickets can be foundHERE.</t>
  </si>
  <si>
    <t>K-Wings Top Fuel Saturday in OT</t>
  </si>
  <si>
    <t>December 14, 2024 - ECHL (ECHL)
Kalamazoo Wings News Release
FISHERS, IN - The Kalamazoo Wings (8-11-1-0), proud ECHL affiliate of the National Hockey League's Vancouver Canucks, used overtime to beat the Indy Fuel (8-7-2-1) Saturday in the franchise's first visit to Fishers Event Center, 4-3.</t>
  </si>
  <si>
    <t>Fuel Break Franchise Teddy Bear Record In Sell-Out Game</t>
  </si>
  <si>
    <t>December 14, 2024 - ECHL (ECHL)
Indy Fuel News Release
FISHERS- In front of a sold-out crowd of 6,610 fans, the Fuel hosted the Kalamazoo Wings for their annual Teddy Bear Toss game where they collected a franchise high 6,852 stuffed animals for charity after a second period goal by Ryan Gagnier.</t>
  </si>
  <si>
    <t>Mariners Send Stockdale, Willets to Indy</t>
  </si>
  <si>
    <t>December 14, 2024 - ECHL (ECHL)
Maine Mariners News Release
GLENS FALLS, NY - The Maine Mariners completed a future considerations trade on Saturday, dealing forward Bennett Stockdale and defenseman Jake Willets to the Indy Fuel.</t>
  </si>
  <si>
    <t>ECHL – Kalamazoo Wings at Indy Fuel, 7 p.m.
Sunday
NCAA Women’s Basketball – Saint Francis (Pa.) at Butler, 1 p.m.; Bellarmine at Indiana, 2 p.m.; Eastern Michigan at Notre Dame, 2 p.m.; Northern Illinois at Indiana State, 2 p.m.; Ball State at Northern Kentucky, 3:30 p.m.</t>
  </si>
  <si>
    <t>IceHogs Recall Matus Spodniak from Indy</t>
  </si>
  <si>
    <t>IceHogs Recall Matus Spodniak from Indy
December 14, 2024 - American Hockey League (AHL)
Rockford IceHogs News Release
The Rockford IceHogs today announced that the team has recalled defenseman Matus Spodniak from the Indy Fuel.</t>
  </si>
  <si>
    <t>Strong defense as Indy Fuel beat Allen Americans</t>
  </si>
  <si>
    <t>The Indy Fuel secured the home victory against the Allen Americans on Friday, Dec. 12, 2024. The game ended 6-0.
 Colin Bilek
 scored twice and 
 Andrew Bellant
 , 
 Thomas Farrell
 , 
 Jordan Martin
 and 
 Matus Spodniak
 all got one.</t>
  </si>
  <si>
    <t>Fuel shutout Allen Americans 6-0</t>
  </si>
  <si>
    <t>It took 3 games to get it done, but the Indy Fuel notched their very first win at their new Fishers Event Center home, 6-0 over the visitors, the Americans from Allen, Texas.    The Fuel now have 9 wins on the young ECHL season.</t>
  </si>
  <si>
    <t>Fuel Shut Out Americans 6-0 on Eras Night</t>
  </si>
  <si>
    <t>December 13, 2024 - ECHL (ECHL)
Indy Fuel News Release
FISHERS- The Fuel hosted the Allen Americans for Eras Night on Friday.</t>
  </si>
  <si>
    <t>Americans Blanked by Indy 6-0</t>
  </si>
  <si>
    <t>December 13, 2024 - ECHL (ECHL)
Allen Americans News Release
(Indianapolis, Indiana) - The Allen Americans (7-9-4), ECHL affiliate of the Utah Hockey Club, powered by Energy Transfer Partners, dropped the opening game of a three-game Indiana trip 6-0 to the Indy Fuel at the brand-new Fisher's Event</t>
  </si>
  <si>
    <t>LOOK AHEAD
Friday
ECHL – Allen Americans at Indy Fuel, 7 p.m.
NBA – Indiana Pacers at Philadelphia 76ers, 7 p.m.
NCAA Men’s Basketball – Indiana at Nebraska, 8 p.m.
Saturday
NCAA Men’s Basketball – Texas A&amp;M vs. Purdue at Gainbridge Fieldhouse, noon; Wisconsin vs.</t>
  </si>
  <si>
    <t>Americans Open the Weekend in Indianapolis</t>
  </si>
  <si>
    <t>December 13, 2024 - ECHL (ECHL)
Allen Americans News Release
Allen Americans defenseman Hudson Wilson
(Allen Americans, Credit: Dave Dudich)
Indianapolis, Indiana - The Allen Americans (7-8-4-0), ECHL affiliate of the Utah Hockey Club, powered by Energy Transfer Partners, face the Indy Fuel (8-7-</t>
  </si>
  <si>
    <t>Indianapolis weekend events: Indy Classic, classic Christmas and more</t>
  </si>
  <si>
    <t>Axios Indianapolis</t>
  </si>
  <si>
    <t>ğ Smash someone into the boards with two Indy Fuel games at the new Fishers Event Center.
Tickets for the Fuel vs. the Allen Americans at 7pm Friday start at $24.
Tickets for the Fuel vs. the Kalamazoo Wings at 7pm Saturday start at $24.</t>
  </si>
  <si>
    <t>Friday
ECHL – Allen Americans at Indy Fuel, 7 p.m.
NBA – Indiana Pacers at Philadelphia 76ers, 7 p.m.
NCAA Men’s Basketball – Indiana at Nebraska, 8 p.m.
Saturday
NCAA Men’s Basketball – Texas A&amp;M vs. Purdue at Gainbridge Fieldhouse, noon; Wisconsin vs.</t>
  </si>
  <si>
    <t>ECHL – Allen Americans at Indy Fuel, 7 p.m.
NBA – Indiana Pacers at Philadelphia 76ers, 7 p.m.
NCAA Men’s Basketball – Indiana at Nebraska, 8 p.m.
NCAA Men’s Basketball – Texas A&amp;M vs. Purdue at Gainbridge Fieldhouse, noon; Wisconsin vs.</t>
  </si>
  <si>
    <t>Iowa Heartlanders win against Indy Fuel in overtime</t>
  </si>
  <si>
    <t>The teams were tied after 60 minutes but overtime saw the Iowa Heartlanders come away with the close win over the Indy Fuel on the road on Saturday, Dec. 06, 2024.
The final score was 2-1.</t>
  </si>
  <si>
    <t>Home base: Indy Fuel plays to a sold-out crowd at first Fishers Event Center hockey game</t>
  </si>
  <si>
    <t>Leila Kheiry</t>
  </si>
  <si>
    <t>The 7,500-seat Fishers Event Center was packed Dec. 6 as Indy Fuel fans cheered their team’s first home game of the season, and the first game at the new facility. </t>
  </si>
  <si>
    <t>ECHL – Allen Americans at Indy Fuel, 7 p.m.
NBA – Indiana Pacers at Philadelphia 76ers, 7 p.m.
NCAA Men’s Basketball – Indiana at Nebraska, 8 p.m.</t>
  </si>
  <si>
    <t>INDY FUEL PIT STOP: WEEK 8</t>
  </si>
  <si>
    <t>INDY FUEL WEEK SEVEN RESULTS 0-1-1-0
INDY FUEL OVERALL RECORD 8-7-1-1 (4th in Central Division)
GAME 17 - FRIDAY, DECEMBER 6 VS. IOWA - 4-3 L
The Fuel packed the house with a sellout crowd for their first ever game at Fishers Event Center as they took on the Iowa Heartlanders.</t>
  </si>
  <si>
    <t>A few random thoughts</t>
  </si>
  <si>
    <t>The first actual event I experienced at the Fishers Event Center was the home opener for the Indy Fuel hockey team.  I looked around the venue and found a standing-room-only crowd.
Then, the following night, I watched the second home game for the Fuel and found a crowd just under a sellout. </t>
  </si>
  <si>
    <t>Tommy Lang</t>
  </si>
  <si>
    <t>KCJJ-AM (Iowa City, IA)</t>
  </si>
  <si>
    <t>Another tough loss for the Indy Fuel</t>
  </si>
  <si>
    <t>It wasn’t a sellout like Friday for the home opener and first hockey game in Fishers Event Center, but Saturday’s crowd of 6,311 was just short of selling out.  Unfortunately, the loud and boisterous fans could not push the Fuel to a win. Andrew McLean of the Iowa Heartlanders scored a goal with just over 32 seconds remaining in overtime, ending the contest.  It had been a night of defense, penalty killing and goaltending finesse, but the Fuel came up just short in the overtime period.</t>
  </si>
  <si>
    <t>Fuel Earn Point in Overtime Battle with Heartlanders</t>
  </si>
  <si>
    <t>December 7, 2024 - ECHL (ECHL)
Indy Fuel News Release
FISHERS- The Fuel hosted the Iowa Heartlanders for the second night in a row and in a low scoring battle, Indy forced overtime but ultimately fell 2-1 to Iowa.
1ST PERIOD
Lucas Brenton put the Fuel on a penalty kill just 29 seconds into the game</t>
  </si>
  <si>
    <t>Heartlanders Spoil Indy's Home Opener In New Arena</t>
  </si>
  <si>
    <t>Stephen Kerr</t>
  </si>
  <si>
    <t>It’s been nearly eight months since the Indy Fuel played a regular-season game on home ice. While other ECHL teams had their home openers way back in October or early November, the Fuel started the 2024-25 season with a 15-game road trip while waiting for their new venue to be completed.</t>
  </si>
  <si>
    <t>ECHL – Iowa Heartlanders at Indy Fuel, 7 p.m.
NCAA Men’s Basketball – Maryland at Purdue, noon; Ball State at Southern Illinois-Edwardsville, 2 p.m.
NCAA Women’s Basketball – Notre Dame at Syracuse, noon; Butler at Ohio, 1 p.m.
NBA – Charlotte Hornets at Indiana Pacers, 5 p.m.</t>
  </si>
  <si>
    <t>Iowa Heartlanders beat Indy Fuel and continue winning run</t>
  </si>
  <si>
    <t>The game between the Indy Fuel and the Iowa Heartlanders on Friday, Dec. 05, 2024 finished 4-3.
The result means Iowa has four straight wins.
 Will Calverley
 , 
 Jack O'brien
 , 
 Dakota Raabe
 and 
 T.j.</t>
  </si>
  <si>
    <t>Iowa overcomes two-goal deficit to spoil Indy's home opener, 4-3</t>
  </si>
  <si>
    <t>., Iowa completes a three-game road road trip with back-to-back games against the Indy Fuel.
Hat Trick Package Now Available
Get Tickets To 3 Unforgettable Nights + A Heartlanders Hat, starting at $45.
Wild, Wild Midwest Night (Country Night): Saturday, January 18 at 6:00 pm vs.</t>
  </si>
  <si>
    <t>Indy Fuel plays in front of sold-out crowd for first game at Fishers Event Center</t>
  </si>
  <si>
    <t>Michael Van Schoik</t>
  </si>
  <si>
    <t>WXIN-TV (Indianapolis, IN)</t>
  </si>
  <si>
    <t>. - The moment Indy Fuel fans have been waiting for has finally arrived.
The ice officially heated up in Fishers on Friday as the puck dropped for the Fuel's very first game at the team's brand-new home in Hamilton County.</t>
  </si>
  <si>
    <t>WTTV-TV (Indianapolis, IN)</t>
  </si>
  <si>
    <t>. – The moment Indy Fuel fans have been waiting for has finally arrived.
The ice officially heated up in Fishers on Friday as the puck dropped for the Fuel’s very first game at the team’s brand-new home in Hamilton County.</t>
  </si>
  <si>
    <t>Fuel Sell Out Home Opener, Fall To Iowa</t>
  </si>
  <si>
    <t>December 6, 2024 - ECHL (ECHL)
Indy Fuel News Release
FISHERS - The Fuel packed the house with a sellout crowd for their first ever game at Fishers Event Center as they took on the Iowa Heartlanders.</t>
  </si>
  <si>
    <t>ECHL – Iowa Heartlanders at Indy Fuel, 7 p.m.
NCAA Men’s Basketball – Miami (Ohio) at Indiana, 7 p.m.
NBA – Indiana Pacers at Chicago Bulls, 8 p.m.
NCAA Men’s Basketball – Syracuse at Notre Dame, noon; Butler at Houston, 5:30 p.m.; Indiana State at Missouri State, 8 p.m.</t>
  </si>
  <si>
    <t>Win tickets to see the Indy Fuel play at the new Fishers stadium!</t>
  </si>
  <si>
    <t>Indy Fuel Ticket Sweepstakes
OFFICIAL RULES
NO PURCHASE NECESSARY TO ENTER OR WIN. A PURCHASE WILL NOT INCREASE YOUR CHANCES OF WINNING. 
Indy Fuel Ticket Sweepstakes (“Sweepstakes”) begins on 12/6/2024 at 5:00AM Eastern Time (“ET”) and ends on 12/11/2024 at 11:00PM ET (“Promotion Period”).</t>
  </si>
  <si>
    <t>Adirondack Acquires Sam Ruffin From Indy</t>
  </si>
  <si>
    <t>The Adirondack Thunder, proud ECHL affiliate of the New Jersey Devils and Utica Comets of the American Hockey League, have announced that the club has acquired forward Sam Ruffin from the Indy Fuel in exchange for Future Considerations.</t>
  </si>
  <si>
    <t>Thunder Acquire Forward Sam Ruffin from Indy Fuel</t>
  </si>
  <si>
    <t>December 5, 2024 - ECHL (ECHL)
Adirondack Thunder News Release
Forward Sam Ruffin with the Indy Fuel
(Adirondack Thunder)
GLENS FALLS - The Adirondack Thunder, proud ECHL affiliate of the New Jersey Devils and Utica Comets, have announced that the club has acquired forward Sam Ruffin from the Indy</t>
  </si>
  <si>
    <t>Thunder Acquire Forward Sam Ruffin from Indy</t>
  </si>
  <si>
    <t>December 5, 2024 - ECHL (ECHL)
Adirondack Thunder News Release
GLENS FALLS - The Adirondack Thunder, proud ECHL affiliate of the New Jersey Devils and Utica Comets, have announced that the club has acquired forward Sam Ruffin from the Indy Fuel in exchange for Future Considerations.</t>
  </si>
  <si>
    <t>Indy Fuel set to drop puck on home ice after historic streak of road games</t>
  </si>
  <si>
    <t>Scott Sander</t>
  </si>
  <si>
    <t>INDIANAPOLIS (WISH) — An extremely long wait finally ends Friday for the Indy Fuel and central Indiana hockey fans – the team is set to drop the puck on home ice for the first time this season.</t>
  </si>
  <si>
    <t>FUEL TO HOST HISTORIC HOME OPENER IN NEW ARENA</t>
  </si>
  <si>
    <t>INDIANAPOLIS — The Indy Fuel host the Iowa Heartlanders for the first time this season in the brand new Fishers Event Center. After a 15-game road trip,the wait is finally over for players, staff, and fans.</t>
  </si>
  <si>
    <t>Podcast: Joe Zollo, Director of Digital Marketing, Indy Fuel</t>
  </si>
  <si>
    <t>After a long 15-game road trip to start the season, the Indy Fuel hickey team is set to start their home season in the brand new Fishers Event Center.  I talked with Joe Zollo, Director of Digital Marketing for the Fuel, about the home opener and much more in the podcast linked below.</t>
  </si>
  <si>
    <t>Indy Fuel make debut at new Fishers Event Center</t>
  </si>
  <si>
    <t>Nicole Hernandez, Sarah Leonhardt, Shea Stapley</t>
  </si>
  <si>
    <t>INDYtoday</t>
  </si>
  <si>
    <t>The Indy Fuel are hitting the ice for the first time at the team’s new home — Fishers Event Center — when the puck drops at 7 p.m. tomorrow night (Friday, Dec. 6). 
The team will take on its divisional opponent, the Iowa Heartlanders, in this historic match. … Allen Americans | Eras Night (Indy Fuel’s Version)
Saturday, Dec. 14 at 7 p.m. | vs. Kalamazoo Wings | Teddy Bear Toss 
See the full schedule and themed games. 
Fishers Event Center is located at 11000 Stockdale St. near the Fishers District. 
There is a clear bag policy.</t>
  </si>
  <si>
    <t>ECHL – Iowa Heartlanders at Indy Fuel, 7 p.m.
NCAA Men’s Basketball – Miami (Ohio) at Indiana, 7 p.m.
NBA – Indiana Pacers at Chicago Bulls, 8 p.m.</t>
  </si>
  <si>
    <t>Ghost Pirates Acquire Saigeon from Fuel</t>
  </si>
  <si>
    <t>. - The Savannah Ghost Pirates announced today the team has acquired forward Brandon Saigeon from the Indy Fuel in exchange for future considerations.
Saigeon, 26, has recorded eight points (three goals, five assists) in 14 games with the Fuel this season.</t>
  </si>
  <si>
    <t>Fuel Sweep Series Against Grizzlies</t>
  </si>
  <si>
    <t>The Indy Fuel have yet to play a home game this season as they await the renovation of their arena.
The club ended a 15-game road trip in West Valley City Saturday night with a 4-1 win over the Utah Grizzlies to sweep the series. Kevin Lombardi scored two goals to lead his club to victory.</t>
  </si>
  <si>
    <t>Fuel Secure Series Sweep Over Grizzlies in Fiery Finale</t>
  </si>
  <si>
    <t>The Indy Fuel capped off their grueling 15-game road trip in style, defeating the Utah Grizzlies 4-1 on Saturday night to complete a three-game series sweep.</t>
  </si>
  <si>
    <t>Burke's two goals net Indy Fuel victory over Utah Grizzlies</t>
  </si>
  <si>
    <t>The Indy Fuel beat the hosting Utah Grizzlies on Wednesday, Nov. 26, 2024, ending 4-2.
 Nathan Burke
 nabbed two for the Fuel, while 
 Colin Bilek
 and 
 Darby Llewellyn
 scored one each.</t>
  </si>
  <si>
    <t>Hard-to-beat Indy Fuel have claimed another win</t>
  </si>
  <si>
    <t>The Indy Fuel continue to stay strong.
When the team played the Utah Grizzlies on Saturday, Nov. 29, 2024, they claimed yet another victory. Indy won the game 4-1 and now has four successive wins.</t>
  </si>
  <si>
    <t>Article</t>
  </si>
  <si>
    <t>URL</t>
  </si>
  <si>
    <t>Author</t>
  </si>
  <si>
    <t>Media Outlet</t>
  </si>
  <si>
    <t>Published</t>
  </si>
  <si>
    <t>Snippet</t>
  </si>
  <si>
    <t>UVM (Insights by Similarweb)</t>
  </si>
  <si>
    <t>Journalist Shares</t>
  </si>
  <si>
    <t>Journalist Reach</t>
  </si>
  <si>
    <t>Total Engagement</t>
  </si>
  <si>
    <t>Sentiment</t>
  </si>
  <si>
    <t>Pitch Placement</t>
  </si>
  <si>
    <t>Location Category</t>
  </si>
  <si>
    <t>USA</t>
  </si>
  <si>
    <t>Local</t>
  </si>
  <si>
    <t>International</t>
  </si>
  <si>
    <t>Advertising Value Equivalency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</si>
</sst>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3" x14ac:knownFonts="1">
    <font>
      <sz val="11"/>
      <color theme="1"/>
      <name val="Aptos Narrow"/>
      <family val="2"/>
      <scheme val="minor"/>
    </font>
    <font>
      <sz val="10"/>
      <name val="Arial"/>
    </font>
    <font>
      <b/>
      <sz val="10"/>
      <name val="Arial"/>
    </font>
  </fonts>
  <fills count="2">
    <fill>
      <patternFill patternType="none"/>
    </fill>
    <fill>
      <patternFill patternType="gray125"/>
    </fill>
  </fills>
  <borders count="1">
    <border>
      <left/>
      <right/>
      <top/>
      <bottom/>
      <diagonal/>
    </border>
  </borders>
  <cellStyleXfs count="4">
    <xf numFmtId="0" fontId="0" fillId="0" borderId="0"/>
    <xf numFmtId="0" fontId="1" fillId="0" borderId="0">
      <alignment vertical="top" wrapText="1"/>
    </xf>
    <xf numFmtId="164" fontId="1" fillId="0" borderId="0">
      <alignment vertical="top" wrapText="1"/>
    </xf>
    <xf numFmtId="0" fontId="2" fillId="0" borderId="0"/>
  </cellStyleXfs>
  <cellXfs count="4">
    <xf numFmtId="0" fontId="0" fillId="0" borderId="0" xfId="0"/>
    <xf numFmtId="0" fontId="1" fillId="0" borderId="0" xfId="1">
      <alignment vertical="top" wrapText="1"/>
    </xf>
    <xf numFmtId="164" fontId="1" fillId="0" borderId="0" xfId="2">
      <alignment vertical="top" wrapText="1"/>
    </xf>
    <xf numFmtId="0" fontId="2" fillId="0" borderId="0" xfId="3"/>
  </cellXfs>
  <cellStyles count="4">
    <cellStyle name="mr_datetime" xfId="2" xr:uid="{2AAD4039-958A-4EBA-A866-10BEA39BCF28}"/>
    <cellStyle name="mr_header" xfId="3" xr:uid="{33A09D91-F61C-49FE-AECB-04DEC074702A}"/>
    <cellStyle name="mr_normal" xfId="1" xr:uid="{7DBE31D6-98E8-4272-AA1C-CAC45C77B07E}"/>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67EA7-4861-4F9E-BA73-D58198E687E5}">
  <dimension ref="A1:N124"/>
  <sheetViews>
    <sheetView tabSelected="1" topLeftCell="D1" workbookViewId="0">
      <selection activeCell="G124" sqref="G124"/>
    </sheetView>
  </sheetViews>
  <sheetFormatPr defaultRowHeight="14.4" x14ac:dyDescent="0.3"/>
  <cols>
    <col min="1" max="1" width="34.109375" customWidth="1"/>
    <col min="2" max="2" width="23.21875" customWidth="1"/>
    <col min="4" max="4" width="11.77734375" customWidth="1"/>
    <col min="5" max="5" width="19.6640625" customWidth="1"/>
    <col min="6" max="7" width="26.88671875" customWidth="1"/>
    <col min="8" max="8" width="26.88671875" bestFit="1" customWidth="1"/>
    <col min="9" max="9" width="16.44140625" bestFit="1" customWidth="1"/>
    <col min="10" max="10" width="15.77734375" bestFit="1" customWidth="1"/>
    <col min="11" max="11" width="16.88671875" bestFit="1" customWidth="1"/>
    <col min="12" max="12" width="9.77734375" bestFit="1" customWidth="1"/>
    <col min="13" max="13" width="15.109375" bestFit="1" customWidth="1"/>
    <col min="14" max="14" width="17.33203125" bestFit="1" customWidth="1"/>
  </cols>
  <sheetData>
    <row r="1" spans="1:14" x14ac:dyDescent="0.3">
      <c r="A1" s="3" t="s">
        <v>244</v>
      </c>
      <c r="B1" s="3" t="s">
        <v>245</v>
      </c>
      <c r="C1" s="3" t="s">
        <v>246</v>
      </c>
      <c r="D1" s="3" t="s">
        <v>247</v>
      </c>
      <c r="E1" s="3" t="s">
        <v>248</v>
      </c>
      <c r="F1" s="3" t="s">
        <v>249</v>
      </c>
      <c r="G1" s="3" t="s">
        <v>260</v>
      </c>
      <c r="H1" s="3" t="s">
        <v>250</v>
      </c>
      <c r="I1" s="3" t="s">
        <v>251</v>
      </c>
      <c r="J1" s="3" t="s">
        <v>252</v>
      </c>
      <c r="K1" s="3" t="s">
        <v>253</v>
      </c>
      <c r="L1" s="3" t="s">
        <v>254</v>
      </c>
      <c r="M1" s="3" t="s">
        <v>255</v>
      </c>
      <c r="N1" s="3" t="s">
        <v>256</v>
      </c>
    </row>
    <row r="2" spans="1:14" ht="118.8" x14ac:dyDescent="0.3">
      <c r="A2" s="1" t="s">
        <v>4</v>
      </c>
      <c r="B2" s="1" t="str">
        <f>HYPERLINK("https://www.oursportscentral.com/services/releases/fuel-ring-in-the-new-year-with-victory/n-6177252")</f>
        <v>https://www.oursportscentral.com/services/releases/fuel-ring-in-the-new-year-with-victory/n-6177252</v>
      </c>
      <c r="C2" s="1"/>
      <c r="D2" s="1" t="s">
        <v>2</v>
      </c>
      <c r="E2" s="2">
        <v>45657.731249999997</v>
      </c>
      <c r="F2" s="1" t="s">
        <v>5</v>
      </c>
      <c r="G2" s="1">
        <f>H2*(0.025)*(0.35)</f>
        <v>353.51749999999998</v>
      </c>
      <c r="H2" s="1">
        <v>40402</v>
      </c>
      <c r="I2" s="1">
        <v>0</v>
      </c>
      <c r="J2" s="1">
        <v>0</v>
      </c>
      <c r="K2" s="1">
        <v>0</v>
      </c>
      <c r="L2" s="1" t="s">
        <v>1</v>
      </c>
      <c r="M2" s="1"/>
      <c r="N2" t="s">
        <v>257</v>
      </c>
    </row>
    <row r="3" spans="1:14" ht="171.6" x14ac:dyDescent="0.3">
      <c r="A3" s="1" t="s">
        <v>7</v>
      </c>
      <c r="B3" s="1" t="str">
        <f>HYPERLINK("https://www.youarecurrent.com/2024/12/31/fishers-community-events-january-2025/")</f>
        <v>https://www.youarecurrent.com/2024/12/31/fishers-community-events-january-2025/</v>
      </c>
      <c r="C3" s="1"/>
      <c r="D3" s="1" t="s">
        <v>8</v>
      </c>
      <c r="E3" s="2">
        <v>45657.650289351863</v>
      </c>
      <c r="F3" s="1" t="s">
        <v>9</v>
      </c>
      <c r="G3" s="1">
        <f t="shared" ref="G3:G66" si="0">H3*(0.025)*(0.35)</f>
        <v>371.91874999999999</v>
      </c>
      <c r="H3" s="1">
        <v>42505</v>
      </c>
      <c r="I3" s="1">
        <v>0</v>
      </c>
      <c r="J3" s="1">
        <v>0</v>
      </c>
      <c r="K3" s="1">
        <v>0</v>
      </c>
      <c r="L3" s="1" t="s">
        <v>1</v>
      </c>
      <c r="M3" s="1"/>
      <c r="N3" t="s">
        <v>258</v>
      </c>
    </row>
    <row r="4" spans="1:14" ht="158.4" x14ac:dyDescent="0.3">
      <c r="A4" s="1" t="s">
        <v>10</v>
      </c>
      <c r="B4" s="1" t="str">
        <f>HYPERLINK("https://wwmt.com/sports/content/kalamazoo-wings-indy-fuel-echl-minor-league-hockey-2024-new-years-eve-wings-event-center-michigan")</f>
        <v>https://wwmt.com/sports/content/kalamazoo-wings-indy-fuel-echl-minor-league-hockey-2024-new-years-eve-wings-event-center-michigan</v>
      </c>
      <c r="C4" s="1"/>
      <c r="D4" s="1" t="s">
        <v>11</v>
      </c>
      <c r="E4" s="2">
        <v>45657.522812499999</v>
      </c>
      <c r="F4" s="1" t="s">
        <v>12</v>
      </c>
      <c r="G4" s="1">
        <f t="shared" si="0"/>
        <v>3657.4037499999999</v>
      </c>
      <c r="H4" s="1">
        <v>417989</v>
      </c>
      <c r="I4" s="1">
        <v>0</v>
      </c>
      <c r="J4" s="1">
        <v>0</v>
      </c>
      <c r="K4" s="1">
        <v>0</v>
      </c>
      <c r="L4" s="1" t="s">
        <v>6</v>
      </c>
      <c r="M4" s="1"/>
      <c r="N4" t="s">
        <v>257</v>
      </c>
    </row>
    <row r="5" spans="1:14" ht="198" x14ac:dyDescent="0.3">
      <c r="A5" s="1" t="s">
        <v>13</v>
      </c>
      <c r="B5" s="1" t="str">
        <f>HYPERLINK("https://www.heraldbulletin.com/sports/coming-up/article_6b644430-c703-11ef-bf67-a7343987f429.html")</f>
        <v>https://www.heraldbulletin.com/sports/coming-up/article_6b644430-c703-11ef-bf67-a7343987f429.html</v>
      </c>
      <c r="C5" s="1"/>
      <c r="D5" s="1" t="s">
        <v>14</v>
      </c>
      <c r="E5" s="2">
        <v>45657.294062499997</v>
      </c>
      <c r="F5" s="1" t="s">
        <v>15</v>
      </c>
      <c r="G5" s="1">
        <f t="shared" si="0"/>
        <v>439.77499999999998</v>
      </c>
      <c r="H5" s="1">
        <v>50260</v>
      </c>
      <c r="I5" s="1">
        <v>0</v>
      </c>
      <c r="J5" s="1">
        <v>0</v>
      </c>
      <c r="K5" s="1">
        <v>1</v>
      </c>
      <c r="L5" s="1" t="s">
        <v>6</v>
      </c>
      <c r="M5" s="1"/>
      <c r="N5" t="s">
        <v>258</v>
      </c>
    </row>
    <row r="6" spans="1:14" ht="158.4" x14ac:dyDescent="0.3">
      <c r="A6" s="1" t="s">
        <v>16</v>
      </c>
      <c r="B6" s="1" t="str">
        <f>HYPERLINK("https://www.flohockey.tv/events/12620331-2024-indy-fuel-vs-kalamazoo-wings")</f>
        <v>https://www.flohockey.tv/events/12620331-2024-indy-fuel-vs-kalamazoo-wings</v>
      </c>
      <c r="C6" s="1"/>
      <c r="D6" s="1" t="s">
        <v>17</v>
      </c>
      <c r="E6" s="2">
        <v>45656.791666666657</v>
      </c>
      <c r="F6" s="1" t="s">
        <v>18</v>
      </c>
      <c r="G6" s="1">
        <f t="shared" si="0"/>
        <v>2807.7787499999999</v>
      </c>
      <c r="H6" s="1">
        <v>320889</v>
      </c>
      <c r="I6" s="1">
        <v>0</v>
      </c>
      <c r="J6" s="1">
        <v>0</v>
      </c>
      <c r="K6" s="1">
        <v>0</v>
      </c>
      <c r="L6" s="1" t="s">
        <v>6</v>
      </c>
      <c r="M6" s="1"/>
      <c r="N6" t="s">
        <v>259</v>
      </c>
    </row>
    <row r="7" spans="1:14" ht="198" x14ac:dyDescent="0.3">
      <c r="A7" s="1" t="s">
        <v>13</v>
      </c>
      <c r="B7" s="1" t="str">
        <f>HYPERLINK("https://www.heraldbulletin.com/sports/coming-up/article_6df42646-c68d-11ef-ab51-b305f6338896.html")</f>
        <v>https://www.heraldbulletin.com/sports/coming-up/article_6df42646-c68d-11ef-ab51-b305f6338896.html</v>
      </c>
      <c r="C7" s="1"/>
      <c r="D7" s="1" t="s">
        <v>14</v>
      </c>
      <c r="E7" s="2">
        <v>45656.299814814818</v>
      </c>
      <c r="F7" s="1" t="s">
        <v>15</v>
      </c>
      <c r="G7" s="1">
        <f t="shared" si="0"/>
        <v>439.77499999999998</v>
      </c>
      <c r="H7" s="1">
        <v>50260</v>
      </c>
      <c r="I7" s="1">
        <v>0</v>
      </c>
      <c r="J7" s="1">
        <v>0</v>
      </c>
      <c r="K7" s="1">
        <v>1</v>
      </c>
      <c r="L7" s="1" t="s">
        <v>6</v>
      </c>
      <c r="M7" s="1"/>
      <c r="N7" t="s">
        <v>258</v>
      </c>
    </row>
    <row r="8" spans="1:14" ht="132" x14ac:dyDescent="0.3">
      <c r="A8" s="1" t="s">
        <v>21</v>
      </c>
      <c r="B8" s="1" t="str">
        <f>HYPERLINK("https://www.larryinfishers.com/2024/12/30/top-fishers-news-stories-for-2024/")</f>
        <v>https://www.larryinfishers.com/2024/12/30/top-fishers-news-stories-for-2024/</v>
      </c>
      <c r="C8" s="1"/>
      <c r="D8" s="1" t="s">
        <v>22</v>
      </c>
      <c r="E8" s="2">
        <v>45656.277222222219</v>
      </c>
      <c r="F8" s="1" t="s">
        <v>23</v>
      </c>
      <c r="G8" s="1">
        <f t="shared" si="0"/>
        <v>30.703749999999999</v>
      </c>
      <c r="H8" s="1">
        <v>3509</v>
      </c>
      <c r="I8" s="1">
        <v>0</v>
      </c>
      <c r="J8" s="1">
        <v>0</v>
      </c>
      <c r="K8" s="1">
        <v>17</v>
      </c>
      <c r="L8" s="1" t="s">
        <v>3</v>
      </c>
      <c r="M8" s="1"/>
      <c r="N8" t="s">
        <v>258</v>
      </c>
    </row>
    <row r="9" spans="1:14" ht="132" x14ac:dyDescent="0.3">
      <c r="A9" s="1" t="s">
        <v>24</v>
      </c>
      <c r="B9" s="1" t="str">
        <f>HYPERLINK("https://www.larryinfishers.com/2024/12/29/komets-edge-fuel-in-shootout-thriller-3-2/")</f>
        <v>https://www.larryinfishers.com/2024/12/29/komets-edge-fuel-in-shootout-thriller-3-2/</v>
      </c>
      <c r="C9" s="1"/>
      <c r="D9" s="1" t="s">
        <v>22</v>
      </c>
      <c r="E9" s="2">
        <v>45655.966967592591</v>
      </c>
      <c r="F9" s="1" t="s">
        <v>25</v>
      </c>
      <c r="G9" s="1">
        <f t="shared" si="0"/>
        <v>30.703749999999999</v>
      </c>
      <c r="H9" s="1">
        <v>3509</v>
      </c>
      <c r="I9" s="1">
        <v>0</v>
      </c>
      <c r="J9" s="1">
        <v>0</v>
      </c>
      <c r="K9" s="1">
        <v>1</v>
      </c>
      <c r="L9" s="1" t="s">
        <v>6</v>
      </c>
      <c r="M9" s="1"/>
      <c r="N9" t="s">
        <v>258</v>
      </c>
    </row>
    <row r="10" spans="1:14" ht="105.6" x14ac:dyDescent="0.3">
      <c r="A10" s="1" t="s">
        <v>26</v>
      </c>
      <c r="B10" s="1" t="str">
        <f>HYPERLINK("https://www.journalgazette.net/sports/professional/komets/komets-defeat-fuel-in-overtime-shootout-as-in-state-rivalry-finally-intensifies/article_9b37e8be-c62d-11ef-b928-7f055e655d8b.html")</f>
        <v>https://www.journalgazette.net/sports/professional/komets/komets-defeat-fuel-in-overtime-shootout-as-in-state-rivalry-finally-intensifies/article_9b37e8be-c62d-11ef-b928-7f055e655d8b.html</v>
      </c>
      <c r="C10" s="1"/>
      <c r="D10" s="1" t="s">
        <v>0</v>
      </c>
      <c r="E10" s="2">
        <v>45655.911944444437</v>
      </c>
      <c r="F10" s="1" t="s">
        <v>27</v>
      </c>
      <c r="G10" s="1">
        <f t="shared" si="0"/>
        <v>426.58</v>
      </c>
      <c r="H10" s="1">
        <v>48752</v>
      </c>
      <c r="I10" s="1">
        <v>1</v>
      </c>
      <c r="J10" s="1">
        <v>5626</v>
      </c>
      <c r="K10" s="1">
        <v>7</v>
      </c>
      <c r="L10" s="1" t="s">
        <v>6</v>
      </c>
      <c r="M10" s="1"/>
      <c r="N10" t="s">
        <v>258</v>
      </c>
    </row>
    <row r="11" spans="1:14" ht="145.19999999999999" x14ac:dyDescent="0.3">
      <c r="A11" s="1" t="s">
        <v>28</v>
      </c>
      <c r="B11" s="1" t="str">
        <f>HYPERLINK("https://www.journalgazette.net/multimedia/video-komets-vs-fuel-heats-up-in-fort-wayne-s-shootout-victory/video_15785d20-c651-11ef-b94d-3b2b4cc863bf.html")</f>
        <v>https://www.journalgazette.net/multimedia/video-komets-vs-fuel-heats-up-in-fort-wayne-s-shootout-victory/video_15785d20-c651-11ef-b94d-3b2b4cc863bf.html</v>
      </c>
      <c r="C11" s="1"/>
      <c r="D11" s="1" t="s">
        <v>0</v>
      </c>
      <c r="E11" s="2">
        <v>45655.791666666657</v>
      </c>
      <c r="F11" s="1" t="s">
        <v>29</v>
      </c>
      <c r="G11" s="1">
        <f t="shared" si="0"/>
        <v>426.58</v>
      </c>
      <c r="H11" s="1">
        <v>48752</v>
      </c>
      <c r="I11" s="1">
        <v>0</v>
      </c>
      <c r="J11" s="1">
        <v>0</v>
      </c>
      <c r="K11" s="1">
        <v>0</v>
      </c>
      <c r="L11" s="1" t="s">
        <v>6</v>
      </c>
      <c r="M11" s="1"/>
      <c r="N11" t="s">
        <v>258</v>
      </c>
    </row>
    <row r="12" spans="1:14" ht="118.8" x14ac:dyDescent="0.3">
      <c r="A12" s="1" t="s">
        <v>30</v>
      </c>
      <c r="B12" s="1" t="str">
        <f>HYPERLINK("https://www.wane.com/sports/komets/komets-gut-out-win-over-fuel-in-overtime-shootout/")</f>
        <v>https://www.wane.com/sports/komets/komets-gut-out-win-over-fuel-in-overtime-shootout/</v>
      </c>
      <c r="C12" s="1"/>
      <c r="D12" s="1" t="s">
        <v>20</v>
      </c>
      <c r="E12" s="2">
        <v>45655.733530092592</v>
      </c>
      <c r="F12" s="1" t="s">
        <v>31</v>
      </c>
      <c r="G12" s="1">
        <f t="shared" si="0"/>
        <v>4658.1062499999998</v>
      </c>
      <c r="H12" s="1">
        <v>532355</v>
      </c>
      <c r="I12" s="1">
        <v>0</v>
      </c>
      <c r="J12" s="1">
        <v>0</v>
      </c>
      <c r="K12" s="1">
        <v>7</v>
      </c>
      <c r="L12" s="1" t="s">
        <v>3</v>
      </c>
      <c r="M12" s="1"/>
      <c r="N12" t="s">
        <v>258</v>
      </c>
    </row>
    <row r="13" spans="1:14" ht="158.4" x14ac:dyDescent="0.3">
      <c r="A13" s="1" t="s">
        <v>32</v>
      </c>
      <c r="B13" s="1" t="str">
        <f>HYPERLINK("https://www.keepingupincarmel.com/post/the-in-list-2024-5-12-30-1-5")</f>
        <v>https://www.keepingupincarmel.com/post/the-in-list-2024-5-12-30-1-5</v>
      </c>
      <c r="C13" s="1" t="s">
        <v>33</v>
      </c>
      <c r="D13" s="1" t="s">
        <v>34</v>
      </c>
      <c r="E13" s="2">
        <v>45655.66547453704</v>
      </c>
      <c r="F13" s="1" t="s">
        <v>35</v>
      </c>
      <c r="G13" s="1">
        <f t="shared" si="0"/>
        <v>6.0025000000000004</v>
      </c>
      <c r="H13" s="1">
        <v>686</v>
      </c>
      <c r="I13" s="1">
        <v>0</v>
      </c>
      <c r="J13" s="1">
        <v>0</v>
      </c>
      <c r="K13" s="1">
        <v>0</v>
      </c>
      <c r="L13" s="1" t="s">
        <v>1</v>
      </c>
      <c r="M13" s="1"/>
      <c r="N13" t="s">
        <v>258</v>
      </c>
    </row>
    <row r="14" spans="1:14" ht="105.6" x14ac:dyDescent="0.3">
      <c r="A14" s="1" t="s">
        <v>36</v>
      </c>
      <c r="B14" s="1" t="str">
        <f>HYPERLINK("https://www.oursportscentral.com/services/releases/fuel-fall-in-shootout-to-fort-wayne/n-6176769")</f>
        <v>https://www.oursportscentral.com/services/releases/fuel-fall-in-shootout-to-fort-wayne/n-6176769</v>
      </c>
      <c r="C14" s="1"/>
      <c r="D14" s="1" t="s">
        <v>2</v>
      </c>
      <c r="E14" s="2">
        <v>45655.536111111112</v>
      </c>
      <c r="F14" s="1" t="s">
        <v>37</v>
      </c>
      <c r="G14" s="1">
        <f t="shared" si="0"/>
        <v>353.51749999999998</v>
      </c>
      <c r="H14" s="1">
        <v>40402</v>
      </c>
      <c r="I14" s="1">
        <v>0</v>
      </c>
      <c r="J14" s="1">
        <v>0</v>
      </c>
      <c r="K14" s="1">
        <v>0</v>
      </c>
      <c r="L14" s="1" t="s">
        <v>6</v>
      </c>
      <c r="M14" s="1"/>
      <c r="N14" t="s">
        <v>257</v>
      </c>
    </row>
    <row r="15" spans="1:14" ht="409.6" x14ac:dyDescent="0.3">
      <c r="A15" s="1" t="s">
        <v>38</v>
      </c>
      <c r="B15" s="1" t="str">
        <f>HYPERLINK("https://www.therinklive.com/sports/pro/toledo-walleye-beat-indy-fuel-hawkins-scores-2-20241229091042")</f>
        <v>https://www.therinklive.com/sports/pro/toledo-walleye-beat-indy-fuel-hawkins-scores-2-20241229091042</v>
      </c>
      <c r="C15" s="1"/>
      <c r="D15" s="1" t="s">
        <v>39</v>
      </c>
      <c r="E15" s="2">
        <v>45655.38244212963</v>
      </c>
      <c r="F15" s="1" t="s">
        <v>40</v>
      </c>
      <c r="G15" s="1">
        <f t="shared" si="0"/>
        <v>146.47499999999999</v>
      </c>
      <c r="H15" s="1">
        <v>16740</v>
      </c>
      <c r="I15" s="1">
        <v>0</v>
      </c>
      <c r="J15" s="1">
        <v>0</v>
      </c>
      <c r="K15" s="1">
        <v>0</v>
      </c>
      <c r="L15" s="1" t="s">
        <v>1</v>
      </c>
      <c r="M15" s="1"/>
      <c r="N15" t="s">
        <v>257</v>
      </c>
    </row>
    <row r="16" spans="1:14" ht="132" x14ac:dyDescent="0.3">
      <c r="A16" s="1" t="s">
        <v>41</v>
      </c>
      <c r="B16" s="1" t="str">
        <f>HYPERLINK("https://www.larryinfishers.com/2024/12/29/walleye-defeat-fuel-4-1-in-first-visit-to-fishers-event-center/")</f>
        <v>https://www.larryinfishers.com/2024/12/29/walleye-defeat-fuel-4-1-in-first-visit-to-fishers-event-center/</v>
      </c>
      <c r="C16" s="1"/>
      <c r="D16" s="1" t="s">
        <v>22</v>
      </c>
      <c r="E16" s="2">
        <v>45655.315659722219</v>
      </c>
      <c r="F16" s="1" t="s">
        <v>42</v>
      </c>
      <c r="G16" s="1">
        <f t="shared" si="0"/>
        <v>30.703749999999999</v>
      </c>
      <c r="H16" s="1">
        <v>3509</v>
      </c>
      <c r="I16" s="1">
        <v>0</v>
      </c>
      <c r="J16" s="1">
        <v>0</v>
      </c>
      <c r="K16" s="1">
        <v>1</v>
      </c>
      <c r="L16" s="1" t="s">
        <v>6</v>
      </c>
      <c r="M16" s="1"/>
      <c r="N16" t="s">
        <v>258</v>
      </c>
    </row>
    <row r="17" spans="1:14" ht="250.8" x14ac:dyDescent="0.3">
      <c r="A17" s="1" t="s">
        <v>13</v>
      </c>
      <c r="B17" s="1" t="str">
        <f>HYPERLINK("https://www.heraldbulletin.com/sports/coming-up/article_6834abf6-c5a0-11ef-87f2-cb53b34c1547.html")</f>
        <v>https://www.heraldbulletin.com/sports/coming-up/article_6834abf6-c5a0-11ef-87f2-cb53b34c1547.html</v>
      </c>
      <c r="C17" s="1"/>
      <c r="D17" s="1" t="s">
        <v>14</v>
      </c>
      <c r="E17" s="2">
        <v>45655.302407407413</v>
      </c>
      <c r="F17" s="1" t="s">
        <v>43</v>
      </c>
      <c r="G17" s="1">
        <f t="shared" si="0"/>
        <v>439.77499999999998</v>
      </c>
      <c r="H17" s="1">
        <v>50260</v>
      </c>
      <c r="I17" s="1">
        <v>0</v>
      </c>
      <c r="J17" s="1">
        <v>0</v>
      </c>
      <c r="K17" s="1">
        <v>1</v>
      </c>
      <c r="L17" s="1" t="s">
        <v>6</v>
      </c>
      <c r="M17" s="1"/>
      <c r="N17" t="s">
        <v>258</v>
      </c>
    </row>
    <row r="18" spans="1:14" ht="409.6" x14ac:dyDescent="0.3">
      <c r="A18" s="1" t="s">
        <v>44</v>
      </c>
      <c r="B18" s="1" t="str">
        <f>HYPERLINK("https://www.therinklive.com/sports/pro/strong-defense-as-toledo-walleye-beat-indy-fuel-20241229011142")</f>
        <v>https://www.therinklive.com/sports/pro/strong-defense-as-toledo-walleye-beat-indy-fuel-20241229011142</v>
      </c>
      <c r="C18" s="1"/>
      <c r="D18" s="1" t="s">
        <v>39</v>
      </c>
      <c r="E18" s="2">
        <v>45655.049803240741</v>
      </c>
      <c r="F18" s="1" t="s">
        <v>45</v>
      </c>
      <c r="G18" s="1">
        <f t="shared" si="0"/>
        <v>146.47499999999999</v>
      </c>
      <c r="H18" s="1">
        <v>16740</v>
      </c>
      <c r="I18" s="1">
        <v>0</v>
      </c>
      <c r="J18" s="1">
        <v>0</v>
      </c>
      <c r="K18" s="1">
        <v>0</v>
      </c>
      <c r="L18" s="1" t="s">
        <v>3</v>
      </c>
      <c r="M18" s="1"/>
      <c r="N18" t="s">
        <v>257</v>
      </c>
    </row>
    <row r="19" spans="1:14" ht="158.4" x14ac:dyDescent="0.3">
      <c r="A19" s="1" t="s">
        <v>46</v>
      </c>
      <c r="B19" s="1" t="str">
        <f>HYPERLINK("https://www.toledoblade.com/sports/walleye/2024/12/28/hawkins-scores-twice-walleye-shut-out-indy/stories/20241228112")</f>
        <v>https://www.toledoblade.com/sports/walleye/2024/12/28/hawkins-scores-twice-walleye-shut-out-indy/stories/20241228112</v>
      </c>
      <c r="C19" s="1"/>
      <c r="D19" s="1" t="s">
        <v>47</v>
      </c>
      <c r="E19" s="2">
        <v>45654.953645833331</v>
      </c>
      <c r="F19" s="1" t="s">
        <v>48</v>
      </c>
      <c r="G19" s="1">
        <f t="shared" si="0"/>
        <v>3577.8575000000001</v>
      </c>
      <c r="H19" s="1">
        <v>408898</v>
      </c>
      <c r="I19" s="1">
        <v>0</v>
      </c>
      <c r="J19" s="1">
        <v>0</v>
      </c>
      <c r="K19" s="1">
        <v>18</v>
      </c>
      <c r="L19" s="1" t="s">
        <v>1</v>
      </c>
      <c r="M19" s="1"/>
      <c r="N19" t="s">
        <v>257</v>
      </c>
    </row>
    <row r="20" spans="1:14" ht="118.8" x14ac:dyDescent="0.3">
      <c r="A20" s="1" t="s">
        <v>49</v>
      </c>
      <c r="B20" s="1" t="str">
        <f>HYPERLINK("https://www.oursportscentral.com/services/releases/fuel-sell-out-saturday-night-in-loss-to-toledo/n-6176503")</f>
        <v>https://www.oursportscentral.com/services/releases/fuel-sell-out-saturday-night-in-loss-to-toledo/n-6176503</v>
      </c>
      <c r="C20" s="1"/>
      <c r="D20" s="1" t="s">
        <v>2</v>
      </c>
      <c r="E20" s="2">
        <v>45654.601388888892</v>
      </c>
      <c r="F20" s="1" t="s">
        <v>50</v>
      </c>
      <c r="G20" s="1">
        <f t="shared" si="0"/>
        <v>353.51749999999998</v>
      </c>
      <c r="H20" s="1">
        <v>40402</v>
      </c>
      <c r="I20" s="1">
        <v>0</v>
      </c>
      <c r="J20" s="1">
        <v>0</v>
      </c>
      <c r="K20" s="1">
        <v>0</v>
      </c>
      <c r="L20" s="1" t="s">
        <v>6</v>
      </c>
      <c r="M20" s="1"/>
      <c r="N20" t="s">
        <v>257</v>
      </c>
    </row>
    <row r="21" spans="1:14" ht="132" x14ac:dyDescent="0.3">
      <c r="A21" s="1" t="s">
        <v>51</v>
      </c>
      <c r="B21" s="1" t="str">
        <f>HYPERLINK("https://www.oursportscentral.com/services/releases/hawkins-tallies-two-in-dominant-win-in-indy/n-6176498")</f>
        <v>https://www.oursportscentral.com/services/releases/hawkins-tallies-two-in-dominant-win-in-indy/n-6176498</v>
      </c>
      <c r="C21" s="1"/>
      <c r="D21" s="1" t="s">
        <v>2</v>
      </c>
      <c r="E21" s="2">
        <v>45654.599305555559</v>
      </c>
      <c r="F21" s="1" t="s">
        <v>52</v>
      </c>
      <c r="G21" s="1">
        <f t="shared" si="0"/>
        <v>353.51749999999998</v>
      </c>
      <c r="H21" s="1">
        <v>40402</v>
      </c>
      <c r="I21" s="1">
        <v>0</v>
      </c>
      <c r="J21" s="1">
        <v>0</v>
      </c>
      <c r="K21" s="1">
        <v>0</v>
      </c>
      <c r="L21" s="1" t="s">
        <v>3</v>
      </c>
      <c r="M21" s="1"/>
      <c r="N21" t="s">
        <v>257</v>
      </c>
    </row>
    <row r="22" spans="1:14" ht="105.6" x14ac:dyDescent="0.3">
      <c r="A22" s="1" t="s">
        <v>53</v>
      </c>
      <c r="B22" s="1" t="str">
        <f>HYPERLINK("https://www.larryinfishers.com/2024/12/28/komets-rally-past-fuel-in-third-straight-matchup-win-4-2/")</f>
        <v>https://www.larryinfishers.com/2024/12/28/komets-rally-past-fuel-in-third-straight-matchup-win-4-2/</v>
      </c>
      <c r="C22" s="1"/>
      <c r="D22" s="1" t="s">
        <v>22</v>
      </c>
      <c r="E22" s="2">
        <v>45654.370034722233</v>
      </c>
      <c r="F22" s="1" t="s">
        <v>54</v>
      </c>
      <c r="G22" s="1">
        <f t="shared" si="0"/>
        <v>30.703749999999999</v>
      </c>
      <c r="H22" s="1">
        <v>3509</v>
      </c>
      <c r="I22" s="1">
        <v>0</v>
      </c>
      <c r="J22" s="1">
        <v>0</v>
      </c>
      <c r="K22" s="1">
        <v>17</v>
      </c>
      <c r="L22" s="1" t="s">
        <v>6</v>
      </c>
      <c r="M22" s="1"/>
      <c r="N22" t="s">
        <v>258</v>
      </c>
    </row>
    <row r="23" spans="1:14" ht="118.8" x14ac:dyDescent="0.3">
      <c r="A23" s="1" t="s">
        <v>13</v>
      </c>
      <c r="B23" s="1" t="str">
        <f>HYPERLINK("https://www.heraldbulletin.com/sports/coming-up/article_9b34ba2e-c49b-11ef-8b5b-93f90f6b0907.html")</f>
        <v>https://www.heraldbulletin.com/sports/coming-up/article_9b34ba2e-c49b-11ef-8b5b-93f90f6b0907.html</v>
      </c>
      <c r="C23" s="1"/>
      <c r="D23" s="1" t="s">
        <v>14</v>
      </c>
      <c r="E23" s="2">
        <v>45654.29550925926</v>
      </c>
      <c r="F23" s="1" t="s">
        <v>55</v>
      </c>
      <c r="G23" s="1">
        <f t="shared" si="0"/>
        <v>439.77499999999998</v>
      </c>
      <c r="H23" s="1">
        <v>50260</v>
      </c>
      <c r="I23" s="1">
        <v>0</v>
      </c>
      <c r="J23" s="1">
        <v>0</v>
      </c>
      <c r="K23" s="1">
        <v>1</v>
      </c>
      <c r="L23" s="1" t="s">
        <v>3</v>
      </c>
      <c r="M23" s="1"/>
      <c r="N23" t="s">
        <v>258</v>
      </c>
    </row>
    <row r="24" spans="1:14" ht="52.8" x14ac:dyDescent="0.3">
      <c r="A24" s="1" t="s">
        <v>58</v>
      </c>
      <c r="B24" s="1" t="str">
        <f>HYPERLINK("https://www.therinklive.com/sports/pro/fort-wayne-komets-victorious-against-indy-fuel-20241228022141")</f>
        <v>https://www.therinklive.com/sports/pro/fort-wayne-komets-victorious-against-indy-fuel-20241228022141</v>
      </c>
      <c r="C24" s="1"/>
      <c r="D24" s="1" t="s">
        <v>39</v>
      </c>
      <c r="E24" s="2">
        <v>45654.098402777781</v>
      </c>
      <c r="F24" s="1" t="s">
        <v>59</v>
      </c>
      <c r="G24" s="1">
        <f t="shared" si="0"/>
        <v>146.47499999999999</v>
      </c>
      <c r="H24" s="1">
        <v>16740</v>
      </c>
      <c r="I24" s="1">
        <v>0</v>
      </c>
      <c r="J24" s="1">
        <v>0</v>
      </c>
      <c r="K24" s="1">
        <v>0</v>
      </c>
      <c r="L24" s="1" t="s">
        <v>6</v>
      </c>
      <c r="M24" s="1"/>
      <c r="N24" t="s">
        <v>257</v>
      </c>
    </row>
    <row r="25" spans="1:14" ht="105.6" x14ac:dyDescent="0.3">
      <c r="A25" s="1" t="s">
        <v>60</v>
      </c>
      <c r="B25" s="1" t="str">
        <f>HYPERLINK("https://www.oursportscentral.com/services/releases/fuel-sell-out-friday-night-fall-to-komets/n-6176157")</f>
        <v>https://www.oursportscentral.com/services/releases/fuel-sell-out-friday-night-fall-to-komets/n-6176157</v>
      </c>
      <c r="C25" s="1"/>
      <c r="D25" s="1" t="s">
        <v>2</v>
      </c>
      <c r="E25" s="2">
        <v>45653.588888888888</v>
      </c>
      <c r="F25" s="1" t="s">
        <v>61</v>
      </c>
      <c r="G25" s="1">
        <f t="shared" si="0"/>
        <v>353.51749999999998</v>
      </c>
      <c r="H25" s="1">
        <v>40402</v>
      </c>
      <c r="I25" s="1">
        <v>0</v>
      </c>
      <c r="J25" s="1">
        <v>0</v>
      </c>
      <c r="K25" s="1">
        <v>0</v>
      </c>
      <c r="L25" s="1" t="s">
        <v>6</v>
      </c>
      <c r="M25" s="1"/>
      <c r="N25" t="s">
        <v>257</v>
      </c>
    </row>
    <row r="26" spans="1:14" ht="224.4" x14ac:dyDescent="0.3">
      <c r="A26" s="1" t="s">
        <v>13</v>
      </c>
      <c r="B26" s="1" t="str">
        <f>HYPERLINK("https://www.heraldbulletin.com/sports/coming-up/article_f368233a-c39b-11ef-8aa6-fb5856fea145.html")</f>
        <v>https://www.heraldbulletin.com/sports/coming-up/article_f368233a-c39b-11ef-8aa6-fb5856fea145.html</v>
      </c>
      <c r="C26" s="1"/>
      <c r="D26" s="1" t="s">
        <v>14</v>
      </c>
      <c r="E26" s="2">
        <v>45653.302395833343</v>
      </c>
      <c r="F26" s="1" t="s">
        <v>62</v>
      </c>
      <c r="G26" s="1">
        <f t="shared" si="0"/>
        <v>439.77499999999998</v>
      </c>
      <c r="H26" s="1">
        <v>50260</v>
      </c>
      <c r="I26" s="1">
        <v>0</v>
      </c>
      <c r="J26" s="1">
        <v>0</v>
      </c>
      <c r="K26" s="1">
        <v>17</v>
      </c>
      <c r="L26" s="1" t="s">
        <v>3</v>
      </c>
      <c r="M26" s="1"/>
      <c r="N26" t="s">
        <v>258</v>
      </c>
    </row>
    <row r="27" spans="1:14" ht="198" x14ac:dyDescent="0.3">
      <c r="A27" s="1" t="s">
        <v>63</v>
      </c>
      <c r="B27" s="1" t="str">
        <f>HYPERLINK("https://www.heraldbulletin.com/community/entertainment/your-weekend-dec-27/article_36d2265c-c3a6-11ef-ae68-1794a1cb3f93.html")</f>
        <v>https://www.heraldbulletin.com/community/entertainment/your-weekend-dec-27/article_36d2265c-c3a6-11ef-ae68-1794a1cb3f93.html</v>
      </c>
      <c r="C27" s="1"/>
      <c r="D27" s="1" t="s">
        <v>14</v>
      </c>
      <c r="E27" s="2">
        <v>45653.297025462962</v>
      </c>
      <c r="F27" s="1" t="s">
        <v>64</v>
      </c>
      <c r="G27" s="1">
        <f t="shared" si="0"/>
        <v>439.77499999999998</v>
      </c>
      <c r="H27" s="1">
        <v>50260</v>
      </c>
      <c r="I27" s="1">
        <v>0</v>
      </c>
      <c r="J27" s="1">
        <v>0</v>
      </c>
      <c r="K27" s="1">
        <v>0</v>
      </c>
      <c r="L27" s="1" t="s">
        <v>3</v>
      </c>
      <c r="M27" s="1"/>
      <c r="N27" t="s">
        <v>258</v>
      </c>
    </row>
    <row r="28" spans="1:14" ht="105.6" x14ac:dyDescent="0.3">
      <c r="A28" s="1" t="s">
        <v>65</v>
      </c>
      <c r="B28" s="1" t="str">
        <f>HYPERLINK("https://www.journalgazette.net/living/local-arts/calendar/out-about-a-calendar-of-events-in-the-fort-wayne-area/article_1fbdd1d0-c20e-11ef-894b-47a7b646138a.html")</f>
        <v>https://www.journalgazette.net/living/local-arts/calendar/out-about-a-calendar-of-events-in-the-fort-wayne-area/article_1fbdd1d0-c20e-11ef-894b-47a7b646138a.html</v>
      </c>
      <c r="C28" s="1"/>
      <c r="D28" s="1" t="s">
        <v>0</v>
      </c>
      <c r="E28" s="2">
        <v>45652.983981481477</v>
      </c>
      <c r="F28" s="1" t="s">
        <v>66</v>
      </c>
      <c r="G28" s="1">
        <f t="shared" si="0"/>
        <v>426.58</v>
      </c>
      <c r="H28" s="1">
        <v>48752</v>
      </c>
      <c r="I28" s="1">
        <v>0</v>
      </c>
      <c r="J28" s="1">
        <v>0</v>
      </c>
      <c r="K28" s="1">
        <v>0</v>
      </c>
      <c r="L28" s="1" t="s">
        <v>1</v>
      </c>
      <c r="M28" s="1"/>
      <c r="N28" t="s">
        <v>258</v>
      </c>
    </row>
    <row r="29" spans="1:14" ht="158.4" x14ac:dyDescent="0.3">
      <c r="A29" s="1" t="s">
        <v>68</v>
      </c>
      <c r="B29" s="1" t="str">
        <f>HYPERLINK("https://www.flohockey.tv/events/12620208-2024-fort-wayne-komets-vs-indy-fuel")</f>
        <v>https://www.flohockey.tv/events/12620208-2024-fort-wayne-komets-vs-indy-fuel</v>
      </c>
      <c r="C29" s="1"/>
      <c r="D29" s="1" t="s">
        <v>17</v>
      </c>
      <c r="E29" s="2">
        <v>45652.791666666657</v>
      </c>
      <c r="F29" s="1" t="s">
        <v>69</v>
      </c>
      <c r="G29" s="1">
        <f t="shared" si="0"/>
        <v>2807.7787499999999</v>
      </c>
      <c r="H29" s="1">
        <v>320889</v>
      </c>
      <c r="I29" s="1">
        <v>0</v>
      </c>
      <c r="J29" s="1">
        <v>0</v>
      </c>
      <c r="K29" s="1">
        <v>0</v>
      </c>
      <c r="L29" s="1" t="s">
        <v>6</v>
      </c>
      <c r="M29" s="1"/>
      <c r="N29" t="s">
        <v>259</v>
      </c>
    </row>
    <row r="30" spans="1:14" ht="79.2" x14ac:dyDescent="0.3">
      <c r="A30" s="1" t="s">
        <v>70</v>
      </c>
      <c r="B30" s="1" t="str">
        <f>HYPERLINK("https://bvmsports.com/2024/12/26/cam-hausinger-named-alaska-athlete-of-the-week-after-four-point-hockey-game-for-indy-fuel/")</f>
        <v>https://bvmsports.com/2024/12/26/cam-hausinger-named-alaska-athlete-of-the-week-after-four-point-hockey-game-for-indy-fuel/</v>
      </c>
      <c r="C30" s="1"/>
      <c r="D30" s="1" t="s">
        <v>67</v>
      </c>
      <c r="E30" s="2">
        <v>45652.707048611112</v>
      </c>
      <c r="F30" s="1" t="s">
        <v>71</v>
      </c>
      <c r="G30" s="1">
        <f t="shared" si="0"/>
        <v>18835.477500000001</v>
      </c>
      <c r="H30" s="1">
        <v>2152626</v>
      </c>
      <c r="I30" s="1">
        <v>0</v>
      </c>
      <c r="J30" s="1">
        <v>0</v>
      </c>
      <c r="K30" s="1">
        <v>0</v>
      </c>
      <c r="L30" s="1" t="s">
        <v>1</v>
      </c>
      <c r="M30" s="1"/>
      <c r="N30" t="s">
        <v>257</v>
      </c>
    </row>
    <row r="31" spans="1:14" ht="198" x14ac:dyDescent="0.3">
      <c r="A31" s="1" t="s">
        <v>13</v>
      </c>
      <c r="B31" s="1" t="str">
        <f>HYPERLINK("https://www.heraldbulletin.com/sports/coming-up/article_7a7e512c-c316-11ef-8f43-ff83c957021a.html")</f>
        <v>https://www.heraldbulletin.com/sports/coming-up/article_7a7e512c-c316-11ef-8f43-ff83c957021a.html</v>
      </c>
      <c r="C31" s="1"/>
      <c r="D31" s="1" t="s">
        <v>14</v>
      </c>
      <c r="E31" s="2">
        <v>45652.310717592591</v>
      </c>
      <c r="F31" s="1" t="s">
        <v>72</v>
      </c>
      <c r="G31" s="1">
        <f t="shared" si="0"/>
        <v>439.77499999999998</v>
      </c>
      <c r="H31" s="1">
        <v>50260</v>
      </c>
      <c r="I31" s="1">
        <v>0</v>
      </c>
      <c r="J31" s="1">
        <v>0</v>
      </c>
      <c r="K31" s="1">
        <v>3</v>
      </c>
      <c r="L31" s="1" t="s">
        <v>3</v>
      </c>
      <c r="M31" s="1"/>
      <c r="N31" t="s">
        <v>258</v>
      </c>
    </row>
    <row r="32" spans="1:14" ht="198" x14ac:dyDescent="0.3">
      <c r="A32" s="1" t="s">
        <v>13</v>
      </c>
      <c r="B32" s="1" t="str">
        <f>HYPERLINK("https://www.heraldbulletin.com/sports/coming-up/article_9614a3ac-c23d-11ef-83b3-d3ce0afbed51.html")</f>
        <v>https://www.heraldbulletin.com/sports/coming-up/article_9614a3ac-c23d-11ef-83b3-d3ce0afbed51.html</v>
      </c>
      <c r="C32" s="1"/>
      <c r="D32" s="1" t="s">
        <v>14</v>
      </c>
      <c r="E32" s="2">
        <v>45651.310219907413</v>
      </c>
      <c r="F32" s="1" t="s">
        <v>72</v>
      </c>
      <c r="G32" s="1">
        <f t="shared" si="0"/>
        <v>439.77499999999998</v>
      </c>
      <c r="H32" s="1">
        <v>50260</v>
      </c>
      <c r="I32" s="1">
        <v>0</v>
      </c>
      <c r="J32" s="1">
        <v>0</v>
      </c>
      <c r="K32" s="1">
        <v>3</v>
      </c>
      <c r="L32" s="1" t="s">
        <v>3</v>
      </c>
      <c r="M32" s="1"/>
      <c r="N32" t="s">
        <v>258</v>
      </c>
    </row>
    <row r="33" spans="1:14" ht="92.4" x14ac:dyDescent="0.3">
      <c r="A33" s="1" t="s">
        <v>73</v>
      </c>
      <c r="B33" s="1" t="str">
        <f>HYPERLINK("https://komets.com/news/2024/12/komets-split-weekend-with-fuel")</f>
        <v>https://komets.com/news/2024/12/komets-split-weekend-with-fuel</v>
      </c>
      <c r="C33" s="1"/>
      <c r="D33" s="1" t="s">
        <v>19</v>
      </c>
      <c r="E33" s="2">
        <v>45649.410104166673</v>
      </c>
      <c r="F33" s="1" t="s">
        <v>74</v>
      </c>
      <c r="G33" s="1">
        <f t="shared" si="0"/>
        <v>0</v>
      </c>
      <c r="H33" s="1"/>
      <c r="I33" s="1">
        <v>0</v>
      </c>
      <c r="J33" s="1">
        <v>0</v>
      </c>
      <c r="K33" s="1">
        <v>71</v>
      </c>
      <c r="L33" s="1" t="s">
        <v>1</v>
      </c>
      <c r="M33" s="1"/>
      <c r="N33" t="s">
        <v>259</v>
      </c>
    </row>
    <row r="34" spans="1:14" ht="171.6" x14ac:dyDescent="0.3">
      <c r="A34" s="1" t="s">
        <v>75</v>
      </c>
      <c r="B34" s="1" t="str">
        <f>HYPERLINK("https://www.oursportscentral.com/services/releases/komets-split-weekend-with-fuel/n-6175663")</f>
        <v>https://www.oursportscentral.com/services/releases/komets-split-weekend-with-fuel/n-6175663</v>
      </c>
      <c r="C34" s="1"/>
      <c r="D34" s="1" t="s">
        <v>2</v>
      </c>
      <c r="E34" s="2">
        <v>45649.29791666667</v>
      </c>
      <c r="F34" s="1" t="s">
        <v>76</v>
      </c>
      <c r="G34" s="1">
        <f t="shared" si="0"/>
        <v>353.51749999999998</v>
      </c>
      <c r="H34" s="1">
        <v>40402</v>
      </c>
      <c r="I34" s="1">
        <v>0</v>
      </c>
      <c r="J34" s="1">
        <v>0</v>
      </c>
      <c r="K34" s="1">
        <v>0</v>
      </c>
      <c r="L34" s="1" t="s">
        <v>1</v>
      </c>
      <c r="M34" s="1"/>
      <c r="N34" t="s">
        <v>257</v>
      </c>
    </row>
    <row r="35" spans="1:14" ht="118.8" x14ac:dyDescent="0.3">
      <c r="A35" s="1" t="s">
        <v>77</v>
      </c>
      <c r="B35" s="1" t="str">
        <f>HYPERLINK("https://www.journalgazette.net/sports/professional/komets/analysis-komets-dtv-line-flourishing-rivalry-with-fuel-intensifying-changes-to-roster-made/article_0bca59e6-bff7-11ef-aded-171f1322195c.html")</f>
        <v>https://www.journalgazette.net/sports/professional/komets/analysis-komets-dtv-line-flourishing-rivalry-with-fuel-intensifying-changes-to-roster-made/article_0bca59e6-bff7-11ef-aded-171f1322195c.html</v>
      </c>
      <c r="C35" s="1"/>
      <c r="D35" s="1" t="s">
        <v>0</v>
      </c>
      <c r="E35" s="2">
        <v>45648.876307870371</v>
      </c>
      <c r="F35" s="1" t="s">
        <v>78</v>
      </c>
      <c r="G35" s="1">
        <f t="shared" si="0"/>
        <v>426.58</v>
      </c>
      <c r="H35" s="1">
        <v>48752</v>
      </c>
      <c r="I35" s="1">
        <v>1</v>
      </c>
      <c r="J35" s="1">
        <v>5626</v>
      </c>
      <c r="K35" s="1">
        <v>5</v>
      </c>
      <c r="L35" s="1" t="s">
        <v>3</v>
      </c>
      <c r="M35" s="1"/>
      <c r="N35" t="s">
        <v>258</v>
      </c>
    </row>
    <row r="36" spans="1:14" ht="118.8" x14ac:dyDescent="0.3">
      <c r="A36" s="1" t="s">
        <v>79</v>
      </c>
      <c r="B36" s="1" t="str">
        <f>HYPERLINK("https://www.keepingupincarmel.com/post/the-in-list-2024-12-23-12-29")</f>
        <v>https://www.keepingupincarmel.com/post/the-in-list-2024-12-23-12-29</v>
      </c>
      <c r="C36" s="1" t="s">
        <v>33</v>
      </c>
      <c r="D36" s="1" t="s">
        <v>34</v>
      </c>
      <c r="E36" s="2">
        <v>45648.661504629628</v>
      </c>
      <c r="F36" s="1" t="s">
        <v>80</v>
      </c>
      <c r="G36" s="1">
        <f t="shared" si="0"/>
        <v>6.0025000000000004</v>
      </c>
      <c r="H36" s="1">
        <v>686</v>
      </c>
      <c r="I36" s="1">
        <v>0</v>
      </c>
      <c r="J36" s="1">
        <v>0</v>
      </c>
      <c r="K36" s="1">
        <v>0</v>
      </c>
      <c r="L36" s="1" t="s">
        <v>1</v>
      </c>
      <c r="M36" s="1"/>
      <c r="N36" t="s">
        <v>258</v>
      </c>
    </row>
    <row r="37" spans="1:14" ht="382.8" x14ac:dyDescent="0.3">
      <c r="A37" s="1" t="s">
        <v>81</v>
      </c>
      <c r="B37" s="1" t="str">
        <f>HYPERLINK("https://www.therinklive.com/sports/pro/indy-fuel-win-5-2-at-home-against-fort-wayne-komets-20241222003641")</f>
        <v>https://www.therinklive.com/sports/pro/indy-fuel-win-5-2-at-home-against-fort-wayne-komets-20241222003641</v>
      </c>
      <c r="C37" s="1"/>
      <c r="D37" s="1" t="s">
        <v>39</v>
      </c>
      <c r="E37" s="2">
        <v>45648.02548611111</v>
      </c>
      <c r="F37" s="1" t="s">
        <v>82</v>
      </c>
      <c r="G37" s="1">
        <f t="shared" si="0"/>
        <v>146.47499999999999</v>
      </c>
      <c r="H37" s="1">
        <v>16740</v>
      </c>
      <c r="I37" s="1">
        <v>0</v>
      </c>
      <c r="J37" s="1">
        <v>0</v>
      </c>
      <c r="K37" s="1">
        <v>0</v>
      </c>
      <c r="L37" s="1" t="s">
        <v>3</v>
      </c>
      <c r="M37" s="1"/>
      <c r="N37" t="s">
        <v>257</v>
      </c>
    </row>
    <row r="38" spans="1:14" ht="145.19999999999999" x14ac:dyDescent="0.3">
      <c r="A38" s="1" t="s">
        <v>83</v>
      </c>
      <c r="B38" s="1" t="str">
        <f>HYPERLINK("https://www.journalgazette.net/sports/professional/komets/komets-start-with-bang-as-turcotte-fights-indys-cameron-but-lose-1st-trip-to-fishers/article_0252abc0-c001-11ef-9a98-73b5346da8ea.html")</f>
        <v>https://www.journalgazette.net/sports/professional/komets/komets-start-with-bang-as-turcotte-fights-indys-cameron-but-lose-1st-trip-to-fishers/article_0252abc0-c001-11ef-9a98-73b5346da8ea.html</v>
      </c>
      <c r="C38" s="1"/>
      <c r="D38" s="1" t="s">
        <v>0</v>
      </c>
      <c r="E38" s="2">
        <v>45647.949826388889</v>
      </c>
      <c r="F38" s="1" t="s">
        <v>84</v>
      </c>
      <c r="G38" s="1">
        <f t="shared" si="0"/>
        <v>426.58</v>
      </c>
      <c r="H38" s="1">
        <v>48752</v>
      </c>
      <c r="I38" s="1">
        <v>2</v>
      </c>
      <c r="J38" s="1">
        <v>6395</v>
      </c>
      <c r="K38" s="1">
        <v>15</v>
      </c>
      <c r="L38" s="1" t="s">
        <v>6</v>
      </c>
      <c r="M38" s="1"/>
      <c r="N38" t="s">
        <v>258</v>
      </c>
    </row>
    <row r="39" spans="1:14" ht="145.19999999999999" x14ac:dyDescent="0.3">
      <c r="A39" s="1" t="s">
        <v>85</v>
      </c>
      <c r="B39" s="1" t="str">
        <f>HYPERLINK("https://www.larryinfishers.com/2024/12/21/fuel-win-5-2-over-fort-wayne-hat-trick-for-hausinger/")</f>
        <v>https://www.larryinfishers.com/2024/12/21/fuel-win-5-2-over-fort-wayne-hat-trick-for-hausinger/</v>
      </c>
      <c r="C39" s="1"/>
      <c r="D39" s="1" t="s">
        <v>22</v>
      </c>
      <c r="E39" s="2">
        <v>45647.919270833343</v>
      </c>
      <c r="F39" s="1" t="s">
        <v>86</v>
      </c>
      <c r="G39" s="1">
        <f t="shared" si="0"/>
        <v>30.703749999999999</v>
      </c>
      <c r="H39" s="1">
        <v>3509</v>
      </c>
      <c r="I39" s="1">
        <v>0</v>
      </c>
      <c r="J39" s="1">
        <v>0</v>
      </c>
      <c r="K39" s="1">
        <v>1</v>
      </c>
      <c r="L39" s="1" t="s">
        <v>3</v>
      </c>
      <c r="M39" s="1"/>
      <c r="N39" t="s">
        <v>258</v>
      </c>
    </row>
    <row r="40" spans="1:14" ht="118.8" x14ac:dyDescent="0.3">
      <c r="A40" s="1" t="s">
        <v>87</v>
      </c>
      <c r="B40" s="1" t="str">
        <f>HYPERLINK("https://www.journalgazette.net/multimedia/video-yanick-turcotte-christopher-cameron-start-game-with-fight-komets-lose-5-2-to-fuel/video_cfb0ea88-c00f-11ef-9749-b74f02592e65.html")</f>
        <v>https://www.journalgazette.net/multimedia/video-yanick-turcotte-christopher-cameron-start-game-with-fight-komets-lose-5-2-to-fuel/video_cfb0ea88-c00f-11ef-9749-b74f02592e65.html</v>
      </c>
      <c r="C40" s="1"/>
      <c r="D40" s="1" t="s">
        <v>0</v>
      </c>
      <c r="E40" s="2">
        <v>45647.791666666657</v>
      </c>
      <c r="F40" s="1" t="s">
        <v>88</v>
      </c>
      <c r="G40" s="1">
        <f t="shared" si="0"/>
        <v>426.58</v>
      </c>
      <c r="H40" s="1">
        <v>48752</v>
      </c>
      <c r="I40" s="1">
        <v>0</v>
      </c>
      <c r="J40" s="1">
        <v>0</v>
      </c>
      <c r="K40" s="1">
        <v>0</v>
      </c>
      <c r="L40" s="1" t="s">
        <v>6</v>
      </c>
      <c r="M40" s="1"/>
      <c r="N40" t="s">
        <v>258</v>
      </c>
    </row>
    <row r="41" spans="1:14" ht="105.6" x14ac:dyDescent="0.3">
      <c r="A41" s="1" t="s">
        <v>89</v>
      </c>
      <c r="B41" s="1" t="str">
        <f>HYPERLINK("https://www.wane.com/sports/komets/hausingers-hat-trick-dooms-komets-in-loss-to-fuel/")</f>
        <v>https://www.wane.com/sports/komets/hausingers-hat-trick-dooms-komets-in-loss-to-fuel/</v>
      </c>
      <c r="C41" s="1"/>
      <c r="D41" s="1" t="s">
        <v>20</v>
      </c>
      <c r="E41" s="2">
        <v>45647.694155092591</v>
      </c>
      <c r="F41" s="1" t="s">
        <v>90</v>
      </c>
      <c r="G41" s="1">
        <f t="shared" si="0"/>
        <v>4658.1062499999998</v>
      </c>
      <c r="H41" s="1">
        <v>532355</v>
      </c>
      <c r="I41" s="1">
        <v>0</v>
      </c>
      <c r="J41" s="1">
        <v>0</v>
      </c>
      <c r="K41" s="1">
        <v>1</v>
      </c>
      <c r="L41" s="1" t="s">
        <v>6</v>
      </c>
      <c r="M41" s="1"/>
      <c r="N41" t="s">
        <v>258</v>
      </c>
    </row>
    <row r="42" spans="1:14" ht="132" x14ac:dyDescent="0.3">
      <c r="A42" s="1" t="s">
        <v>91</v>
      </c>
      <c r="B42" s="1" t="str">
        <f>HYPERLINK("https://www.oursportscentral.com/services/releases/fuel-defeat-komets-with-hausinger-hatty/n-6175358")</f>
        <v>https://www.oursportscentral.com/services/releases/fuel-defeat-komets-with-hausinger-hatty/n-6175358</v>
      </c>
      <c r="C42" s="1"/>
      <c r="D42" s="1" t="s">
        <v>2</v>
      </c>
      <c r="E42" s="2">
        <v>45647.59097222222</v>
      </c>
      <c r="F42" s="1" t="s">
        <v>92</v>
      </c>
      <c r="G42" s="1">
        <f t="shared" si="0"/>
        <v>353.51749999999998</v>
      </c>
      <c r="H42" s="1">
        <v>40402</v>
      </c>
      <c r="I42" s="1">
        <v>0</v>
      </c>
      <c r="J42" s="1">
        <v>0</v>
      </c>
      <c r="K42" s="1">
        <v>0</v>
      </c>
      <c r="L42" s="1" t="s">
        <v>6</v>
      </c>
      <c r="M42" s="1"/>
      <c r="N42" t="s">
        <v>257</v>
      </c>
    </row>
    <row r="43" spans="1:14" ht="224.4" x14ac:dyDescent="0.3">
      <c r="A43" s="1" t="s">
        <v>13</v>
      </c>
      <c r="B43" s="1" t="str">
        <f>HYPERLINK("https://www.heraldbulletin.com/sports/coming-up/article_0008550c-bf13-11ef-80db-fbacd2aac758.html")</f>
        <v>https://www.heraldbulletin.com/sports/coming-up/article_0008550c-bf13-11ef-80db-fbacd2aac758.html</v>
      </c>
      <c r="C43" s="1"/>
      <c r="D43" s="1" t="s">
        <v>14</v>
      </c>
      <c r="E43" s="2">
        <v>45647.312349537038</v>
      </c>
      <c r="F43" s="1" t="s">
        <v>93</v>
      </c>
      <c r="G43" s="1">
        <f t="shared" si="0"/>
        <v>439.77499999999998</v>
      </c>
      <c r="H43" s="1">
        <v>50260</v>
      </c>
      <c r="I43" s="1">
        <v>0</v>
      </c>
      <c r="J43" s="1">
        <v>0</v>
      </c>
      <c r="K43" s="1">
        <v>0</v>
      </c>
      <c r="L43" s="1" t="s">
        <v>3</v>
      </c>
      <c r="M43" s="1"/>
      <c r="N43" t="s">
        <v>258</v>
      </c>
    </row>
    <row r="44" spans="1:14" ht="118.8" x14ac:dyDescent="0.3">
      <c r="A44" s="1" t="s">
        <v>94</v>
      </c>
      <c r="B44" s="1" t="str">
        <f>HYPERLINK("https://www.therinklive.com/sports/pro/indy-fuel-couldnt-stop-hard-to-beat-fort-wayne-komets-from-winning-20241221004341")</f>
        <v>https://www.therinklive.com/sports/pro/indy-fuel-couldnt-stop-hard-to-beat-fort-wayne-komets-from-winning-20241221004341</v>
      </c>
      <c r="C44" s="1"/>
      <c r="D44" s="1" t="s">
        <v>39</v>
      </c>
      <c r="E44" s="2">
        <v>45647.030358796299</v>
      </c>
      <c r="F44" s="1" t="s">
        <v>95</v>
      </c>
      <c r="G44" s="1">
        <f t="shared" si="0"/>
        <v>146.47499999999999</v>
      </c>
      <c r="H44" s="1">
        <v>16740</v>
      </c>
      <c r="I44" s="1">
        <v>0</v>
      </c>
      <c r="J44" s="1">
        <v>0</v>
      </c>
      <c r="K44" s="1">
        <v>0</v>
      </c>
      <c r="L44" s="1" t="s">
        <v>3</v>
      </c>
      <c r="M44" s="1"/>
      <c r="N44" t="s">
        <v>257</v>
      </c>
    </row>
    <row r="45" spans="1:14" ht="158.4" x14ac:dyDescent="0.3">
      <c r="A45" s="1" t="s">
        <v>96</v>
      </c>
      <c r="B45" s="1" t="str">
        <f>HYPERLINK("https://www.larryinfishers.com/2024/12/21/fuel-fall-to-komets-in-first-matchup-of-the-season/")</f>
        <v>https://www.larryinfishers.com/2024/12/21/fuel-fall-to-komets-in-first-matchup-of-the-season/</v>
      </c>
      <c r="C45" s="1"/>
      <c r="D45" s="1" t="s">
        <v>22</v>
      </c>
      <c r="E45" s="2">
        <v>45647.008657407408</v>
      </c>
      <c r="F45" s="1" t="s">
        <v>97</v>
      </c>
      <c r="G45" s="1">
        <f t="shared" si="0"/>
        <v>30.703749999999999</v>
      </c>
      <c r="H45" s="1">
        <v>3509</v>
      </c>
      <c r="I45" s="1">
        <v>0</v>
      </c>
      <c r="J45" s="1">
        <v>0</v>
      </c>
      <c r="K45" s="1">
        <v>21</v>
      </c>
      <c r="L45" s="1" t="s">
        <v>6</v>
      </c>
      <c r="M45" s="1"/>
      <c r="N45" t="s">
        <v>258</v>
      </c>
    </row>
    <row r="46" spans="1:14" ht="237.6" x14ac:dyDescent="0.3">
      <c r="A46" s="1" t="s">
        <v>98</v>
      </c>
      <c r="B46" s="1" t="str">
        <f>HYPERLINK("https://www.journalgazette.net/sports/professional/komets/strong-at-both-ends-komets-solve-fuel-for-victory/article_4b81cd34-bf30-11ef-906d-bb8c05201438.html")</f>
        <v>https://www.journalgazette.net/sports/professional/komets/strong-at-both-ends-komets-solve-fuel-for-victory/article_4b81cd34-bf30-11ef-906d-bb8c05201438.html</v>
      </c>
      <c r="C46" s="1"/>
      <c r="D46" s="1" t="s">
        <v>0</v>
      </c>
      <c r="E46" s="2">
        <v>45646.969722222217</v>
      </c>
      <c r="F46" s="1" t="s">
        <v>99</v>
      </c>
      <c r="G46" s="1">
        <f t="shared" si="0"/>
        <v>426.58</v>
      </c>
      <c r="H46" s="1">
        <v>48752</v>
      </c>
      <c r="I46" s="1">
        <v>2</v>
      </c>
      <c r="J46" s="1">
        <v>6395</v>
      </c>
      <c r="K46" s="1">
        <v>25</v>
      </c>
      <c r="L46" s="1" t="s">
        <v>3</v>
      </c>
      <c r="M46" s="1"/>
      <c r="N46" t="s">
        <v>258</v>
      </c>
    </row>
    <row r="47" spans="1:14" ht="92.4" x14ac:dyDescent="0.3">
      <c r="A47" s="1" t="s">
        <v>100</v>
      </c>
      <c r="B47" s="1" t="str">
        <f>HYPERLINK("https://www.journalgazette.net/multimedia/video-brett-brochu-gets-shutout-as-komets-solve-indy/video_2ddb3b28-bf51-11ef-9c03-a7a3283aaaef.html")</f>
        <v>https://www.journalgazette.net/multimedia/video-brett-brochu-gets-shutout-as-komets-solve-indy/video_2ddb3b28-bf51-11ef-9c03-a7a3283aaaef.html</v>
      </c>
      <c r="C47" s="1"/>
      <c r="D47" s="1" t="s">
        <v>0</v>
      </c>
      <c r="E47" s="2">
        <v>45646.791666666657</v>
      </c>
      <c r="F47" s="1" t="s">
        <v>101</v>
      </c>
      <c r="G47" s="1">
        <f t="shared" si="0"/>
        <v>426.58</v>
      </c>
      <c r="H47" s="1">
        <v>48752</v>
      </c>
      <c r="I47" s="1">
        <v>0</v>
      </c>
      <c r="J47" s="1">
        <v>0</v>
      </c>
      <c r="K47" s="1">
        <v>0</v>
      </c>
      <c r="L47" s="1" t="s">
        <v>1</v>
      </c>
      <c r="M47" s="1"/>
      <c r="N47" t="s">
        <v>258</v>
      </c>
    </row>
    <row r="48" spans="1:14" ht="132" x14ac:dyDescent="0.3">
      <c r="A48" s="1" t="s">
        <v>102</v>
      </c>
      <c r="B48" s="1" t="str">
        <f>HYPERLINK("https://www.wane.com/sports/komets/komets-blank-fuel-win-fourth-in-a-row/")</f>
        <v>https://www.wane.com/sports/komets/komets-blank-fuel-win-fourth-in-a-row/</v>
      </c>
      <c r="C48" s="1"/>
      <c r="D48" s="1" t="s">
        <v>20</v>
      </c>
      <c r="E48" s="2">
        <v>45646.780219907407</v>
      </c>
      <c r="F48" s="1" t="s">
        <v>103</v>
      </c>
      <c r="G48" s="1">
        <f t="shared" si="0"/>
        <v>4658.1062499999998</v>
      </c>
      <c r="H48" s="1">
        <v>532355</v>
      </c>
      <c r="I48" s="1">
        <v>0</v>
      </c>
      <c r="J48" s="1">
        <v>0</v>
      </c>
      <c r="K48" s="1">
        <v>54</v>
      </c>
      <c r="L48" s="1" t="s">
        <v>3</v>
      </c>
      <c r="M48" s="1"/>
      <c r="N48" t="s">
        <v>258</v>
      </c>
    </row>
    <row r="49" spans="1:14" ht="158.4" x14ac:dyDescent="0.3">
      <c r="A49" s="1" t="s">
        <v>104</v>
      </c>
      <c r="B49" s="1" t="str">
        <f>HYPERLINK("https://www.oursportscentral.com/services/releases/fuel-fall-3-0-in-first-battle-with-fort-wayne/n-6175166")</f>
        <v>https://www.oursportscentral.com/services/releases/fuel-fall-3-0-in-first-battle-with-fort-wayne/n-6175166</v>
      </c>
      <c r="C49" s="1"/>
      <c r="D49" s="1" t="s">
        <v>2</v>
      </c>
      <c r="E49" s="2">
        <v>45646.65</v>
      </c>
      <c r="F49" s="1" t="s">
        <v>105</v>
      </c>
      <c r="G49" s="1">
        <f t="shared" si="0"/>
        <v>353.51749999999998</v>
      </c>
      <c r="H49" s="1">
        <v>40402</v>
      </c>
      <c r="I49" s="1">
        <v>0</v>
      </c>
      <c r="J49" s="1">
        <v>0</v>
      </c>
      <c r="K49" s="1">
        <v>0</v>
      </c>
      <c r="L49" s="1" t="s">
        <v>6</v>
      </c>
      <c r="M49" s="1"/>
      <c r="N49" t="s">
        <v>257</v>
      </c>
    </row>
    <row r="50" spans="1:14" ht="132" x14ac:dyDescent="0.3">
      <c r="A50" s="1" t="s">
        <v>106</v>
      </c>
      <c r="B50" s="1" t="str">
        <f>HYPERLINK("https://www.wrtv.com/marketplace/spotlight/glow-night-with-the-indy-fuel")</f>
        <v>https://www.wrtv.com/marketplace/spotlight/glow-night-with-the-indy-fuel</v>
      </c>
      <c r="C50" s="1"/>
      <c r="D50" s="1" t="s">
        <v>107</v>
      </c>
      <c r="E50" s="2">
        <v>45646.641747685193</v>
      </c>
      <c r="F50" s="1" t="s">
        <v>108</v>
      </c>
      <c r="G50" s="1">
        <f t="shared" si="0"/>
        <v>2542.9775</v>
      </c>
      <c r="H50" s="1">
        <v>290626</v>
      </c>
      <c r="I50" s="1">
        <v>0</v>
      </c>
      <c r="J50" s="1">
        <v>0</v>
      </c>
      <c r="K50" s="1">
        <v>0</v>
      </c>
      <c r="L50" s="1" t="s">
        <v>6</v>
      </c>
      <c r="M50" s="1"/>
      <c r="N50" t="s">
        <v>258</v>
      </c>
    </row>
    <row r="51" spans="1:14" ht="264" x14ac:dyDescent="0.3">
      <c r="A51" s="1" t="s">
        <v>13</v>
      </c>
      <c r="B51" s="1" t="str">
        <f>HYPERLINK("https://www.heraldbulletin.com/sports/coming-up/article_9d86b4c8-be27-11ef-aebc-bb229eaf571e.html")</f>
        <v>https://www.heraldbulletin.com/sports/coming-up/article_9d86b4c8-be27-11ef-aebc-bb229eaf571e.html</v>
      </c>
      <c r="C51" s="1"/>
      <c r="D51" s="1" t="s">
        <v>14</v>
      </c>
      <c r="E51" s="2">
        <v>45646.31627314815</v>
      </c>
      <c r="F51" s="1" t="s">
        <v>109</v>
      </c>
      <c r="G51" s="1">
        <f t="shared" si="0"/>
        <v>439.77499999999998</v>
      </c>
      <c r="H51" s="1">
        <v>50260</v>
      </c>
      <c r="I51" s="1">
        <v>0</v>
      </c>
      <c r="J51" s="1">
        <v>0</v>
      </c>
      <c r="K51" s="1">
        <v>3</v>
      </c>
      <c r="L51" s="1" t="s">
        <v>3</v>
      </c>
      <c r="M51" s="1"/>
      <c r="N51" t="s">
        <v>258</v>
      </c>
    </row>
    <row r="52" spans="1:14" ht="184.8" x14ac:dyDescent="0.3">
      <c r="A52" s="1" t="s">
        <v>110</v>
      </c>
      <c r="B52" s="1" t="str">
        <f>HYPERLINK("https://www.oursportscentral.com/services/releases/icehogs-assign-ben-gaudreau-to-indy/n-6174868")</f>
        <v>https://www.oursportscentral.com/services/releases/icehogs-assign-ben-gaudreau-to-indy/n-6174868</v>
      </c>
      <c r="C52" s="1"/>
      <c r="D52" s="1" t="s">
        <v>2</v>
      </c>
      <c r="E52" s="2">
        <v>45646.091666666667</v>
      </c>
      <c r="F52" s="1" t="s">
        <v>111</v>
      </c>
      <c r="G52" s="1">
        <f t="shared" si="0"/>
        <v>353.51749999999998</v>
      </c>
      <c r="H52" s="1">
        <v>40402</v>
      </c>
      <c r="I52" s="1">
        <v>0</v>
      </c>
      <c r="J52" s="1">
        <v>0</v>
      </c>
      <c r="K52" s="1">
        <v>0</v>
      </c>
      <c r="L52" s="1" t="s">
        <v>6</v>
      </c>
      <c r="M52" s="1"/>
      <c r="N52" t="s">
        <v>257</v>
      </c>
    </row>
    <row r="53" spans="1:14" ht="171.6" x14ac:dyDescent="0.3">
      <c r="A53" s="1" t="s">
        <v>65</v>
      </c>
      <c r="B53" s="1" t="str">
        <f>HYPERLINK("https://www.journalgazette.net/living/local-arts/calendar/out-about-a-calendar-of-events-in-the-fort-wayne-area/article_495dae5c-bc96-11ef-8fb6-9fe4d71d06fd.html")</f>
        <v>https://www.journalgazette.net/living/local-arts/calendar/out-about-a-calendar-of-events-in-the-fort-wayne-area/article_495dae5c-bc96-11ef-8fb6-9fe4d71d06fd.html</v>
      </c>
      <c r="C53" s="1"/>
      <c r="D53" s="1" t="s">
        <v>0</v>
      </c>
      <c r="E53" s="2">
        <v>45646.021226851852</v>
      </c>
      <c r="F53" s="1" t="s">
        <v>112</v>
      </c>
      <c r="G53" s="1">
        <f t="shared" si="0"/>
        <v>426.58</v>
      </c>
      <c r="H53" s="1">
        <v>48752</v>
      </c>
      <c r="I53" s="1">
        <v>0</v>
      </c>
      <c r="J53" s="1">
        <v>0</v>
      </c>
      <c r="K53" s="1">
        <v>0</v>
      </c>
      <c r="L53" s="1" t="s">
        <v>3</v>
      </c>
      <c r="M53" s="1"/>
      <c r="N53" t="s">
        <v>258</v>
      </c>
    </row>
    <row r="54" spans="1:14" ht="132" x14ac:dyDescent="0.3">
      <c r="A54" s="1" t="s">
        <v>113</v>
      </c>
      <c r="B54" s="1" t="str">
        <f>HYPERLINK("https://www.journalgazette.net/sports/professional/komets/komets-must-figure-out-indys-stifling-defense-which-is-like-solving-a-rubiks-cube/article_a05a888c-be31-11ef-b187-9b2cef39c74e.html")</f>
        <v>https://www.journalgazette.net/sports/professional/komets/komets-must-figure-out-indys-stifling-defense-which-is-like-solving-a-rubiks-cube/article_a05a888c-be31-11ef-b187-9b2cef39c74e.html</v>
      </c>
      <c r="C54" s="1"/>
      <c r="D54" s="1" t="s">
        <v>0</v>
      </c>
      <c r="E54" s="2">
        <v>45645.880347222221</v>
      </c>
      <c r="F54" s="1" t="s">
        <v>114</v>
      </c>
      <c r="G54" s="1">
        <f t="shared" si="0"/>
        <v>426.58</v>
      </c>
      <c r="H54" s="1">
        <v>48752</v>
      </c>
      <c r="I54" s="1">
        <v>2</v>
      </c>
      <c r="J54" s="1">
        <v>6395</v>
      </c>
      <c r="K54" s="1">
        <v>15</v>
      </c>
      <c r="L54" s="1" t="s">
        <v>3</v>
      </c>
      <c r="M54" s="1"/>
      <c r="N54" t="s">
        <v>258</v>
      </c>
    </row>
    <row r="55" spans="1:14" ht="211.2" x14ac:dyDescent="0.3">
      <c r="A55" s="1" t="s">
        <v>115</v>
      </c>
      <c r="B55" s="1" t="str">
        <f>HYPERLINK("https://indywithkids.com/january-events-activities/")</f>
        <v>https://indywithkids.com/january-events-activities/</v>
      </c>
      <c r="C55" s="1" t="s">
        <v>116</v>
      </c>
      <c r="D55" s="1" t="s">
        <v>117</v>
      </c>
      <c r="E55" s="2">
        <v>45645.529374999998</v>
      </c>
      <c r="F55" s="1" t="s">
        <v>118</v>
      </c>
      <c r="G55" s="1">
        <f t="shared" si="0"/>
        <v>293.76375000000002</v>
      </c>
      <c r="H55" s="1">
        <v>33573</v>
      </c>
      <c r="I55" s="1">
        <v>0</v>
      </c>
      <c r="J55" s="1">
        <v>0</v>
      </c>
      <c r="K55" s="1">
        <v>11</v>
      </c>
      <c r="L55" s="1" t="s">
        <v>3</v>
      </c>
      <c r="M55" s="1"/>
      <c r="N55" t="s">
        <v>258</v>
      </c>
    </row>
    <row r="56" spans="1:14" ht="184.8" x14ac:dyDescent="0.3">
      <c r="A56" s="1" t="s">
        <v>13</v>
      </c>
      <c r="B56" s="1" t="str">
        <f>HYPERLINK("https://www.heraldbulletin.com/sports/coming-up/article_1733b484-bd96-11ef-8927-f39c8989d07f.html")</f>
        <v>https://www.heraldbulletin.com/sports/coming-up/article_1733b484-bd96-11ef-8927-f39c8989d07f.html</v>
      </c>
      <c r="C56" s="1"/>
      <c r="D56" s="1" t="s">
        <v>14</v>
      </c>
      <c r="E56" s="2">
        <v>45645.333796296298</v>
      </c>
      <c r="F56" s="1" t="s">
        <v>119</v>
      </c>
      <c r="G56" s="1">
        <f t="shared" si="0"/>
        <v>439.77499999999998</v>
      </c>
      <c r="H56" s="1">
        <v>50260</v>
      </c>
      <c r="I56" s="1">
        <v>0</v>
      </c>
      <c r="J56" s="1">
        <v>0</v>
      </c>
      <c r="K56" s="1">
        <v>5</v>
      </c>
      <c r="L56" s="1" t="s">
        <v>1</v>
      </c>
      <c r="M56" s="1"/>
      <c r="N56" t="s">
        <v>258</v>
      </c>
    </row>
    <row r="57" spans="1:14" ht="250.8" x14ac:dyDescent="0.3">
      <c r="A57" s="1" t="s">
        <v>120</v>
      </c>
      <c r="B57" s="1" t="str">
        <f>HYPERLINK("https://www.larryinfishers.com/2024/12/18/indy-fuel-fall-to-bloomington-bison-3-1/")</f>
        <v>https://www.larryinfishers.com/2024/12/18/indy-fuel-fall-to-bloomington-bison-3-1/</v>
      </c>
      <c r="C57" s="1"/>
      <c r="D57" s="1" t="s">
        <v>22</v>
      </c>
      <c r="E57" s="2">
        <v>45644.909456018519</v>
      </c>
      <c r="F57" s="1" t="s">
        <v>121</v>
      </c>
      <c r="G57" s="1">
        <f t="shared" si="0"/>
        <v>30.703749999999999</v>
      </c>
      <c r="H57" s="1">
        <v>3509</v>
      </c>
      <c r="I57" s="1">
        <v>0</v>
      </c>
      <c r="J57" s="1">
        <v>0</v>
      </c>
      <c r="K57" s="1">
        <v>1</v>
      </c>
      <c r="L57" s="1" t="s">
        <v>1</v>
      </c>
      <c r="M57" s="1"/>
      <c r="N57" t="s">
        <v>258</v>
      </c>
    </row>
    <row r="58" spans="1:14" ht="79.2" x14ac:dyDescent="0.3">
      <c r="A58" s="1" t="s">
        <v>122</v>
      </c>
      <c r="B58" s="1" t="str">
        <f>HYPERLINK("https://www.wane.com/sports/komets/red-hot-komets-prep-for-pair-of-games-vs-fuel/")</f>
        <v>https://www.wane.com/sports/komets/red-hot-komets-prep-for-pair-of-games-vs-fuel/</v>
      </c>
      <c r="C58" s="1"/>
      <c r="D58" s="1" t="s">
        <v>20</v>
      </c>
      <c r="E58" s="2">
        <v>45644.713553240741</v>
      </c>
      <c r="F58" s="1" t="s">
        <v>123</v>
      </c>
      <c r="G58" s="1">
        <f t="shared" si="0"/>
        <v>4658.1062499999998</v>
      </c>
      <c r="H58" s="1">
        <v>532355</v>
      </c>
      <c r="I58" s="1">
        <v>0</v>
      </c>
      <c r="J58" s="1">
        <v>0</v>
      </c>
      <c r="K58" s="1">
        <v>0</v>
      </c>
      <c r="L58" s="1" t="s">
        <v>3</v>
      </c>
      <c r="M58" s="1"/>
      <c r="N58" t="s">
        <v>258</v>
      </c>
    </row>
    <row r="59" spans="1:14" ht="184.8" x14ac:dyDescent="0.3">
      <c r="A59" s="1" t="s">
        <v>124</v>
      </c>
      <c r="B59" s="1" t="str">
        <f>HYPERLINK("https://www.oursportscentral.com/services/releases/fuel-fall-to-bison-3-1-on-wednesday-night/n-6174459")</f>
        <v>https://www.oursportscentral.com/services/releases/fuel-fall-to-bison-3-1-on-wednesday-night/n-6174459</v>
      </c>
      <c r="C59" s="1"/>
      <c r="D59" s="1" t="s">
        <v>2</v>
      </c>
      <c r="E59" s="2">
        <v>45644.587500000001</v>
      </c>
      <c r="F59" s="1" t="s">
        <v>125</v>
      </c>
      <c r="G59" s="1">
        <f t="shared" si="0"/>
        <v>353.51749999999998</v>
      </c>
      <c r="H59" s="1">
        <v>40402</v>
      </c>
      <c r="I59" s="1">
        <v>0</v>
      </c>
      <c r="J59" s="1">
        <v>0</v>
      </c>
      <c r="K59" s="1">
        <v>0</v>
      </c>
      <c r="L59" s="1" t="s">
        <v>6</v>
      </c>
      <c r="M59" s="1"/>
      <c r="N59" t="s">
        <v>257</v>
      </c>
    </row>
    <row r="60" spans="1:14" ht="264" x14ac:dyDescent="0.3">
      <c r="A60" s="1" t="s">
        <v>13</v>
      </c>
      <c r="B60" s="1" t="str">
        <f>HYPERLINK("https://www.heraldbulletin.com/sports/coming-up/article_1739eb58-bcc2-11ef-9ca2-3fd022c644a9.html")</f>
        <v>https://www.heraldbulletin.com/sports/coming-up/article_1739eb58-bcc2-11ef-9ca2-3fd022c644a9.html</v>
      </c>
      <c r="C60" s="1"/>
      <c r="D60" s="1" t="s">
        <v>14</v>
      </c>
      <c r="E60" s="2">
        <v>45644.30872685185</v>
      </c>
      <c r="F60" s="1" t="s">
        <v>126</v>
      </c>
      <c r="G60" s="1">
        <f t="shared" si="0"/>
        <v>439.77499999999998</v>
      </c>
      <c r="H60" s="1">
        <v>50260</v>
      </c>
      <c r="I60" s="1">
        <v>0</v>
      </c>
      <c r="J60" s="1">
        <v>0</v>
      </c>
      <c r="K60" s="1">
        <v>9</v>
      </c>
      <c r="L60" s="1" t="s">
        <v>3</v>
      </c>
      <c r="M60" s="1"/>
      <c r="N60" t="s">
        <v>258</v>
      </c>
    </row>
    <row r="61" spans="1:14" ht="145.19999999999999" x14ac:dyDescent="0.3">
      <c r="A61" s="1" t="s">
        <v>127</v>
      </c>
      <c r="B61" s="1" t="str">
        <f>HYPERLINK("https://www.flohockey.tv/events/12620102-2024-bloomington-vs-indy-fuel")</f>
        <v>https://www.flohockey.tv/events/12620102-2024-bloomington-vs-indy-fuel</v>
      </c>
      <c r="C61" s="1"/>
      <c r="D61" s="1" t="s">
        <v>17</v>
      </c>
      <c r="E61" s="2">
        <v>45643.791666666657</v>
      </c>
      <c r="F61" s="1" t="s">
        <v>128</v>
      </c>
      <c r="G61" s="1">
        <f t="shared" si="0"/>
        <v>2807.7787499999999</v>
      </c>
      <c r="H61" s="1">
        <v>320889</v>
      </c>
      <c r="I61" s="1">
        <v>0</v>
      </c>
      <c r="J61" s="1">
        <v>0</v>
      </c>
      <c r="K61" s="1">
        <v>0</v>
      </c>
      <c r="L61" s="1" t="s">
        <v>6</v>
      </c>
      <c r="M61" s="1"/>
      <c r="N61" t="s">
        <v>257</v>
      </c>
    </row>
    <row r="62" spans="1:14" ht="171.6" x14ac:dyDescent="0.3">
      <c r="A62" s="1" t="s">
        <v>129</v>
      </c>
      <c r="B62" s="1" t="str">
        <f>HYPERLINK("https://www.keepingupincarmel.com/post/the-in-list-12-9-12-15")</f>
        <v>https://www.keepingupincarmel.com/post/the-in-list-12-9-12-15</v>
      </c>
      <c r="C62" s="1" t="s">
        <v>33</v>
      </c>
      <c r="D62" s="1" t="s">
        <v>34</v>
      </c>
      <c r="E62" s="2">
        <v>45643.644317129627</v>
      </c>
      <c r="F62" s="1" t="s">
        <v>130</v>
      </c>
      <c r="G62" s="1">
        <f t="shared" si="0"/>
        <v>6.0025000000000004</v>
      </c>
      <c r="H62" s="1">
        <v>686</v>
      </c>
      <c r="I62" s="1">
        <v>0</v>
      </c>
      <c r="J62" s="1">
        <v>0</v>
      </c>
      <c r="K62" s="1">
        <v>0</v>
      </c>
      <c r="L62" s="1" t="s">
        <v>1</v>
      </c>
      <c r="M62" s="1"/>
      <c r="N62" t="s">
        <v>258</v>
      </c>
    </row>
    <row r="63" spans="1:14" ht="171.6" x14ac:dyDescent="0.3">
      <c r="A63" s="1" t="s">
        <v>131</v>
      </c>
      <c r="B63" s="1" t="str">
        <f>HYPERLINK("https://www.keepingupincarmel.com/post/the-in-list-2024-12-16-12-22")</f>
        <v>https://www.keepingupincarmel.com/post/the-in-list-2024-12-16-12-22</v>
      </c>
      <c r="C63" s="1" t="s">
        <v>33</v>
      </c>
      <c r="D63" s="1" t="s">
        <v>34</v>
      </c>
      <c r="E63" s="2">
        <v>45643.644178240742</v>
      </c>
      <c r="F63" s="1" t="s">
        <v>132</v>
      </c>
      <c r="G63" s="1">
        <f t="shared" si="0"/>
        <v>6.0025000000000004</v>
      </c>
      <c r="H63" s="1">
        <v>686</v>
      </c>
      <c r="I63" s="1">
        <v>0</v>
      </c>
      <c r="J63" s="1">
        <v>0</v>
      </c>
      <c r="K63" s="1">
        <v>0</v>
      </c>
      <c r="L63" s="1" t="s">
        <v>1</v>
      </c>
      <c r="M63" s="1"/>
      <c r="N63" t="s">
        <v>258</v>
      </c>
    </row>
    <row r="64" spans="1:14" ht="158.4" x14ac:dyDescent="0.3">
      <c r="A64" s="1" t="s">
        <v>133</v>
      </c>
      <c r="B64" s="1" t="str">
        <f>HYPERLINK("https://www.keepingupincarmel.com/post/the-in-list-2024-12-2-12-8")</f>
        <v>https://www.keepingupincarmel.com/post/the-in-list-2024-12-2-12-8</v>
      </c>
      <c r="C64" s="1" t="s">
        <v>33</v>
      </c>
      <c r="D64" s="1" t="s">
        <v>34</v>
      </c>
      <c r="E64" s="2">
        <v>45643.64403935185</v>
      </c>
      <c r="F64" s="1" t="s">
        <v>134</v>
      </c>
      <c r="G64" s="1">
        <f t="shared" si="0"/>
        <v>6.0025000000000004</v>
      </c>
      <c r="H64" s="1">
        <v>686</v>
      </c>
      <c r="I64" s="1">
        <v>0</v>
      </c>
      <c r="J64" s="1">
        <v>0</v>
      </c>
      <c r="K64" s="1">
        <v>0</v>
      </c>
      <c r="L64" s="1" t="s">
        <v>1</v>
      </c>
      <c r="M64" s="1"/>
      <c r="N64" t="s">
        <v>258</v>
      </c>
    </row>
    <row r="65" spans="1:14" ht="237.6" x14ac:dyDescent="0.3">
      <c r="A65" s="1" t="s">
        <v>13</v>
      </c>
      <c r="B65" s="1" t="str">
        <f>HYPERLINK("https://www.heraldbulletin.com/sports/coming-up/article_f9d3f382-bc04-11ef-9051-6f276926618e.html")</f>
        <v>https://www.heraldbulletin.com/sports/coming-up/article_f9d3f382-bc04-11ef-9051-6f276926618e.html</v>
      </c>
      <c r="C65" s="1"/>
      <c r="D65" s="1" t="s">
        <v>14</v>
      </c>
      <c r="E65" s="2">
        <v>45643.312592592592</v>
      </c>
      <c r="F65" s="1" t="s">
        <v>135</v>
      </c>
      <c r="G65" s="1">
        <f t="shared" si="0"/>
        <v>439.77499999999998</v>
      </c>
      <c r="H65" s="1">
        <v>50260</v>
      </c>
      <c r="I65" s="1">
        <v>0</v>
      </c>
      <c r="J65" s="1">
        <v>0</v>
      </c>
      <c r="K65" s="1">
        <v>2</v>
      </c>
      <c r="L65" s="1" t="s">
        <v>3</v>
      </c>
      <c r="M65" s="1"/>
      <c r="N65" t="s">
        <v>258</v>
      </c>
    </row>
    <row r="66" spans="1:14" ht="211.2" x14ac:dyDescent="0.3">
      <c r="A66" s="1" t="s">
        <v>136</v>
      </c>
      <c r="B66" s="1" t="str">
        <f>HYPERLINK("https://www.wrtv.com/news/local-news/record-breaking-number-of-stuffed-animals-donated-to-indy-fuels-2024-teddy-bear-toss")</f>
        <v>https://www.wrtv.com/news/local-news/record-breaking-number-of-stuffed-animals-donated-to-indy-fuels-2024-teddy-bear-toss</v>
      </c>
      <c r="C66" s="1"/>
      <c r="D66" s="1" t="s">
        <v>107</v>
      </c>
      <c r="E66" s="2">
        <v>45642.841134259259</v>
      </c>
      <c r="F66" s="1" t="s">
        <v>137</v>
      </c>
      <c r="G66" s="1">
        <f t="shared" si="0"/>
        <v>2542.9775</v>
      </c>
      <c r="H66" s="1">
        <v>290626</v>
      </c>
      <c r="I66" s="1">
        <v>0</v>
      </c>
      <c r="J66" s="1">
        <v>0</v>
      </c>
      <c r="K66" s="1">
        <v>465</v>
      </c>
      <c r="L66" s="1" t="s">
        <v>1</v>
      </c>
      <c r="M66" s="1"/>
      <c r="N66" t="s">
        <v>258</v>
      </c>
    </row>
    <row r="67" spans="1:14" ht="145.19999999999999" x14ac:dyDescent="0.3">
      <c r="A67" s="1" t="s">
        <v>138</v>
      </c>
      <c r="B67" s="1" t="str">
        <f>HYPERLINK("https://www.newsbreak.com/news/3716289694223-k-wings-top-fuel-saturday-in-ot")</f>
        <v>https://www.newsbreak.com/news/3716289694223-k-wings-top-fuel-saturday-in-ot</v>
      </c>
      <c r="C67" s="1"/>
      <c r="D67" s="1" t="s">
        <v>139</v>
      </c>
      <c r="E67" s="2">
        <v>45642.676388888889</v>
      </c>
      <c r="F67" s="1" t="s">
        <v>140</v>
      </c>
      <c r="G67" s="1">
        <f t="shared" ref="G67:G124" si="1">H67*(0.025)*(0.35)</f>
        <v>164306.25750000001</v>
      </c>
      <c r="H67" s="1">
        <v>18777858</v>
      </c>
      <c r="I67" s="1">
        <v>0</v>
      </c>
      <c r="J67" s="1">
        <v>0</v>
      </c>
      <c r="K67" s="1">
        <v>0</v>
      </c>
      <c r="L67" s="1" t="s">
        <v>3</v>
      </c>
      <c r="M67" s="1"/>
      <c r="N67" t="s">
        <v>257</v>
      </c>
    </row>
    <row r="68" spans="1:14" ht="237.6" x14ac:dyDescent="0.3">
      <c r="A68" s="1" t="s">
        <v>13</v>
      </c>
      <c r="B68" s="1" t="str">
        <f>HYPERLINK("https://www.heraldbulletin.com/sports/coming-up/article_b92360e2-bb33-11ef-be3d-9fc5c80e1887.html")</f>
        <v>https://www.heraldbulletin.com/sports/coming-up/article_b92360e2-bb33-11ef-be3d-9fc5c80e1887.html</v>
      </c>
      <c r="C68" s="1"/>
      <c r="D68" s="1" t="s">
        <v>14</v>
      </c>
      <c r="E68" s="2">
        <v>45642.300300925926</v>
      </c>
      <c r="F68" s="1" t="s">
        <v>135</v>
      </c>
      <c r="G68" s="1">
        <f t="shared" si="1"/>
        <v>439.77499999999998</v>
      </c>
      <c r="H68" s="1">
        <v>50260</v>
      </c>
      <c r="I68" s="1">
        <v>0</v>
      </c>
      <c r="J68" s="1">
        <v>0</v>
      </c>
      <c r="K68" s="1">
        <v>25</v>
      </c>
      <c r="L68" s="1" t="s">
        <v>1</v>
      </c>
      <c r="M68" s="1"/>
      <c r="N68" t="s">
        <v>258</v>
      </c>
    </row>
    <row r="69" spans="1:14" ht="250.8" x14ac:dyDescent="0.3">
      <c r="A69" s="1" t="s">
        <v>13</v>
      </c>
      <c r="B69" s="1" t="str">
        <f>HYPERLINK("https://www.heraldbulletin.com/sports/coming-up/article_f56fab0e-bb2f-11ef-bf54-034b3b502bd6.html")</f>
        <v>https://www.heraldbulletin.com/sports/coming-up/article_f56fab0e-bb2f-11ef-bf54-034b3b502bd6.html</v>
      </c>
      <c r="C69" s="1"/>
      <c r="D69" s="1" t="s">
        <v>14</v>
      </c>
      <c r="E69" s="2">
        <v>45641.722372685188</v>
      </c>
      <c r="F69" s="1" t="s">
        <v>142</v>
      </c>
      <c r="G69" s="1">
        <f t="shared" si="1"/>
        <v>439.77499999999998</v>
      </c>
      <c r="H69" s="1">
        <v>50260</v>
      </c>
      <c r="I69" s="1">
        <v>0</v>
      </c>
      <c r="J69" s="1">
        <v>0</v>
      </c>
      <c r="K69" s="1">
        <v>0</v>
      </c>
      <c r="L69" s="1" t="s">
        <v>1</v>
      </c>
      <c r="M69" s="1"/>
      <c r="N69" t="s">
        <v>258</v>
      </c>
    </row>
    <row r="70" spans="1:14" ht="198" x14ac:dyDescent="0.3">
      <c r="A70" s="1" t="s">
        <v>143</v>
      </c>
      <c r="B70" s="1" t="str">
        <f>HYPERLINK("https://www.oursportscentral.com/services/releases/k-wings-drop-defensive-battle-against-fuel-sunday/n-6173607")</f>
        <v>https://www.oursportscentral.com/services/releases/k-wings-drop-defensive-battle-against-fuel-sunday/n-6173607</v>
      </c>
      <c r="C70" s="1"/>
      <c r="D70" s="1" t="s">
        <v>2</v>
      </c>
      <c r="E70" s="2">
        <v>45641.424305555563</v>
      </c>
      <c r="F70" s="1" t="s">
        <v>144</v>
      </c>
      <c r="G70" s="1">
        <f t="shared" si="1"/>
        <v>353.51749999999998</v>
      </c>
      <c r="H70" s="1">
        <v>40402</v>
      </c>
      <c r="I70" s="1">
        <v>0</v>
      </c>
      <c r="J70" s="1">
        <v>0</v>
      </c>
      <c r="K70" s="1">
        <v>0</v>
      </c>
      <c r="L70" s="1" t="s">
        <v>6</v>
      </c>
      <c r="M70" s="1"/>
      <c r="N70" t="s">
        <v>257</v>
      </c>
    </row>
    <row r="71" spans="1:14" ht="184.8" x14ac:dyDescent="0.3">
      <c r="A71" s="1" t="s">
        <v>145</v>
      </c>
      <c r="B71" s="1" t="str">
        <f>HYPERLINK("https://www.oursportscentral.com/services/releases/fuel-shutout-kalamazoo-for-second-time-this-season/n-6173605")</f>
        <v>https://www.oursportscentral.com/services/releases/fuel-shutout-kalamazoo-for-second-time-this-season/n-6173605</v>
      </c>
      <c r="C71" s="1"/>
      <c r="D71" s="1" t="s">
        <v>2</v>
      </c>
      <c r="E71" s="2">
        <v>45641.423611111109</v>
      </c>
      <c r="F71" s="1" t="s">
        <v>146</v>
      </c>
      <c r="G71" s="1">
        <f t="shared" si="1"/>
        <v>353.51749999999998</v>
      </c>
      <c r="H71" s="1">
        <v>40402</v>
      </c>
      <c r="I71" s="1">
        <v>0</v>
      </c>
      <c r="J71" s="1">
        <v>0</v>
      </c>
      <c r="K71" s="1">
        <v>0</v>
      </c>
      <c r="L71" s="1" t="s">
        <v>6</v>
      </c>
      <c r="M71" s="1"/>
      <c r="N71" t="s">
        <v>257</v>
      </c>
    </row>
    <row r="72" spans="1:14" ht="158.4" x14ac:dyDescent="0.3">
      <c r="A72" s="1" t="s">
        <v>147</v>
      </c>
      <c r="B72" s="1" t="str">
        <f>HYPERLINK("https://ca.sports.yahoo.com/news/k-wings-pick-overtime-win-150000300.html")</f>
        <v>https://ca.sports.yahoo.com/news/k-wings-pick-overtime-win-150000300.html</v>
      </c>
      <c r="C72" s="1"/>
      <c r="D72" s="1" t="s">
        <v>56</v>
      </c>
      <c r="E72" s="2">
        <v>45641.208333333343</v>
      </c>
      <c r="F72" s="1" t="s">
        <v>148</v>
      </c>
      <c r="G72" s="1">
        <f t="shared" si="1"/>
        <v>5428.6137499999995</v>
      </c>
      <c r="H72" s="1">
        <v>620413</v>
      </c>
      <c r="I72" s="1">
        <v>0</v>
      </c>
      <c r="J72" s="1">
        <v>0</v>
      </c>
      <c r="K72" s="1">
        <v>0</v>
      </c>
      <c r="L72" s="1" t="s">
        <v>3</v>
      </c>
      <c r="M72" s="1"/>
      <c r="N72" t="s">
        <v>259</v>
      </c>
    </row>
    <row r="73" spans="1:14" ht="158.4" x14ac:dyDescent="0.3">
      <c r="A73" s="1" t="s">
        <v>147</v>
      </c>
      <c r="B73" s="1" t="str">
        <f>HYPERLINK("https://sports.yahoo.com/k-wings-pick-overtime-win-150000300.html")</f>
        <v>https://sports.yahoo.com/k-wings-pick-overtime-win-150000300.html</v>
      </c>
      <c r="C73" s="1"/>
      <c r="D73" s="1" t="s">
        <v>57</v>
      </c>
      <c r="E73" s="2">
        <v>45641.208333333343</v>
      </c>
      <c r="F73" s="1" t="s">
        <v>148</v>
      </c>
      <c r="G73" s="1">
        <f t="shared" si="1"/>
        <v>202758.57874999999</v>
      </c>
      <c r="H73" s="1">
        <v>23172409</v>
      </c>
      <c r="I73" s="1">
        <v>0</v>
      </c>
      <c r="J73" s="1">
        <v>0</v>
      </c>
      <c r="K73" s="1">
        <v>0</v>
      </c>
      <c r="L73" s="1" t="s">
        <v>3</v>
      </c>
      <c r="M73" s="1"/>
      <c r="N73" t="s">
        <v>257</v>
      </c>
    </row>
    <row r="74" spans="1:14" ht="79.2" x14ac:dyDescent="0.3">
      <c r="A74" s="1" t="s">
        <v>149</v>
      </c>
      <c r="B74" s="1" t="str">
        <f>HYPERLINK("https://www.therinklive.com/sports/pro/kalamazoo-wings-beat-indy-fuel-in-overtime-20241215000841")</f>
        <v>https://www.therinklive.com/sports/pro/kalamazoo-wings-beat-indy-fuel-in-overtime-20241215000841</v>
      </c>
      <c r="C74" s="1"/>
      <c r="D74" s="1" t="s">
        <v>39</v>
      </c>
      <c r="E74" s="2">
        <v>45641.006053240737</v>
      </c>
      <c r="F74" s="1" t="s">
        <v>150</v>
      </c>
      <c r="G74" s="1">
        <f t="shared" si="1"/>
        <v>146.47499999999999</v>
      </c>
      <c r="H74" s="1">
        <v>16740</v>
      </c>
      <c r="I74" s="1">
        <v>0</v>
      </c>
      <c r="J74" s="1">
        <v>0</v>
      </c>
      <c r="K74" s="1">
        <v>0</v>
      </c>
      <c r="L74" s="1" t="s">
        <v>3</v>
      </c>
      <c r="M74" s="1"/>
      <c r="N74" t="s">
        <v>257</v>
      </c>
    </row>
    <row r="75" spans="1:14" ht="118.8" x14ac:dyDescent="0.3">
      <c r="A75" s="1" t="s">
        <v>151</v>
      </c>
      <c r="B75" s="1" t="str">
        <f>HYPERLINK("https://www.larryinfishers.com/2024/12/14/fuel-fall-to-k-wings-in-overtime-thriller-during-teddy-bear-toss-night/")</f>
        <v>https://www.larryinfishers.com/2024/12/14/fuel-fall-to-k-wings-in-overtime-thriller-during-teddy-bear-toss-night/</v>
      </c>
      <c r="C75" s="1"/>
      <c r="D75" s="1" t="s">
        <v>22</v>
      </c>
      <c r="E75" s="2">
        <v>45640.974270833343</v>
      </c>
      <c r="F75" s="1" t="s">
        <v>152</v>
      </c>
      <c r="G75" s="1">
        <f t="shared" si="1"/>
        <v>30.703749999999999</v>
      </c>
      <c r="H75" s="1">
        <v>3509</v>
      </c>
      <c r="I75" s="1">
        <v>0</v>
      </c>
      <c r="J75" s="1">
        <v>0</v>
      </c>
      <c r="K75" s="1">
        <v>1</v>
      </c>
      <c r="L75" s="1" t="s">
        <v>3</v>
      </c>
      <c r="M75" s="1"/>
      <c r="N75" t="s">
        <v>258</v>
      </c>
    </row>
    <row r="76" spans="1:14" ht="118.8" x14ac:dyDescent="0.3">
      <c r="A76" s="1" t="s">
        <v>153</v>
      </c>
      <c r="B76" s="1" t="str">
        <f>HYPERLINK("https://indyfuelhockey.com/news/2024/12/fuel-break-franchise-teddy-bear-record-in-sell-out-game")</f>
        <v>https://indyfuelhockey.com/news/2024/12/fuel-break-franchise-teddy-bear-record-in-sell-out-game</v>
      </c>
      <c r="C76" s="1"/>
      <c r="D76" s="1" t="s">
        <v>154</v>
      </c>
      <c r="E76" s="2">
        <v>45640.683842592603</v>
      </c>
      <c r="F76" s="1" t="s">
        <v>155</v>
      </c>
      <c r="G76" s="1">
        <f t="shared" si="1"/>
        <v>0</v>
      </c>
      <c r="H76" s="1"/>
      <c r="I76" s="1">
        <v>2</v>
      </c>
      <c r="J76" s="1">
        <v>2032</v>
      </c>
      <c r="K76" s="1">
        <v>2</v>
      </c>
      <c r="L76" s="1" t="s">
        <v>1</v>
      </c>
      <c r="M76" s="1"/>
      <c r="N76" t="s">
        <v>258</v>
      </c>
    </row>
    <row r="77" spans="1:14" ht="198" x14ac:dyDescent="0.3">
      <c r="A77" s="1" t="s">
        <v>156</v>
      </c>
      <c r="B77" s="1" t="str">
        <f>HYPERLINK("https://www.oursportscentral.com/services/releases/k-wings-top-fuel-saturday-in-ot/n-6173436")</f>
        <v>https://www.oursportscentral.com/services/releases/k-wings-top-fuel-saturday-in-ot/n-6173436</v>
      </c>
      <c r="C77" s="1"/>
      <c r="D77" s="1" t="s">
        <v>2</v>
      </c>
      <c r="E77" s="2">
        <v>45640.633333333331</v>
      </c>
      <c r="F77" s="1" t="s">
        <v>157</v>
      </c>
      <c r="G77" s="1">
        <f t="shared" si="1"/>
        <v>353.51749999999998</v>
      </c>
      <c r="H77" s="1">
        <v>40402</v>
      </c>
      <c r="I77" s="1">
        <v>0</v>
      </c>
      <c r="J77" s="1">
        <v>0</v>
      </c>
      <c r="K77" s="1">
        <v>0</v>
      </c>
      <c r="L77" s="1" t="s">
        <v>3</v>
      </c>
      <c r="M77" s="1"/>
      <c r="N77" t="s">
        <v>257</v>
      </c>
    </row>
    <row r="78" spans="1:14" ht="184.8" x14ac:dyDescent="0.3">
      <c r="A78" s="1" t="s">
        <v>158</v>
      </c>
      <c r="B78" s="1" t="str">
        <f>HYPERLINK("https://www.oursportscentral.com/services/releases/fuel-break-franchise-teddy-bear-record-in-sell-out-game/n-6173409")</f>
        <v>https://www.oursportscentral.com/services/releases/fuel-break-franchise-teddy-bear-record-in-sell-out-game/n-6173409</v>
      </c>
      <c r="C78" s="1"/>
      <c r="D78" s="1" t="s">
        <v>2</v>
      </c>
      <c r="E78" s="2">
        <v>45640.615277777782</v>
      </c>
      <c r="F78" s="1" t="s">
        <v>159</v>
      </c>
      <c r="G78" s="1">
        <f t="shared" si="1"/>
        <v>353.51749999999998</v>
      </c>
      <c r="H78" s="1">
        <v>40402</v>
      </c>
      <c r="I78" s="1">
        <v>0</v>
      </c>
      <c r="J78" s="1">
        <v>0</v>
      </c>
      <c r="K78" s="1">
        <v>0</v>
      </c>
      <c r="L78" s="1" t="s">
        <v>1</v>
      </c>
      <c r="M78" s="1"/>
      <c r="N78" t="s">
        <v>257</v>
      </c>
    </row>
    <row r="79" spans="1:14" ht="158.4" x14ac:dyDescent="0.3">
      <c r="A79" s="1" t="s">
        <v>160</v>
      </c>
      <c r="B79" s="1" t="str">
        <f>HYPERLINK("https://www.oursportscentral.com/services/releases/mariners-send-stockdale-willets-to-indy/n-6173328")</f>
        <v>https://www.oursportscentral.com/services/releases/mariners-send-stockdale-willets-to-indy/n-6173328</v>
      </c>
      <c r="C79" s="1"/>
      <c r="D79" s="1" t="s">
        <v>2</v>
      </c>
      <c r="E79" s="2">
        <v>45640.4</v>
      </c>
      <c r="F79" s="1" t="s">
        <v>161</v>
      </c>
      <c r="G79" s="1">
        <f t="shared" si="1"/>
        <v>353.51749999999998</v>
      </c>
      <c r="H79" s="1">
        <v>40402</v>
      </c>
      <c r="I79" s="1">
        <v>0</v>
      </c>
      <c r="J79" s="1">
        <v>0</v>
      </c>
      <c r="K79" s="1">
        <v>0</v>
      </c>
      <c r="L79" s="1" t="s">
        <v>1</v>
      </c>
      <c r="M79" s="1"/>
      <c r="N79" t="s">
        <v>257</v>
      </c>
    </row>
    <row r="80" spans="1:14" ht="171.6" x14ac:dyDescent="0.3">
      <c r="A80" s="1" t="s">
        <v>13</v>
      </c>
      <c r="B80" s="1" t="str">
        <f>HYPERLINK("https://www.heraldbulletin.com/sports/coming-up/article_7e8c7794-b9a2-11ef-9eb4-0f6d3f32ac44.html")</f>
        <v>https://www.heraldbulletin.com/sports/coming-up/article_7e8c7794-b9a2-11ef-9eb4-0f6d3f32ac44.html</v>
      </c>
      <c r="C80" s="1"/>
      <c r="D80" s="1" t="s">
        <v>14</v>
      </c>
      <c r="E80" s="2">
        <v>45640.325196759259</v>
      </c>
      <c r="F80" s="1" t="s">
        <v>162</v>
      </c>
      <c r="G80" s="1">
        <f t="shared" si="1"/>
        <v>439.77499999999998</v>
      </c>
      <c r="H80" s="1">
        <v>50260</v>
      </c>
      <c r="I80" s="1">
        <v>0</v>
      </c>
      <c r="J80" s="1">
        <v>0</v>
      </c>
      <c r="K80" s="1">
        <v>0</v>
      </c>
      <c r="L80" s="1" t="s">
        <v>3</v>
      </c>
      <c r="M80" s="1"/>
      <c r="N80" t="s">
        <v>258</v>
      </c>
    </row>
    <row r="81" spans="1:14" ht="184.8" x14ac:dyDescent="0.3">
      <c r="A81" s="1" t="s">
        <v>163</v>
      </c>
      <c r="B81" s="1" t="str">
        <f>HYPERLINK("https://www.oursportscentral.com/services/releases/icehogs-recall-matus-spodniak-from-indy/n-6173303")</f>
        <v>https://www.oursportscentral.com/services/releases/icehogs-recall-matus-spodniak-from-indy/n-6173303</v>
      </c>
      <c r="C81" s="1"/>
      <c r="D81" s="1" t="s">
        <v>2</v>
      </c>
      <c r="E81" s="2">
        <v>45640.320138888892</v>
      </c>
      <c r="F81" s="1" t="s">
        <v>164</v>
      </c>
      <c r="G81" s="1">
        <f t="shared" si="1"/>
        <v>353.51749999999998</v>
      </c>
      <c r="H81" s="1">
        <v>40402</v>
      </c>
      <c r="I81" s="1">
        <v>0</v>
      </c>
      <c r="J81" s="1">
        <v>0</v>
      </c>
      <c r="K81" s="1">
        <v>0</v>
      </c>
      <c r="L81" s="1" t="s">
        <v>1</v>
      </c>
      <c r="M81" s="1"/>
      <c r="N81" t="s">
        <v>257</v>
      </c>
    </row>
    <row r="82" spans="1:14" ht="409.6" x14ac:dyDescent="0.3">
      <c r="A82" s="1" t="s">
        <v>165</v>
      </c>
      <c r="B82" s="1" t="str">
        <f>HYPERLINK("https://www.therinklive.com/sports/pro/strong-defense-as-indy-fuel-beat-allen-americans-20241214013141")</f>
        <v>https://www.therinklive.com/sports/pro/strong-defense-as-indy-fuel-beat-allen-americans-20241214013141</v>
      </c>
      <c r="C82" s="1"/>
      <c r="D82" s="1" t="s">
        <v>39</v>
      </c>
      <c r="E82" s="2">
        <v>45640.063692129632</v>
      </c>
      <c r="F82" s="1" t="s">
        <v>166</v>
      </c>
      <c r="G82" s="1">
        <f t="shared" si="1"/>
        <v>146.47499999999999</v>
      </c>
      <c r="H82" s="1">
        <v>16740</v>
      </c>
      <c r="I82" s="1">
        <v>0</v>
      </c>
      <c r="J82" s="1">
        <v>0</v>
      </c>
      <c r="K82" s="1">
        <v>0</v>
      </c>
      <c r="L82" s="1" t="s">
        <v>3</v>
      </c>
      <c r="M82" s="1"/>
      <c r="N82" t="s">
        <v>257</v>
      </c>
    </row>
    <row r="83" spans="1:14" ht="105.6" x14ac:dyDescent="0.3">
      <c r="A83" s="1" t="s">
        <v>167</v>
      </c>
      <c r="B83" s="1" t="str">
        <f>HYPERLINK("https://www.larryinfishers.com/2024/12/13/fuel-shutout-allen-americans-6-0/")</f>
        <v>https://www.larryinfishers.com/2024/12/13/fuel-shutout-allen-americans-6-0/</v>
      </c>
      <c r="C83" s="1"/>
      <c r="D83" s="1" t="s">
        <v>22</v>
      </c>
      <c r="E83" s="2">
        <v>45639.907013888893</v>
      </c>
      <c r="F83" s="1" t="s">
        <v>168</v>
      </c>
      <c r="G83" s="1">
        <f t="shared" si="1"/>
        <v>30.703749999999999</v>
      </c>
      <c r="H83" s="1">
        <v>3509</v>
      </c>
      <c r="I83" s="1">
        <v>0</v>
      </c>
      <c r="J83" s="1">
        <v>0</v>
      </c>
      <c r="K83" s="1">
        <v>1</v>
      </c>
      <c r="L83" s="1" t="s">
        <v>3</v>
      </c>
      <c r="M83" s="1"/>
      <c r="N83" t="s">
        <v>258</v>
      </c>
    </row>
    <row r="84" spans="1:14" ht="105.6" x14ac:dyDescent="0.3">
      <c r="A84" s="1" t="s">
        <v>169</v>
      </c>
      <c r="B84" s="1" t="str">
        <f>HYPERLINK("https://www.oursportscentral.com/services/releases/fuel-shut-out-americans-6-0-on-eras-night/n-6173167")</f>
        <v>https://www.oursportscentral.com/services/releases/fuel-shut-out-americans-6-0-on-eras-night/n-6173167</v>
      </c>
      <c r="C84" s="1"/>
      <c r="D84" s="1" t="s">
        <v>2</v>
      </c>
      <c r="E84" s="2">
        <v>45639.691666666673</v>
      </c>
      <c r="F84" s="1" t="s">
        <v>170</v>
      </c>
      <c r="G84" s="1">
        <f t="shared" si="1"/>
        <v>353.51749999999998</v>
      </c>
      <c r="H84" s="1">
        <v>40402</v>
      </c>
      <c r="I84" s="1">
        <v>0</v>
      </c>
      <c r="J84" s="1">
        <v>0</v>
      </c>
      <c r="K84" s="1">
        <v>0</v>
      </c>
      <c r="L84" s="1" t="s">
        <v>1</v>
      </c>
      <c r="M84" s="1"/>
      <c r="N84" t="s">
        <v>257</v>
      </c>
    </row>
    <row r="85" spans="1:14" ht="184.8" x14ac:dyDescent="0.3">
      <c r="A85" s="1" t="s">
        <v>171</v>
      </c>
      <c r="B85" s="1" t="str">
        <f>HYPERLINK("https://www.oursportscentral.com/services/releases/americans-blanked-by-indy-6-0/n-6173111")</f>
        <v>https://www.oursportscentral.com/services/releases/americans-blanked-by-indy-6-0/n-6173111</v>
      </c>
      <c r="C85" s="1"/>
      <c r="D85" s="1" t="s">
        <v>2</v>
      </c>
      <c r="E85" s="2">
        <v>45639.632638888892</v>
      </c>
      <c r="F85" s="1" t="s">
        <v>172</v>
      </c>
      <c r="G85" s="1">
        <f t="shared" si="1"/>
        <v>353.51749999999998</v>
      </c>
      <c r="H85" s="1">
        <v>40402</v>
      </c>
      <c r="I85" s="1">
        <v>0</v>
      </c>
      <c r="J85" s="1">
        <v>0</v>
      </c>
      <c r="K85" s="1">
        <v>0</v>
      </c>
      <c r="L85" s="1" t="s">
        <v>1</v>
      </c>
      <c r="M85" s="1"/>
      <c r="N85" t="s">
        <v>257</v>
      </c>
    </row>
    <row r="86" spans="1:14" ht="250.8" x14ac:dyDescent="0.3">
      <c r="A86" s="1" t="s">
        <v>13</v>
      </c>
      <c r="B86" s="1" t="str">
        <f>HYPERLINK("https://www.heraldbulletin.com/sports/coming-up/article_6b8a0db6-b8a6-11ef-8189-ff0052907d57.html")</f>
        <v>https://www.heraldbulletin.com/sports/coming-up/article_6b8a0db6-b8a6-11ef-8189-ff0052907d57.html</v>
      </c>
      <c r="C86" s="1"/>
      <c r="D86" s="1" t="s">
        <v>14</v>
      </c>
      <c r="E86" s="2">
        <v>45639.331435185188</v>
      </c>
      <c r="F86" s="1" t="s">
        <v>173</v>
      </c>
      <c r="G86" s="1">
        <f t="shared" si="1"/>
        <v>439.77499999999998</v>
      </c>
      <c r="H86" s="1">
        <v>50260</v>
      </c>
      <c r="I86" s="1">
        <v>0</v>
      </c>
      <c r="J86" s="1">
        <v>0</v>
      </c>
      <c r="K86" s="1">
        <v>1</v>
      </c>
      <c r="L86" s="1" t="s">
        <v>3</v>
      </c>
      <c r="M86" s="1"/>
      <c r="N86" t="s">
        <v>258</v>
      </c>
    </row>
    <row r="87" spans="1:14" ht="224.4" x14ac:dyDescent="0.3">
      <c r="A87" s="1" t="s">
        <v>174</v>
      </c>
      <c r="B87" s="1" t="str">
        <f>HYPERLINK("https://www.oursportscentral.com/services/releases/americans-open-the-weekend-in-indianapolis/n-6172903")</f>
        <v>https://www.oursportscentral.com/services/releases/americans-open-the-weekend-in-indianapolis/n-6172903</v>
      </c>
      <c r="C87" s="1"/>
      <c r="D87" s="1" t="s">
        <v>2</v>
      </c>
      <c r="E87" s="2">
        <v>45639.11041666667</v>
      </c>
      <c r="F87" s="1" t="s">
        <v>175</v>
      </c>
      <c r="G87" s="1">
        <f t="shared" si="1"/>
        <v>353.51749999999998</v>
      </c>
      <c r="H87" s="1">
        <v>40402</v>
      </c>
      <c r="I87" s="1">
        <v>0</v>
      </c>
      <c r="J87" s="1">
        <v>0</v>
      </c>
      <c r="K87" s="1">
        <v>0</v>
      </c>
      <c r="L87" s="1" t="s">
        <v>1</v>
      </c>
      <c r="M87" s="1"/>
      <c r="N87" t="s">
        <v>257</v>
      </c>
    </row>
    <row r="88" spans="1:14" ht="158.4" x14ac:dyDescent="0.3">
      <c r="A88" s="1" t="s">
        <v>176</v>
      </c>
      <c r="B88" s="1" t="str">
        <f>HYPERLINK("https://www.axios.com/local/indianapolis/2024/12/12/indianapolis-weekend-events-indy-classic-classic-christmas")</f>
        <v>https://www.axios.com/local/indianapolis/2024/12/12/indianapolis-weekend-events-indy-classic-classic-christmas</v>
      </c>
      <c r="C88" s="1"/>
      <c r="D88" s="1" t="s">
        <v>177</v>
      </c>
      <c r="E88" s="2">
        <v>45638.669791666667</v>
      </c>
      <c r="F88" s="1" t="s">
        <v>178</v>
      </c>
      <c r="G88" s="1">
        <f t="shared" si="1"/>
        <v>126441.72624999999</v>
      </c>
      <c r="H88" s="1">
        <v>14450483</v>
      </c>
      <c r="I88" s="1">
        <v>0</v>
      </c>
      <c r="J88" s="1">
        <v>0</v>
      </c>
      <c r="K88" s="1">
        <v>0</v>
      </c>
      <c r="L88" s="1" t="s">
        <v>1</v>
      </c>
      <c r="M88" s="1"/>
      <c r="N88" t="s">
        <v>258</v>
      </c>
    </row>
    <row r="89" spans="1:14" ht="224.4" x14ac:dyDescent="0.3">
      <c r="A89" s="1" t="s">
        <v>13</v>
      </c>
      <c r="B89" s="1" t="str">
        <f>HYPERLINK("https://www.heraldbulletin.com/sports/coming-up/article_f6efad3e-b7e3-11ef-bab1-37e60aa1bd35.html")</f>
        <v>https://www.heraldbulletin.com/sports/coming-up/article_f6efad3e-b7e3-11ef-bab1-37e60aa1bd35.html</v>
      </c>
      <c r="C89" s="1"/>
      <c r="D89" s="1" t="s">
        <v>14</v>
      </c>
      <c r="E89" s="2">
        <v>45638.298784722218</v>
      </c>
      <c r="F89" s="1" t="s">
        <v>179</v>
      </c>
      <c r="G89" s="1">
        <f t="shared" si="1"/>
        <v>439.77499999999998</v>
      </c>
      <c r="H89" s="1">
        <v>50260</v>
      </c>
      <c r="I89" s="1">
        <v>0</v>
      </c>
      <c r="J89" s="1">
        <v>0</v>
      </c>
      <c r="K89" s="1">
        <v>1</v>
      </c>
      <c r="L89" s="1" t="s">
        <v>1</v>
      </c>
      <c r="M89" s="1"/>
      <c r="N89" t="s">
        <v>258</v>
      </c>
    </row>
    <row r="90" spans="1:14" ht="171.6" x14ac:dyDescent="0.3">
      <c r="A90" s="1" t="s">
        <v>13</v>
      </c>
      <c r="B90" s="1" t="str">
        <f>HYPERLINK("https://www.heraldbulletin.com/sports/coming-up/article_aa1a14ce-b73c-11ef-a61a-a7eb418af79e.html")</f>
        <v>https://www.heraldbulletin.com/sports/coming-up/article_aa1a14ce-b73c-11ef-a61a-a7eb418af79e.html</v>
      </c>
      <c r="C90" s="1"/>
      <c r="D90" s="1" t="s">
        <v>14</v>
      </c>
      <c r="E90" s="2">
        <v>45637.308761574073</v>
      </c>
      <c r="F90" s="1" t="s">
        <v>180</v>
      </c>
      <c r="G90" s="1">
        <f t="shared" si="1"/>
        <v>439.77499999999998</v>
      </c>
      <c r="H90" s="1">
        <v>50260</v>
      </c>
      <c r="I90" s="1">
        <v>0</v>
      </c>
      <c r="J90" s="1">
        <v>0</v>
      </c>
      <c r="K90" s="1">
        <v>19</v>
      </c>
      <c r="L90" s="1" t="s">
        <v>1</v>
      </c>
      <c r="M90" s="1"/>
      <c r="N90" t="s">
        <v>258</v>
      </c>
    </row>
    <row r="91" spans="1:14" ht="105.6" x14ac:dyDescent="0.3">
      <c r="A91" s="1" t="s">
        <v>181</v>
      </c>
      <c r="B91" s="1" t="str">
        <f>HYPERLINK("https://www.therinklive.com/sports/pro/iowa-heartlanders-win-against-indy-fuel-in-overtime-20241211050742")</f>
        <v>https://www.therinklive.com/sports/pro/iowa-heartlanders-win-against-indy-fuel-in-overtime-20241211050742</v>
      </c>
      <c r="C91" s="1"/>
      <c r="D91" s="1" t="s">
        <v>39</v>
      </c>
      <c r="E91" s="2">
        <v>45637.277384259258</v>
      </c>
      <c r="F91" s="1" t="s">
        <v>182</v>
      </c>
      <c r="G91" s="1">
        <f t="shared" si="1"/>
        <v>146.47499999999999</v>
      </c>
      <c r="H91" s="1">
        <v>16740</v>
      </c>
      <c r="I91" s="1">
        <v>0</v>
      </c>
      <c r="J91" s="1">
        <v>0</v>
      </c>
      <c r="K91" s="1">
        <v>0</v>
      </c>
      <c r="L91" s="1" t="s">
        <v>3</v>
      </c>
      <c r="M91" s="1"/>
      <c r="N91" t="s">
        <v>257</v>
      </c>
    </row>
    <row r="92" spans="1:14" ht="79.2" x14ac:dyDescent="0.3">
      <c r="A92" s="1" t="s">
        <v>183</v>
      </c>
      <c r="B92" s="1" t="str">
        <f>HYPERLINK("https://www.youarecurrent.com/2024/12/10/home-base-indy-fuel-plays-to-a-sold-out-crowd-at-first-fishers-event-center-hockey-game/")</f>
        <v>https://www.youarecurrent.com/2024/12/10/home-base-indy-fuel-plays-to-a-sold-out-crowd-at-first-fishers-event-center-hockey-game/</v>
      </c>
      <c r="C92" s="1" t="s">
        <v>184</v>
      </c>
      <c r="D92" s="1" t="s">
        <v>8</v>
      </c>
      <c r="E92" s="2">
        <v>45636.565937500003</v>
      </c>
      <c r="F92" s="1" t="s">
        <v>185</v>
      </c>
      <c r="G92" s="1">
        <f t="shared" si="1"/>
        <v>371.91874999999999</v>
      </c>
      <c r="H92" s="1">
        <v>42505</v>
      </c>
      <c r="I92" s="1">
        <v>0</v>
      </c>
      <c r="J92" s="1">
        <v>0</v>
      </c>
      <c r="K92" s="1">
        <v>12</v>
      </c>
      <c r="L92" s="1" t="s">
        <v>3</v>
      </c>
      <c r="M92" s="1"/>
      <c r="N92" t="s">
        <v>258</v>
      </c>
    </row>
    <row r="93" spans="1:14" ht="105.6" x14ac:dyDescent="0.3">
      <c r="A93" s="1" t="s">
        <v>13</v>
      </c>
      <c r="B93" s="1" t="str">
        <f>HYPERLINK("https://www.heraldbulletin.com/sports/coming-up/article_6fe900c0-b67a-11ef-966c-ff10042e1b71.html")</f>
        <v>https://www.heraldbulletin.com/sports/coming-up/article_6fe900c0-b67a-11ef-966c-ff10042e1b71.html</v>
      </c>
      <c r="C93" s="1"/>
      <c r="D93" s="1" t="s">
        <v>14</v>
      </c>
      <c r="E93" s="2">
        <v>45636.303749999999</v>
      </c>
      <c r="F93" s="1" t="s">
        <v>186</v>
      </c>
      <c r="G93" s="1">
        <f t="shared" si="1"/>
        <v>439.77499999999998</v>
      </c>
      <c r="H93" s="1">
        <v>50260</v>
      </c>
      <c r="I93" s="1">
        <v>0</v>
      </c>
      <c r="J93" s="1">
        <v>0</v>
      </c>
      <c r="K93" s="1">
        <v>6</v>
      </c>
      <c r="L93" s="1" t="s">
        <v>3</v>
      </c>
      <c r="M93" s="1"/>
      <c r="N93" t="s">
        <v>258</v>
      </c>
    </row>
    <row r="94" spans="1:14" ht="211.2" x14ac:dyDescent="0.3">
      <c r="A94" s="1" t="s">
        <v>187</v>
      </c>
      <c r="B94" s="1" t="str">
        <f>HYPERLINK("https://indyfuelhockey.com/news/2024/12/indy-fuel-pit-stop-week-8")</f>
        <v>https://indyfuelhockey.com/news/2024/12/indy-fuel-pit-stop-week-8</v>
      </c>
      <c r="C94" s="1"/>
      <c r="D94" s="1" t="s">
        <v>154</v>
      </c>
      <c r="E94" s="2">
        <v>45635.60087962963</v>
      </c>
      <c r="F94" s="1" t="s">
        <v>188</v>
      </c>
      <c r="G94" s="1">
        <f t="shared" si="1"/>
        <v>0</v>
      </c>
      <c r="H94" s="1"/>
      <c r="I94" s="1">
        <v>1</v>
      </c>
      <c r="J94" s="1">
        <v>840</v>
      </c>
      <c r="K94" s="1">
        <v>1</v>
      </c>
      <c r="L94" s="1" t="s">
        <v>6</v>
      </c>
      <c r="M94" s="1"/>
      <c r="N94" t="s">
        <v>258</v>
      </c>
    </row>
    <row r="95" spans="1:14" ht="158.4" x14ac:dyDescent="0.3">
      <c r="A95" s="1" t="s">
        <v>189</v>
      </c>
      <c r="B95" s="1" t="str">
        <f>HYPERLINK("https://www.larryinfishers.com/2024/12/08/a-few-random-thoughts/")</f>
        <v>https://www.larryinfishers.com/2024/12/08/a-few-random-thoughts/</v>
      </c>
      <c r="C95" s="1"/>
      <c r="D95" s="1" t="s">
        <v>22</v>
      </c>
      <c r="E95" s="2">
        <v>45634.953738425917</v>
      </c>
      <c r="F95" s="1" t="s">
        <v>190</v>
      </c>
      <c r="G95" s="1">
        <f t="shared" si="1"/>
        <v>30.703749999999999</v>
      </c>
      <c r="H95" s="1">
        <v>3509</v>
      </c>
      <c r="I95" s="1">
        <v>0</v>
      </c>
      <c r="J95" s="1">
        <v>0</v>
      </c>
      <c r="K95" s="1">
        <v>4</v>
      </c>
      <c r="L95" s="1" t="s">
        <v>1</v>
      </c>
      <c r="M95" s="1"/>
      <c r="N95" t="s">
        <v>258</v>
      </c>
    </row>
    <row r="96" spans="1:14" ht="224.4" x14ac:dyDescent="0.3">
      <c r="A96" s="1" t="s">
        <v>193</v>
      </c>
      <c r="B96" s="1" t="str">
        <f>HYPERLINK("https://www.larryinfishers.com/2024/12/07/another-tough-loss-for-the-indy-fuel/")</f>
        <v>https://www.larryinfishers.com/2024/12/07/another-tough-loss-for-the-indy-fuel/</v>
      </c>
      <c r="C96" s="1"/>
      <c r="D96" s="1" t="s">
        <v>22</v>
      </c>
      <c r="E96" s="2">
        <v>45633.91883101852</v>
      </c>
      <c r="F96" s="1" t="s">
        <v>194</v>
      </c>
      <c r="G96" s="1">
        <f t="shared" si="1"/>
        <v>30.703749999999999</v>
      </c>
      <c r="H96" s="1">
        <v>3509</v>
      </c>
      <c r="I96" s="1">
        <v>0</v>
      </c>
      <c r="J96" s="1">
        <v>0</v>
      </c>
      <c r="K96" s="1">
        <v>12</v>
      </c>
      <c r="L96" s="1" t="s">
        <v>6</v>
      </c>
      <c r="M96" s="1"/>
      <c r="N96" t="s">
        <v>258</v>
      </c>
    </row>
    <row r="97" spans="1:14" ht="224.4" x14ac:dyDescent="0.3">
      <c r="A97" s="1" t="s">
        <v>195</v>
      </c>
      <c r="B97" s="1" t="str">
        <f>HYPERLINK("https://www.oursportscentral.com/services/releases/fuel-earn-point-in-overtime-battle-with-heartlanders/n-6171458")</f>
        <v>https://www.oursportscentral.com/services/releases/fuel-earn-point-in-overtime-battle-with-heartlanders/n-6171458</v>
      </c>
      <c r="C97" s="1"/>
      <c r="D97" s="1" t="s">
        <v>2</v>
      </c>
      <c r="E97" s="2">
        <v>45633.810416666667</v>
      </c>
      <c r="F97" s="1" t="s">
        <v>196</v>
      </c>
      <c r="G97" s="1">
        <f t="shared" si="1"/>
        <v>353.51749999999998</v>
      </c>
      <c r="H97" s="1">
        <v>40402</v>
      </c>
      <c r="I97" s="1">
        <v>0</v>
      </c>
      <c r="J97" s="1">
        <v>0</v>
      </c>
      <c r="K97" s="1">
        <v>0</v>
      </c>
      <c r="L97" s="1" t="s">
        <v>6</v>
      </c>
      <c r="M97" s="1"/>
      <c r="N97" t="s">
        <v>257</v>
      </c>
    </row>
    <row r="98" spans="1:14" ht="145.19999999999999" x14ac:dyDescent="0.3">
      <c r="A98" s="1" t="s">
        <v>197</v>
      </c>
      <c r="B98" s="1" t="str">
        <f>HYPERLINK("https://sports.yahoo.com/heartlanders-spoil-indys-home-opener-160000355.html")</f>
        <v>https://sports.yahoo.com/heartlanders-spoil-indys-home-opener-160000355.html</v>
      </c>
      <c r="C98" s="1" t="s">
        <v>198</v>
      </c>
      <c r="D98" s="1" t="s">
        <v>57</v>
      </c>
      <c r="E98" s="2">
        <v>45633.458333333343</v>
      </c>
      <c r="F98" s="1" t="s">
        <v>199</v>
      </c>
      <c r="G98" s="1">
        <f t="shared" si="1"/>
        <v>202758.57874999999</v>
      </c>
      <c r="H98" s="1">
        <v>23172409</v>
      </c>
      <c r="I98" s="1">
        <v>0</v>
      </c>
      <c r="J98" s="1">
        <v>0</v>
      </c>
      <c r="K98" s="1">
        <v>0</v>
      </c>
      <c r="L98" s="1" t="s">
        <v>1</v>
      </c>
      <c r="M98" s="1"/>
      <c r="N98" t="s">
        <v>257</v>
      </c>
    </row>
    <row r="99" spans="1:14" ht="145.19999999999999" x14ac:dyDescent="0.3">
      <c r="A99" s="1" t="s">
        <v>197</v>
      </c>
      <c r="B99" s="1" t="str">
        <f>HYPERLINK("https://ca.sports.yahoo.com/news/heartlanders-spoil-indys-home-opener-160000355.html")</f>
        <v>https://ca.sports.yahoo.com/news/heartlanders-spoil-indys-home-opener-160000355.html</v>
      </c>
      <c r="C99" s="1" t="s">
        <v>198</v>
      </c>
      <c r="D99" s="1" t="s">
        <v>56</v>
      </c>
      <c r="E99" s="2">
        <v>45633.458333333343</v>
      </c>
      <c r="F99" s="1" t="s">
        <v>199</v>
      </c>
      <c r="G99" s="1">
        <f t="shared" si="1"/>
        <v>5428.6137499999995</v>
      </c>
      <c r="H99" s="1">
        <v>620413</v>
      </c>
      <c r="I99" s="1">
        <v>0</v>
      </c>
      <c r="J99" s="1">
        <v>0</v>
      </c>
      <c r="K99" s="1">
        <v>0</v>
      </c>
      <c r="L99" s="1" t="s">
        <v>1</v>
      </c>
      <c r="M99" s="1"/>
      <c r="N99" t="s">
        <v>257</v>
      </c>
    </row>
    <row r="100" spans="1:14" ht="184.8" x14ac:dyDescent="0.3">
      <c r="A100" s="1" t="s">
        <v>13</v>
      </c>
      <c r="B100" s="1" t="str">
        <f>HYPERLINK("https://www.heraldbulletin.com/sports/coming-up/article_4715a7ce-b414-11ef-af23-cf8e6937ff40.html")</f>
        <v>https://www.heraldbulletin.com/sports/coming-up/article_4715a7ce-b414-11ef-af23-cf8e6937ff40.html</v>
      </c>
      <c r="C100" s="1"/>
      <c r="D100" s="1" t="s">
        <v>14</v>
      </c>
      <c r="E100" s="2">
        <v>45633.299166666657</v>
      </c>
      <c r="F100" s="1" t="s">
        <v>200</v>
      </c>
      <c r="G100" s="1">
        <f t="shared" si="1"/>
        <v>439.77499999999998</v>
      </c>
      <c r="H100" s="1">
        <v>50260</v>
      </c>
      <c r="I100" s="1">
        <v>0</v>
      </c>
      <c r="J100" s="1">
        <v>0</v>
      </c>
      <c r="K100" s="1">
        <v>4</v>
      </c>
      <c r="L100" s="1" t="s">
        <v>3</v>
      </c>
      <c r="M100" s="1"/>
      <c r="N100" t="s">
        <v>258</v>
      </c>
    </row>
    <row r="101" spans="1:14" ht="409.6" x14ac:dyDescent="0.3">
      <c r="A101" s="1" t="s">
        <v>201</v>
      </c>
      <c r="B101" s="1" t="str">
        <f>HYPERLINK("https://www.therinklive.com/sports/pro/iowa-heartlanders-beat-indy-fuel-and-continue-winning-run-20241207010942")</f>
        <v>https://www.therinklive.com/sports/pro/iowa-heartlanders-beat-indy-fuel-and-continue-winning-run-20241207010942</v>
      </c>
      <c r="C101" s="1"/>
      <c r="D101" s="1" t="s">
        <v>39</v>
      </c>
      <c r="E101" s="2">
        <v>45633.108877314808</v>
      </c>
      <c r="F101" s="1" t="s">
        <v>202</v>
      </c>
      <c r="G101" s="1">
        <f t="shared" si="1"/>
        <v>146.47499999999999</v>
      </c>
      <c r="H101" s="1">
        <v>16740</v>
      </c>
      <c r="I101" s="1">
        <v>0</v>
      </c>
      <c r="J101" s="1">
        <v>0</v>
      </c>
      <c r="K101" s="1">
        <v>0</v>
      </c>
      <c r="L101" s="1" t="s">
        <v>3</v>
      </c>
      <c r="M101" s="1"/>
      <c r="N101" t="s">
        <v>257</v>
      </c>
    </row>
    <row r="102" spans="1:14" ht="198" x14ac:dyDescent="0.3">
      <c r="A102" s="1" t="s">
        <v>203</v>
      </c>
      <c r="B102" s="1" t="str">
        <f>HYPERLINK("https://www.1630kcjj.com/2024/12/06/iowa-overcomes-two-goal-deficit-to-spoil-indys-home-opener-4-3/")</f>
        <v>https://www.1630kcjj.com/2024/12/06/iowa-overcomes-two-goal-deficit-to-spoil-indys-home-opener-4-3/</v>
      </c>
      <c r="C102" s="1" t="s">
        <v>191</v>
      </c>
      <c r="D102" s="1" t="s">
        <v>192</v>
      </c>
      <c r="E102" s="2">
        <v>45632.958749999998</v>
      </c>
      <c r="F102" s="1" t="s">
        <v>204</v>
      </c>
      <c r="G102" s="1">
        <f t="shared" si="1"/>
        <v>105.34125</v>
      </c>
      <c r="H102" s="1">
        <v>12039</v>
      </c>
      <c r="I102" s="1">
        <v>0</v>
      </c>
      <c r="J102" s="1">
        <v>0</v>
      </c>
      <c r="K102" s="1">
        <v>14</v>
      </c>
      <c r="L102" s="1" t="s">
        <v>6</v>
      </c>
      <c r="M102" s="1"/>
      <c r="N102" t="s">
        <v>257</v>
      </c>
    </row>
    <row r="103" spans="1:14" ht="118.8" x14ac:dyDescent="0.3">
      <c r="A103" s="1" t="s">
        <v>205</v>
      </c>
      <c r="B103" s="1" t="str">
        <f>HYPERLINK("https://fox59.com/news/indy-fuel-plays-in-front-of-sold-out-crowd-for-first-game-at-fishers-event-center/")</f>
        <v>https://fox59.com/news/indy-fuel-plays-in-front-of-sold-out-crowd-for-first-game-at-fishers-event-center/</v>
      </c>
      <c r="C103" s="1" t="s">
        <v>206</v>
      </c>
      <c r="D103" s="1" t="s">
        <v>207</v>
      </c>
      <c r="E103" s="2">
        <v>45632.923888888887</v>
      </c>
      <c r="F103" s="1" t="s">
        <v>208</v>
      </c>
      <c r="G103" s="1">
        <f t="shared" si="1"/>
        <v>11829.34375</v>
      </c>
      <c r="H103" s="1">
        <v>1351925</v>
      </c>
      <c r="I103" s="1">
        <v>0</v>
      </c>
      <c r="J103" s="1">
        <v>0</v>
      </c>
      <c r="K103" s="1">
        <v>756</v>
      </c>
      <c r="L103" s="1" t="s">
        <v>3</v>
      </c>
      <c r="M103" s="1"/>
      <c r="N103" t="s">
        <v>258</v>
      </c>
    </row>
    <row r="104" spans="1:14" ht="118.8" x14ac:dyDescent="0.3">
      <c r="A104" s="1" t="s">
        <v>205</v>
      </c>
      <c r="B104" s="1" t="str">
        <f>HYPERLINK("https://cbs4indy.com/news/indy-fuel-plays-in-front-of-sold-out-crowd-for-first-game-at-fishers-event-center/")</f>
        <v>https://cbs4indy.com/news/indy-fuel-plays-in-front-of-sold-out-crowd-for-first-game-at-fishers-event-center/</v>
      </c>
      <c r="C104" s="1" t="s">
        <v>206</v>
      </c>
      <c r="D104" s="1" t="s">
        <v>209</v>
      </c>
      <c r="E104" s="2">
        <v>45632.92359953704</v>
      </c>
      <c r="F104" s="1" t="s">
        <v>210</v>
      </c>
      <c r="G104" s="1">
        <f t="shared" si="1"/>
        <v>1345.0674999999999</v>
      </c>
      <c r="H104" s="1">
        <v>153722</v>
      </c>
      <c r="I104" s="1">
        <v>0</v>
      </c>
      <c r="J104" s="1">
        <v>0</v>
      </c>
      <c r="K104" s="1">
        <v>49</v>
      </c>
      <c r="L104" s="1" t="s">
        <v>3</v>
      </c>
      <c r="M104" s="1"/>
      <c r="N104" t="s">
        <v>258</v>
      </c>
    </row>
    <row r="105" spans="1:14" ht="132" x14ac:dyDescent="0.3">
      <c r="A105" s="1" t="s">
        <v>211</v>
      </c>
      <c r="B105" s="1" t="str">
        <f>HYPERLINK("https://www.oursportscentral.com/services/releases/fuel-sell-out-home-opener-fall-to-iowa/n-6171215")</f>
        <v>https://www.oursportscentral.com/services/releases/fuel-sell-out-home-opener-fall-to-iowa/n-6171215</v>
      </c>
      <c r="C105" s="1"/>
      <c r="D105" s="1" t="s">
        <v>2</v>
      </c>
      <c r="E105" s="2">
        <v>45632.879166666673</v>
      </c>
      <c r="F105" s="1" t="s">
        <v>212</v>
      </c>
      <c r="G105" s="1">
        <f t="shared" si="1"/>
        <v>353.51749999999998</v>
      </c>
      <c r="H105" s="1">
        <v>40402</v>
      </c>
      <c r="I105" s="1">
        <v>0</v>
      </c>
      <c r="J105" s="1">
        <v>0</v>
      </c>
      <c r="K105" s="1">
        <v>0</v>
      </c>
      <c r="L105" s="1" t="s">
        <v>6</v>
      </c>
      <c r="M105" s="1"/>
      <c r="N105" t="s">
        <v>257</v>
      </c>
    </row>
    <row r="106" spans="1:14" ht="184.8" x14ac:dyDescent="0.3">
      <c r="A106" s="1" t="s">
        <v>13</v>
      </c>
      <c r="B106" s="1" t="str">
        <f>HYPERLINK("https://www.heraldbulletin.com/sports/coming-up/article_42759e36-b34c-11ef-a287-e340aecb4077.html")</f>
        <v>https://www.heraldbulletin.com/sports/coming-up/article_42759e36-b34c-11ef-a287-e340aecb4077.html</v>
      </c>
      <c r="C106" s="1"/>
      <c r="D106" s="1" t="s">
        <v>14</v>
      </c>
      <c r="E106" s="2">
        <v>45632.305196759262</v>
      </c>
      <c r="F106" s="1" t="s">
        <v>213</v>
      </c>
      <c r="G106" s="1">
        <f t="shared" si="1"/>
        <v>439.77499999999998</v>
      </c>
      <c r="H106" s="1">
        <v>50260</v>
      </c>
      <c r="I106" s="1">
        <v>0</v>
      </c>
      <c r="J106" s="1">
        <v>0</v>
      </c>
      <c r="K106" s="1">
        <v>12</v>
      </c>
      <c r="L106" s="1" t="s">
        <v>3</v>
      </c>
      <c r="M106" s="1"/>
      <c r="N106" t="s">
        <v>258</v>
      </c>
    </row>
    <row r="107" spans="1:14" ht="211.2" x14ac:dyDescent="0.3">
      <c r="A107" s="1" t="s">
        <v>214</v>
      </c>
      <c r="B107" s="1" t="str">
        <f>HYPERLINK("https://www.wrtv.com/marketplace/contests/indy-fuel-sweepstakes")</f>
        <v>https://www.wrtv.com/marketplace/contests/indy-fuel-sweepstakes</v>
      </c>
      <c r="C107" s="1"/>
      <c r="D107" s="1" t="s">
        <v>107</v>
      </c>
      <c r="E107" s="2">
        <v>45632.016863425917</v>
      </c>
      <c r="F107" s="1" t="s">
        <v>215</v>
      </c>
      <c r="G107" s="1">
        <f t="shared" si="1"/>
        <v>2542.9775</v>
      </c>
      <c r="H107" s="1">
        <v>290626</v>
      </c>
      <c r="I107" s="1">
        <v>0</v>
      </c>
      <c r="J107" s="1">
        <v>0</v>
      </c>
      <c r="K107" s="1">
        <v>0</v>
      </c>
      <c r="L107" s="1" t="s">
        <v>3</v>
      </c>
      <c r="M107" s="1"/>
      <c r="N107" t="s">
        <v>258</v>
      </c>
    </row>
    <row r="108" spans="1:14" ht="132" x14ac:dyDescent="0.3">
      <c r="A108" s="1" t="s">
        <v>216</v>
      </c>
      <c r="B108" s="1" t="str">
        <f>HYPERLINK("https://ca.sports.yahoo.com/news/adirondack-acquires-sam-ruffin-indy-223102638.html")</f>
        <v>https://ca.sports.yahoo.com/news/adirondack-acquires-sam-ruffin-indy-223102638.html</v>
      </c>
      <c r="C108" s="1" t="s">
        <v>198</v>
      </c>
      <c r="D108" s="1" t="s">
        <v>56</v>
      </c>
      <c r="E108" s="2">
        <v>45631.800983796304</v>
      </c>
      <c r="F108" s="1" t="s">
        <v>217</v>
      </c>
      <c r="G108" s="1">
        <f t="shared" si="1"/>
        <v>5428.6137499999995</v>
      </c>
      <c r="H108" s="1">
        <v>620413</v>
      </c>
      <c r="I108" s="1">
        <v>0</v>
      </c>
      <c r="J108" s="1">
        <v>0</v>
      </c>
      <c r="K108" s="1">
        <v>0</v>
      </c>
      <c r="L108" s="1" t="s">
        <v>3</v>
      </c>
      <c r="M108" s="1"/>
      <c r="N108" t="s">
        <v>259</v>
      </c>
    </row>
    <row r="109" spans="1:14" ht="132" x14ac:dyDescent="0.3">
      <c r="A109" s="1" t="s">
        <v>216</v>
      </c>
      <c r="B109" s="1" t="str">
        <f>HYPERLINK("https://sports.yahoo.com/adirondack-acquires-sam-ruffin-indy-223102638.html")</f>
        <v>https://sports.yahoo.com/adirondack-acquires-sam-ruffin-indy-223102638.html</v>
      </c>
      <c r="C109" s="1" t="s">
        <v>198</v>
      </c>
      <c r="D109" s="1" t="s">
        <v>57</v>
      </c>
      <c r="E109" s="2">
        <v>45631.729884259257</v>
      </c>
      <c r="F109" s="1" t="s">
        <v>217</v>
      </c>
      <c r="G109" s="1">
        <f t="shared" si="1"/>
        <v>202758.57874999999</v>
      </c>
      <c r="H109" s="1">
        <v>23172409</v>
      </c>
      <c r="I109" s="1">
        <v>0</v>
      </c>
      <c r="J109" s="1">
        <v>0</v>
      </c>
      <c r="K109" s="1">
        <v>0</v>
      </c>
      <c r="L109" s="1" t="s">
        <v>3</v>
      </c>
      <c r="M109" s="1"/>
      <c r="N109" t="s">
        <v>257</v>
      </c>
    </row>
    <row r="110" spans="1:14" ht="237.6" x14ac:dyDescent="0.3">
      <c r="A110" s="1" t="s">
        <v>218</v>
      </c>
      <c r="B110" s="1" t="str">
        <f>HYPERLINK("https://www.oursportscentral.com/services/releases/thunder-acquire-forward-sam-ruffin-from-indy-fuel/n-6170761")</f>
        <v>https://www.oursportscentral.com/services/releases/thunder-acquire-forward-sam-ruffin-from-indy-fuel/n-6170761</v>
      </c>
      <c r="C110" s="1"/>
      <c r="D110" s="1" t="s">
        <v>2</v>
      </c>
      <c r="E110" s="2">
        <v>45631.561111111107</v>
      </c>
      <c r="F110" s="1" t="s">
        <v>219</v>
      </c>
      <c r="G110" s="1">
        <f t="shared" si="1"/>
        <v>353.51749999999998</v>
      </c>
      <c r="H110" s="1">
        <v>40402</v>
      </c>
      <c r="I110" s="1">
        <v>0</v>
      </c>
      <c r="J110" s="1">
        <v>0</v>
      </c>
      <c r="K110" s="1">
        <v>0</v>
      </c>
      <c r="L110" s="1" t="s">
        <v>1</v>
      </c>
      <c r="M110" s="1"/>
      <c r="N110" t="s">
        <v>257</v>
      </c>
    </row>
    <row r="111" spans="1:14" ht="198" x14ac:dyDescent="0.3">
      <c r="A111" s="1" t="s">
        <v>220</v>
      </c>
      <c r="B111" s="1" t="str">
        <f>HYPERLINK("https://www.oursportscentral.com/services/releases/thunder-acquire-forward-sam-ruffin-from-indy/n-6170752")</f>
        <v>https://www.oursportscentral.com/services/releases/thunder-acquire-forward-sam-ruffin-from-indy/n-6170752</v>
      </c>
      <c r="C111" s="1"/>
      <c r="D111" s="1" t="s">
        <v>2</v>
      </c>
      <c r="E111" s="2">
        <v>45631.55972222222</v>
      </c>
      <c r="F111" s="1" t="s">
        <v>221</v>
      </c>
      <c r="G111" s="1">
        <f t="shared" si="1"/>
        <v>353.51749999999998</v>
      </c>
      <c r="H111" s="1">
        <v>40402</v>
      </c>
      <c r="I111" s="1">
        <v>0</v>
      </c>
      <c r="J111" s="1">
        <v>0</v>
      </c>
      <c r="K111" s="1">
        <v>0</v>
      </c>
      <c r="L111" s="1" t="s">
        <v>1</v>
      </c>
      <c r="M111" s="1"/>
      <c r="N111" t="s">
        <v>257</v>
      </c>
    </row>
    <row r="112" spans="1:14" ht="92.4" x14ac:dyDescent="0.3">
      <c r="A112" s="1" t="s">
        <v>222</v>
      </c>
      <c r="B112" s="1" t="str">
        <f>HYPERLINK("https://www.wishtv.com/sports/indy-fuel-first-home-game/")</f>
        <v>https://www.wishtv.com/sports/indy-fuel-first-home-game/</v>
      </c>
      <c r="C112" s="1" t="s">
        <v>223</v>
      </c>
      <c r="D112" s="1" t="s">
        <v>141</v>
      </c>
      <c r="E112" s="2">
        <v>45631.475960648153</v>
      </c>
      <c r="F112" s="1" t="s">
        <v>224</v>
      </c>
      <c r="G112" s="1">
        <f t="shared" si="1"/>
        <v>4971.0150000000003</v>
      </c>
      <c r="H112" s="1">
        <v>568116</v>
      </c>
      <c r="I112" s="1">
        <v>0</v>
      </c>
      <c r="J112" s="1">
        <v>0</v>
      </c>
      <c r="K112" s="1">
        <v>23</v>
      </c>
      <c r="L112" s="1" t="s">
        <v>6</v>
      </c>
      <c r="M112" s="1"/>
      <c r="N112" t="s">
        <v>258</v>
      </c>
    </row>
    <row r="113" spans="1:14" ht="105.6" x14ac:dyDescent="0.3">
      <c r="A113" s="1" t="s">
        <v>225</v>
      </c>
      <c r="B113" s="1" t="str">
        <f>HYPERLINK("https://indyfuelhockey.com/news/2024/12/fuel-to-host-historic-home-opener-in-new-arena")</f>
        <v>https://indyfuelhockey.com/news/2024/12/fuel-to-host-historic-home-opener-in-new-arena</v>
      </c>
      <c r="C113" s="1"/>
      <c r="D113" s="1" t="s">
        <v>154</v>
      </c>
      <c r="E113" s="2">
        <v>45631.462037037039</v>
      </c>
      <c r="F113" s="1" t="s">
        <v>226</v>
      </c>
      <c r="G113" s="1">
        <f t="shared" si="1"/>
        <v>0</v>
      </c>
      <c r="H113" s="1"/>
      <c r="I113" s="1">
        <v>1</v>
      </c>
      <c r="J113" s="1">
        <v>840</v>
      </c>
      <c r="K113" s="1">
        <v>1</v>
      </c>
      <c r="L113" s="1" t="s">
        <v>1</v>
      </c>
      <c r="M113" s="1"/>
      <c r="N113" t="s">
        <v>258</v>
      </c>
    </row>
    <row r="114" spans="1:14" ht="184.8" x14ac:dyDescent="0.3">
      <c r="A114" s="1" t="s">
        <v>13</v>
      </c>
      <c r="B114" s="1" t="str">
        <f>HYPERLINK("https://www.heraldbulletin.com/sports/coming-up/article_6deab874-b281-11ef-a8f5-7f5662d58c05.html")</f>
        <v>https://www.heraldbulletin.com/sports/coming-up/article_6deab874-b281-11ef-a8f5-7f5662d58c05.html</v>
      </c>
      <c r="C114" s="1"/>
      <c r="D114" s="1" t="s">
        <v>14</v>
      </c>
      <c r="E114" s="2">
        <v>45631.292199074072</v>
      </c>
      <c r="F114" s="1" t="s">
        <v>213</v>
      </c>
      <c r="G114" s="1">
        <f t="shared" si="1"/>
        <v>439.77499999999998</v>
      </c>
      <c r="H114" s="1">
        <v>50260</v>
      </c>
      <c r="I114" s="1">
        <v>0</v>
      </c>
      <c r="J114" s="1">
        <v>0</v>
      </c>
      <c r="K114" s="1">
        <v>4</v>
      </c>
      <c r="L114" s="1" t="s">
        <v>3</v>
      </c>
      <c r="M114" s="1"/>
      <c r="N114" t="s">
        <v>258</v>
      </c>
    </row>
    <row r="115" spans="1:14" ht="132" x14ac:dyDescent="0.3">
      <c r="A115" s="1" t="s">
        <v>227</v>
      </c>
      <c r="B115" s="1" t="str">
        <f>HYPERLINK("https://www.larryinfishers.com/2024/12/04/podcast-joe-zollo-director-of-digital-marketing-indy-fuel/")</f>
        <v>https://www.larryinfishers.com/2024/12/04/podcast-joe-zollo-director-of-digital-marketing-indy-fuel/</v>
      </c>
      <c r="C115" s="1"/>
      <c r="D115" s="1" t="s">
        <v>22</v>
      </c>
      <c r="E115" s="2">
        <v>45630.671458333331</v>
      </c>
      <c r="F115" s="1" t="s">
        <v>228</v>
      </c>
      <c r="G115" s="1">
        <f t="shared" si="1"/>
        <v>30.703749999999999</v>
      </c>
      <c r="H115" s="1">
        <v>3509</v>
      </c>
      <c r="I115" s="1">
        <v>0</v>
      </c>
      <c r="J115" s="1">
        <v>0</v>
      </c>
      <c r="K115" s="1">
        <v>0</v>
      </c>
      <c r="L115" s="1" t="s">
        <v>6</v>
      </c>
      <c r="M115" s="1"/>
      <c r="N115" t="s">
        <v>258</v>
      </c>
    </row>
    <row r="116" spans="1:14" ht="396" x14ac:dyDescent="0.3">
      <c r="A116" s="1" t="s">
        <v>229</v>
      </c>
      <c r="B116" s="1" t="str">
        <f>HYPERLINK("https://indytoday.6amcity.com/sports/indy-fuel-make-debut-at-new-fishers-event-center")</f>
        <v>https://indytoday.6amcity.com/sports/indy-fuel-make-debut-at-new-fishers-event-center</v>
      </c>
      <c r="C116" s="1" t="s">
        <v>230</v>
      </c>
      <c r="D116" s="1" t="s">
        <v>231</v>
      </c>
      <c r="E116" s="2">
        <v>45630.628993055558</v>
      </c>
      <c r="F116" s="1" t="s">
        <v>232</v>
      </c>
      <c r="G116" s="1">
        <f t="shared" si="1"/>
        <v>128.91375000000002</v>
      </c>
      <c r="H116" s="1">
        <v>14733</v>
      </c>
      <c r="I116" s="1">
        <v>0</v>
      </c>
      <c r="J116" s="1">
        <v>0</v>
      </c>
      <c r="K116" s="1">
        <v>1</v>
      </c>
      <c r="L116" s="1" t="s">
        <v>1</v>
      </c>
      <c r="M116" s="1"/>
      <c r="N116" t="s">
        <v>258</v>
      </c>
    </row>
    <row r="117" spans="1:14" ht="184.8" x14ac:dyDescent="0.3">
      <c r="A117" s="1" t="s">
        <v>13</v>
      </c>
      <c r="B117" s="1" t="str">
        <f>HYPERLINK("https://www.heraldbulletin.com/sports/coming-up/article_a16a5cc4-b1ad-11ef-9541-3ff610a2e7e1.html")</f>
        <v>https://www.heraldbulletin.com/sports/coming-up/article_a16a5cc4-b1ad-11ef-9541-3ff610a2e7e1.html</v>
      </c>
      <c r="C117" s="1"/>
      <c r="D117" s="1" t="s">
        <v>14</v>
      </c>
      <c r="E117" s="2">
        <v>45630.322893518518</v>
      </c>
      <c r="F117" s="1" t="s">
        <v>213</v>
      </c>
      <c r="G117" s="1">
        <f t="shared" si="1"/>
        <v>439.77499999999998</v>
      </c>
      <c r="H117" s="1">
        <v>50260</v>
      </c>
      <c r="I117" s="1">
        <v>0</v>
      </c>
      <c r="J117" s="1">
        <v>0</v>
      </c>
      <c r="K117" s="1">
        <v>10</v>
      </c>
      <c r="L117" s="1" t="s">
        <v>3</v>
      </c>
      <c r="M117" s="1"/>
      <c r="N117" t="s">
        <v>258</v>
      </c>
    </row>
    <row r="118" spans="1:14" ht="105.6" x14ac:dyDescent="0.3">
      <c r="A118" s="1" t="s">
        <v>13</v>
      </c>
      <c r="B118" s="1" t="str">
        <f>HYPERLINK("https://www.heraldbulletin.com/sports/coming-up/article_473e6316-b0f5-11ef-9c04-2b27f8c3cc2b.html")</f>
        <v>https://www.heraldbulletin.com/sports/coming-up/article_473e6316-b0f5-11ef-9c04-2b27f8c3cc2b.html</v>
      </c>
      <c r="C118" s="1"/>
      <c r="D118" s="1" t="s">
        <v>14</v>
      </c>
      <c r="E118" s="2">
        <v>45629.297939814824</v>
      </c>
      <c r="F118" s="1" t="s">
        <v>233</v>
      </c>
      <c r="G118" s="1">
        <f t="shared" si="1"/>
        <v>439.77499999999998</v>
      </c>
      <c r="H118" s="1">
        <v>50260</v>
      </c>
      <c r="I118" s="1">
        <v>0</v>
      </c>
      <c r="J118" s="1">
        <v>0</v>
      </c>
      <c r="K118" s="1">
        <v>42</v>
      </c>
      <c r="L118" s="1" t="s">
        <v>3</v>
      </c>
      <c r="M118" s="1"/>
      <c r="N118" t="s">
        <v>258</v>
      </c>
    </row>
    <row r="119" spans="1:14" ht="145.19999999999999" x14ac:dyDescent="0.3">
      <c r="A119" s="1" t="s">
        <v>234</v>
      </c>
      <c r="B119" s="1" t="str">
        <f>HYPERLINK("https://www.oursportscentral.com/services/releases/ghost-pirates-acquire-saigeon-from-fuel/n-6169970")</f>
        <v>https://www.oursportscentral.com/services/releases/ghost-pirates-acquire-saigeon-from-fuel/n-6169970</v>
      </c>
      <c r="C119" s="1"/>
      <c r="D119" s="1" t="s">
        <v>2</v>
      </c>
      <c r="E119" s="2">
        <v>45628.654166666667</v>
      </c>
      <c r="F119" s="1" t="s">
        <v>235</v>
      </c>
      <c r="G119" s="1">
        <f t="shared" si="1"/>
        <v>353.51749999999998</v>
      </c>
      <c r="H119" s="1">
        <v>40402</v>
      </c>
      <c r="I119" s="1">
        <v>0</v>
      </c>
      <c r="J119" s="1">
        <v>0</v>
      </c>
      <c r="K119" s="1">
        <v>0</v>
      </c>
      <c r="L119" s="1" t="s">
        <v>6</v>
      </c>
      <c r="M119" s="1"/>
      <c r="N119" t="s">
        <v>257</v>
      </c>
    </row>
    <row r="120" spans="1:14" ht="158.4" x14ac:dyDescent="0.3">
      <c r="A120" s="1" t="s">
        <v>236</v>
      </c>
      <c r="B120" s="1" t="str">
        <f>HYPERLINK("https://ca.sports.yahoo.com/news/fuel-sweep-series-against-grizzlies-170900961.html")</f>
        <v>https://ca.sports.yahoo.com/news/fuel-sweep-series-against-grizzlies-170900961.html</v>
      </c>
      <c r="C120" s="1" t="s">
        <v>198</v>
      </c>
      <c r="D120" s="1" t="s">
        <v>56</v>
      </c>
      <c r="E120" s="2">
        <v>45627.587592592587</v>
      </c>
      <c r="F120" s="1" t="s">
        <v>237</v>
      </c>
      <c r="G120" s="1">
        <f t="shared" si="1"/>
        <v>5428.6137499999995</v>
      </c>
      <c r="H120" s="1">
        <v>620413</v>
      </c>
      <c r="I120" s="1">
        <v>0</v>
      </c>
      <c r="J120" s="1">
        <v>0</v>
      </c>
      <c r="K120" s="1">
        <v>0</v>
      </c>
      <c r="L120" s="1" t="s">
        <v>6</v>
      </c>
      <c r="M120" s="1"/>
      <c r="N120" t="s">
        <v>259</v>
      </c>
    </row>
    <row r="121" spans="1:14" ht="158.4" x14ac:dyDescent="0.3">
      <c r="A121" s="1" t="s">
        <v>236</v>
      </c>
      <c r="B121" s="1" t="str">
        <f>HYPERLINK("https://sports.yahoo.com/fuel-sweep-series-against-grizzlies-170900961.html")</f>
        <v>https://sports.yahoo.com/fuel-sweep-series-against-grizzlies-170900961.html</v>
      </c>
      <c r="C121" s="1" t="s">
        <v>198</v>
      </c>
      <c r="D121" s="1" t="s">
        <v>57</v>
      </c>
      <c r="E121" s="2">
        <v>45627.506249999999</v>
      </c>
      <c r="F121" s="1" t="s">
        <v>237</v>
      </c>
      <c r="G121" s="1">
        <f t="shared" si="1"/>
        <v>202758.57874999999</v>
      </c>
      <c r="H121" s="1">
        <v>23172409</v>
      </c>
      <c r="I121" s="1">
        <v>0</v>
      </c>
      <c r="J121" s="1">
        <v>0</v>
      </c>
      <c r="K121" s="1">
        <v>0</v>
      </c>
      <c r="L121" s="1" t="s">
        <v>6</v>
      </c>
      <c r="M121" s="1"/>
      <c r="N121" t="s">
        <v>257</v>
      </c>
    </row>
    <row r="122" spans="1:14" ht="79.2" x14ac:dyDescent="0.3">
      <c r="A122" s="1" t="s">
        <v>238</v>
      </c>
      <c r="B122" s="1" t="str">
        <f>HYPERLINK("https://www.larryinfishers.com/2024/12/01/fuel-secure-series-sweep-over-grizzlies-in-fiery-finale/")</f>
        <v>https://www.larryinfishers.com/2024/12/01/fuel-secure-series-sweep-over-grizzlies-in-fiery-finale/</v>
      </c>
      <c r="C122" s="1"/>
      <c r="D122" s="1" t="s">
        <v>22</v>
      </c>
      <c r="E122" s="2">
        <v>45627.414340277777</v>
      </c>
      <c r="F122" s="1" t="s">
        <v>239</v>
      </c>
      <c r="G122" s="1">
        <f t="shared" si="1"/>
        <v>30.703749999999999</v>
      </c>
      <c r="H122" s="1">
        <v>3509</v>
      </c>
      <c r="I122" s="1">
        <v>0</v>
      </c>
      <c r="J122" s="1">
        <v>0</v>
      </c>
      <c r="K122" s="1">
        <v>1</v>
      </c>
      <c r="L122" s="1" t="s">
        <v>6</v>
      </c>
      <c r="M122" s="1"/>
      <c r="N122" t="s">
        <v>258</v>
      </c>
    </row>
    <row r="123" spans="1:14" ht="356.4" x14ac:dyDescent="0.3">
      <c r="A123" s="1" t="s">
        <v>240</v>
      </c>
      <c r="B123" s="1" t="str">
        <f>HYPERLINK("https://www.therinklive.com/sports/pro/burkes-two-goals-net-indy-fuel-victory-over-utah-grizzlies-20241201070942")</f>
        <v>https://www.therinklive.com/sports/pro/burkes-two-goals-net-indy-fuel-victory-over-utah-grizzlies-20241201070942</v>
      </c>
      <c r="C123" s="1"/>
      <c r="D123" s="1" t="s">
        <v>39</v>
      </c>
      <c r="E123" s="2">
        <v>45627.309490740743</v>
      </c>
      <c r="F123" s="1" t="s">
        <v>241</v>
      </c>
      <c r="G123" s="1">
        <f t="shared" si="1"/>
        <v>146.47499999999999</v>
      </c>
      <c r="H123" s="1">
        <v>16740</v>
      </c>
      <c r="I123" s="1">
        <v>0</v>
      </c>
      <c r="J123" s="1">
        <v>0</v>
      </c>
      <c r="K123" s="1">
        <v>0</v>
      </c>
      <c r="L123" s="1" t="s">
        <v>1</v>
      </c>
      <c r="M123" s="1"/>
      <c r="N123" t="s">
        <v>257</v>
      </c>
    </row>
    <row r="124" spans="1:14" ht="118.8" x14ac:dyDescent="0.3">
      <c r="A124" s="1" t="s">
        <v>242</v>
      </c>
      <c r="B124" s="1" t="str">
        <f>HYPERLINK("https://www.therinklive.com/sports/pro/hard-to-beat-indy-fuel-have-claimed-another-win-20241201052641")</f>
        <v>https://www.therinklive.com/sports/pro/hard-to-beat-indy-fuel-have-claimed-another-win-20241201052641</v>
      </c>
      <c r="C124" s="1"/>
      <c r="D124" s="1" t="s">
        <v>39</v>
      </c>
      <c r="E124" s="2">
        <v>45627.237372685187</v>
      </c>
      <c r="F124" s="1" t="s">
        <v>243</v>
      </c>
      <c r="G124" s="1">
        <f t="shared" si="1"/>
        <v>146.47499999999999</v>
      </c>
      <c r="H124" s="1">
        <v>16740</v>
      </c>
      <c r="I124" s="1">
        <v>0</v>
      </c>
      <c r="J124" s="1">
        <v>0</v>
      </c>
      <c r="K124" s="1">
        <v>0</v>
      </c>
      <c r="L124" s="1" t="s">
        <v>3</v>
      </c>
      <c r="M124" s="1"/>
      <c r="N124"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Brianna Stopher</dc:creator>
  <cp:lastModifiedBy>Brianna Stopher</cp:lastModifiedBy>
  <dcterms:created xsi:type="dcterms:W3CDTF">2025-06-30T14:12:48Z</dcterms:created>
  <dcterms:modified xsi:type="dcterms:W3CDTF">2025-07-21T17:27:49Z</dcterms:modified>
</cp:coreProperties>
</file>