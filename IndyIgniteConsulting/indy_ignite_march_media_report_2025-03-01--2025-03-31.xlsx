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4" documentId="13_ncr:1_{49D78255-CA75-4F16-850C-06DD275DC219}" xr6:coauthVersionLast="47" xr6:coauthVersionMax="47" xr10:uidLastSave="{FE61CA29-F039-4E8C-B6E1-B66E7B770C40}"/>
  <bookViews>
    <workbookView minimized="1" xWindow="3000" yWindow="528" windowWidth="11112" windowHeight="11808" activeTab="1"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3" l="1"/>
  <c r="N13" i="3"/>
  <c r="F13" i="3"/>
  <c r="E13" i="3"/>
  <c r="O12" i="3"/>
  <c r="N12" i="3"/>
  <c r="F12" i="3"/>
  <c r="E12" i="3"/>
  <c r="O11" i="3"/>
  <c r="N11" i="3"/>
  <c r="L11" i="3"/>
  <c r="F11" i="3"/>
  <c r="E11" i="3"/>
  <c r="O10" i="3"/>
  <c r="N10" i="3"/>
  <c r="F10" i="3"/>
  <c r="E10" i="3"/>
  <c r="O9" i="3"/>
  <c r="N9" i="3"/>
  <c r="F9" i="3"/>
  <c r="E9" i="3"/>
  <c r="O8" i="3"/>
  <c r="N8" i="3"/>
  <c r="F8" i="3"/>
  <c r="E8" i="3"/>
  <c r="O7" i="3"/>
  <c r="N7" i="3"/>
  <c r="F7" i="3"/>
  <c r="E7" i="3"/>
  <c r="O6" i="3"/>
  <c r="N6" i="3"/>
  <c r="F6" i="3"/>
  <c r="E6" i="3"/>
  <c r="O5" i="3"/>
  <c r="N5" i="3"/>
  <c r="F5" i="3"/>
  <c r="E5" i="3"/>
  <c r="O4" i="3"/>
  <c r="N4" i="3"/>
  <c r="F4" i="3"/>
  <c r="E4" i="3"/>
  <c r="O3" i="3"/>
  <c r="N3" i="3"/>
  <c r="F3" i="3"/>
  <c r="E3" i="3"/>
  <c r="O2" i="3"/>
  <c r="N2" i="3"/>
  <c r="F2" i="3"/>
  <c r="E2" i="3"/>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<sst xmlns="http://schemas.openxmlformats.org/spreadsheetml/2006/main" count="631" uniqueCount="280">
  <si>
    <t>Report</t>
  </si>
  <si>
    <t>March Media Report</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</si>
  <si>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</si>
  <si>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</si>
  <si>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</si>
  <si>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</si>
  <si>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</si>
  <si>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</si>
  <si>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</si>
  <si>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</si>
  <si>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</si>
  <si>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</si>
  <si>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</si>
  <si>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</si>
  <si>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</si>
  <si>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</si>
  <si>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</si>
  <si>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</si>
  <si>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</si>
  <si>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</si>
  <si>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</si>
  <si>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</si>
  <si>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</si>
  <si>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</si>
  <si>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Our Sports Central</t>
  </si>
  <si>
    <t>Neutral</t>
  </si>
  <si>
    <t>Positive</t>
  </si>
  <si>
    <t>Ignite Extend Win Streak to Four with Five-Set Comeback Triumph</t>
  </si>
  <si>
    <t>March 30, 2025 - Pro Volleyball Federation (PVF)
Indy Ignite News Release
ORLANDO, Fla. - The Indy Ignite continue to light it up with exciting - and winning - Pro Volleyball Federation play.</t>
  </si>
  <si>
    <t>'Dream is coming true for me:' Perry Meridian star Caitie Baird picked up by Indy Ignite</t>
  </si>
  <si>
    <t>Chat Sports</t>
  </si>
  <si>
    <t>Which makes what happened Wednesday a bit surreal for Baird, being signed with the Indy Ignite for the remainder of their 2025 season.
“I am thrilled to return to play pro volleyball in my hometown in front of my family and friends,” Baird said in a statement.</t>
  </si>
  <si>
    <t>'Dream is coming true for me:' \nPerry Meridian star Caitie Baird picked up by Indy Ignite</t>
  </si>
  <si>
    <t>IndyStar</t>
  </si>
  <si>
    <t>'Dream is coming true for me:'
Perry Meridian star Caitie Baird picked up by Indy Ignite
Show Caption
Hide Caption
Indy Ignite: 'Volleyball wouldn't be volleyball without the fans.'</t>
  </si>
  <si>
    <t>'Dream is coming true for me:' 
Perry Meridian star Caitie Baird picked up by Indy Ignite</t>
  </si>
  <si>
    <t>DJ Kamal Mustafa</t>
  </si>
  <si>
    <t>EMEA Tribune</t>
  </si>
  <si>
    <t>Dana Hunsinger Benbow</t>
  </si>
  <si>
    <t>Yahoo Sports</t>
  </si>
  <si>
    <t>Which makes what happened Wednesday a bit surreal for Baird, being signed with the Indy Ignite for the remainder of their 2025 season.
Advertisement
“I am thrilled to return to play pro volleyball in my hometown in front of my family and friends,” Baird said in a statement.</t>
  </si>
  <si>
    <t>Indy Ignite: Trailblazing professional team</t>
  </si>
  <si>
    <t>The Reflector (Indiana)</t>
  </si>
  <si>
    <t>75
The Indy Ignite have commenced their inaugural season of play, being the first and only professional volleyball team in the area.
In January 2024, the Ignite announced its brand and mascot, becoming part of the Pro Volleyball Federation.</t>
  </si>
  <si>
    <t>Hometown hero joins Indy Ignite's roster for rest of 2025 season</t>
  </si>
  <si>
    <t>WTHR-TV (Indianapolis, IN)</t>
  </si>
  <si>
    <t>INDIANAPOLIS - A familiar face is joining the elite Indy Ignite roster!
Perry Meridian High School grad and two-time All-American outside hitter at Stanford University Caitie Baird was just signed by the Ignite for the rest of the 2025 Pro Volleyball Federation season.</t>
  </si>
  <si>
    <t>Ignite Add Hometown Star Caitie Baird to Roster</t>
  </si>
  <si>
    <t>March 26, 2025 - Pro Volleyball Federation (PVF)
Indy Ignite News Release
FISHERS, Ind. - Welcome home, Caitie Baird.
The Indianapolis native and two-time All-American at Stanford has been signed by the Indy Ignite for the remainder of the 2025 Pro Volleyball Federation season.</t>
  </si>
  <si>
    <t>Hilley Named PVF Player of the Week, Second Straight for Ignite Players</t>
  </si>
  <si>
    <t>March 25, 2025 - Pro Volleyball Federation (PVF)
Indy Ignite News Release
FISHERS, Ind. - For the second week in a row and the third time this season, an Indy Ignite player has been named Pro Volleyball Federation Player of the Week presented by Franklin Sports.</t>
  </si>
  <si>
    <t>Last Week around the Leagues</t>
  </si>
  <si>
    <t>Fran Stuchbury</t>
  </si>
  <si>
    <t>OTHER SPORTS
Pro Volleyball Federation
A double-record night has earned Indy Ignite opposite hitter Azhani Tealer the nod as Pro Volleyball Federation Player of the Week. Tealer set PVF single-match records for kills (31) and points (35) in the Ignite's five-set battle with Omaha on Thursday.</t>
  </si>
  <si>
    <t>Supernovas Draw Second-Largest Crowd in Pro Volleyball History, Fall to Indy</t>
  </si>
  <si>
    <t>Omaha Supernovas</t>
  </si>
  <si>
    <t>KROR-FM (Grand Island, NE)</t>
  </si>
  <si>
    <t>Despite the historic showing, Omaha came up short, falling in straight sets to the Indy Ignite (11-8) by scores of 23-25, 23-25, 21-25.</t>
  </si>
  <si>
    <t>KQKY-FM (Kearney, NE)</t>
  </si>
  <si>
    <t>KGFW-AM (Kearney, NE)</t>
  </si>
  <si>
    <t>KSYZ-FM (Grand Island, NE)</t>
  </si>
  <si>
    <t>centralnebraskatoday.com</t>
  </si>
  <si>
    <t>Indy Ignite sweeps top-ranked Omaha Supernovas</t>
  </si>
  <si>
    <t>INDIANAPOLIS - The biggest win of the Indy Ignite's inaugural season came over the weekend against the top-ranked Omaha Supernovas!</t>
  </si>
  <si>
    <t>Final point of Indy Ignite's sweep of Omaha Supernovas</t>
  </si>
  <si>
    <t>Omaha World-Herald</t>
  </si>
  <si>
    <t>Final point of Indy Ignite's sweep of Omaha Supernovas
Video Player is loading.
Current Time 0:00
Duration -:-
Remaining Time --:-
Beginning of dialog window. Escape will cancel and close the window.</t>
  </si>
  <si>
    <t>Ignite Sweep League-Leading Omaha for Biggest Win of Season</t>
  </si>
  <si>
    <t>March 22, 2025 - Pro Volleyball Federation (PVF)
Indy Ignite News Release
OMAHA, Neb. - The Indy Ignite secured undoubtedly their biggest victory thus far in their inaugural Pro Volleyball Federation season when they swept the league-leading Omaha Supernovas tonight at CHI Health Center.</t>
  </si>
  <si>
    <t>Setting the standard, volleyball alumni who've made their mark</t>
  </si>
  <si>
    <t>BVM Sportsdesk</t>
  </si>
  <si>
    <t>BVM Sports</t>
  </si>
  <si>
    <t>Several alumni have also continued their volleyball careers post-graduation, making significant impacts in various leagues, including Crawford with Indy Ignite and Smrek in Italy.
 By the Numbers
Franklin finished her senior season with 535 kills, ranking her second in the Big Ten.</t>
  </si>
  <si>
    <t>Supernovas Host Ignite in Historic First Stripe-Out on Saturday</t>
  </si>
  <si>
    <t>Alex Hammeke</t>
  </si>
  <si>
    <t>The first-place Omaha Supernovas, Nebraska’s professional volleyball team and first Pro Volleyball Champions, will host the Indy Ignite for a Saturday night showdown in the franchise’s first-ever Stripe-Out, a marquee matchup between two of the top teams in the Pro Volleyball Federation.  </t>
  </si>
  <si>
    <t>Volleyball: Setting the standard, volleyball alumni who’ve made their mark</t>
  </si>
  <si>
    <t>Taylor Kaufmann</t>
  </si>
  <si>
    <t>The Badger Herald</t>
  </si>
  <si>
    <t>Crawford continues her volleyball career within the Indy Ignite League alongside Sydney Hilley and assistant coach Izzy Ashburn.
Crawford completed 232 Badger Blocks throughout her time at Wisconsin, averaging to 1.24 blocks per set. </t>
  </si>
  <si>
    <t>. - The first-place Omaha Supernovas, Nebraska's professional volleyball team and first Pro Volleyball Champions, will host the Indy Ignite for a Saturday night showdown in the franchise's first-ever Stripe-Out, a marquee matchup between two of the top teams in the Pro Volleyball Federation.</t>
  </si>
  <si>
    <t>Ignite Outlast Fury for Five-Set Victory</t>
  </si>
  <si>
    <t>March 21, 2025 - Pro Volleyball Federation (PVF)
Indy Ignite News Release
FISHERS, Ind. - It took longer than perhaps anticipated, but the Indy Ignite came away with an important five-set victory in tonight's Pro Volleyball Federation match against the visiting Columbus Fury.</t>
  </si>
  <si>
    <t>panhandlepost.com</t>
  </si>
  <si>
    <t>. – The first-place Omaha Supernovas, Nebraska’s professional volleyball team and first Pro Volleyball Champions, will host the Indy Ignite for a Saturday night showdown in the franchise’s first-ever Stripe-Out, a marquee matchup between two of the top teams in the Pro Volleyball Federation.  </t>
  </si>
  <si>
    <t>KOOQ-AM (North Platte, NE)</t>
  </si>
  <si>
    <t>Columbus Fury vs Indy Ignite at Fishers Event Center</t>
  </si>
  <si>
    <t>Grace Smith</t>
  </si>
  <si>
    <t>See photos as the Indy Ignite faces the Columbus Fury on Thursday, March 20, 2025, at Fishers Event Center.</t>
  </si>
  <si>
    <t>KETV-TV (Omaha, NE)</t>
  </si>
  <si>
    <t>Indy Ignite to host Youth Volleyball Night during Thursday match</t>
  </si>
  <si>
    <t>Hernan Gutierrez</t>
  </si>
  <si>
    <t>WISH-TV (Indianapolis, IN)</t>
  </si>
  <si>
    <t>INDIANAPOLIS (WISH) — The Indy Ignite is hosting a special Youth Volleyball Night during their match against the Columbus Fury on Thursday night.
It comes as the Nike Mideast Girls National Qualifier returns to the Indiana Convention Center on Friday for a weekend full of volleyball.</t>
  </si>
  <si>
    <t>Naysayer: Azhani Tealer Sets Pro Volleyball Records</t>
  </si>
  <si>
    <t>Mike Botkin</t>
  </si>
  <si>
    <t>Indianapolis Monthly</t>
  </si>
  <si>
    <t>AZHANI TEALER’S performance with the Indy Ignite women’s volleyball team is rock-solid this season. In a recent match against defending Professional Volleyball Federation champs the Omaha Supernovas, her talents were on full display.</t>
  </si>
  <si>
    <t>Ignite Youth Volleyball Night Match Comes at Perfect Time; Nike Mid-East Qualifier Participants to Swell Thursday's Crowd</t>
  </si>
  <si>
    <t>March 19, 2025 - Pro Volleyball Federation (PVF)
Indy Ignite News Release
FISHERS, Ind. - Youth Volleyball Night presented by Wells Fargo Advisors couldn't have come at a better time for the Indy Ignite.</t>
  </si>
  <si>
    <t>Fury Hit the Road to Face Ignite Thursday</t>
  </si>
  <si>
    <t>March 19, 2025 - Pro Volleyball Federation (PVF)
Columbus Fury News Release
Columbus Fury celebrate an important point
(Columbus Fury)
COLUMBUS, Ohio - The Columbus Fury (5-11) head to Indiana to face the Indy Ignite (9-8) on Thursday, March 20th at 7 p.m. at Fishers Event Center.</t>
  </si>
  <si>
    <t>Tyler Kuehl</t>
  </si>
  <si>
    <t>Record-Setting Performance Earns Ignite's Tealer PVF Player of the Week Honor</t>
  </si>
  <si>
    <t>March 18, 2025 - Pro Volleyball Federation (PVF)
Indy Ignite News Release
FISHERS, Ind. - Paced by her record-setting performance in a match last Thursday, Indy Ignite opposite hitter Azhani Tealer was today named Pro Volleyball Federation Player of the Week presented by Franklin Sports.</t>
  </si>
  <si>
    <t>The IN List 2024: 3/17-3/23</t>
  </si>
  <si>
    <t>Chelsea Kopelman</t>
  </si>
  <si>
    <t>Keeping Up in Carmel</t>
  </si>
  <si>
    <t>Indy Ignite vs. Columbus Fury:7pm. Fishers Event Center - Fishers, IN. Tickets required.
Play &amp; Tour Coxhall Gardens Children’s Garden— 11am-12pm. Take a tour of the gardens led by a naturalist who will show all the ins and outs of the gardens design. Registration required.
Indiana Pacers vs.</t>
  </si>
  <si>
    <t>Gary Stevens</t>
  </si>
  <si>
    <t>WYVN-FM (Saugatuck, MI)</t>
  </si>
  <si>
    <t>.
*** 
Anna DeBoer and Carly Skjodt each tallied 18 points as the visit0ing Indy Ignite downed the Rise in four sets yesterday.</t>
  </si>
  <si>
    <t>GVSU Advances in NCAA D2 Women’s Hoops Tournament; Red Wings on WHTC Today</t>
  </si>
  <si>
    <t>WHTC-AM (Holland , MI)</t>
  </si>
  <si>
    <t>McKenzy Parsons</t>
  </si>
  <si>
    <t>Ignite Rise to the Occasion, Claim Comeback Win at Grand Rapids</t>
  </si>
  <si>
    <t>March 15, 2025 - Pro Volleyball Federation (PVF)
Indy Ignite News Release
GRAND RAPIDS, Mich. - The tenacity of the Indy Ignite shined bright in their comeback victory today at Grand Rapids.</t>
  </si>
  <si>
    <t>Snyder Sets New Rise Ace Record, Indy Captures Matinee Win</t>
  </si>
  <si>
    <t>However, the milestone wasn't enough to stop the Indy Ignite from spoiling the Saturday afternoon Princess Day party inside Van Andel Arena.
After dropping the first set, the Ignite won the next three, improving to 2-0 against the Rise in their inaugural season.</t>
  </si>
  <si>
    <t>WOOD-TV (Grand Rapids, MI)</t>
  </si>
  <si>
    <t>Record Night from Tealer Not Enough to Lift Ignite to Victory</t>
  </si>
  <si>
    <t>March 14, 2025 - Pro Volleyball Federation (PVF)
Indy Ignite News Release
FISHERS, Ind. - To be the best, you first have to beat the best. The Indy Ignite are almost there.</t>
  </si>
  <si>
    <t>Supernovas Stun Ignite with Second-Ever Reverse Sweep, Vault into First Place</t>
  </si>
  <si>
    <t>. - The Omaha Supernovas, Nebraska professional volleyball team and first pro volleyball champions, pulled off their second reverse sweep in franchise history Thursday night at the Fishers Event Center, defeating the Indy Ignite (8-8) in a thrilling five-set battle 21-25, 18-25, 25-20, 25-23, 15-13.</t>
  </si>
  <si>
    <t>Supernovas Reverse Sweep Ignite</t>
  </si>
  <si>
    <t>KTIC-AM (West Point, NE)</t>
  </si>
  <si>
    <t>. — The Omaha Supernovas, Nebraska professional volleyball team and first pro volleyball champions, pulled off their second reverse sweep in franchise history Thursday night at the Fishers Event Center, defeating the Indy Ignite (8-8) in a thrilling five-set battle 21-25, 18-25, 25-20, 25-23, 15-13.</t>
  </si>
  <si>
    <t>Indy Ignite Falls in Five-Set Thriller to Omaha Supernovas</t>
  </si>
  <si>
    <t>Tony Vasquez</t>
  </si>
  <si>
    <t>Nuvo</t>
  </si>
  <si>
    <t>In a hard-fought battle at the Fishers Event Center on Thursday night, the Indy Ignite came up just short against the Omaha Supernovas, falling 2-3 in a five-set showdown. The match was a back-and-forth affair.</t>
  </si>
  <si>
    <t>Omaha Supernovas claim reverse sweep to take down Indy Ignite Thursday</t>
  </si>
  <si>
    <t>The Omaha Supernovas went head-to-head against the Indy Ignite on Thursday evening.Previous coverage in the video aboveCheck out this slam from Brooke Nuneviller.A back-handed shoulder kill from Natalia Valentin-Anderson helped cut down Indy's lead in set one.The Ignite took set one 25-21.Valentin-Anderson</t>
  </si>
  <si>
    <t>Omaha Supernovas reverse sweeps Indy Ignite; former Husker Ally Batenhorst with 16 kills</t>
  </si>
  <si>
    <t>Gene Schinzel</t>
  </si>
  <si>
    <t>INDIANAPOLIS — The Omaha Supernovas rallied from two sets down to defeat the Indy Ignite 21-25, 18-25, 25-20, 25-23, 15-13 Thursday night.
Indy was on the verge of closing out the win as it led 23-22 in the fourth set.</t>
  </si>
  <si>
    <t>Meet Nina Čajić, outside hitter for the Indy Ignite</t>
  </si>
  <si>
    <t>WRTV-TV (Indianapolis, IN)</t>
  </si>
  <si>
    <t>Brand Spotlight
Sponsored Content
 Modified: 
To learn more about the Indy Ignite and their upcoming games, visit their pro-volleyball page here.</t>
  </si>
  <si>
    <t>Meet Kylie Murr, libero for the Indy Ignite</t>
  </si>
  <si>
    <t>Meet Lydia Martin, middle blocker for the Indy Ignite</t>
  </si>
  <si>
    <t>Ignite Pleased with First Half of Inaugural Season, Ready for More in Second Half</t>
  </si>
  <si>
    <t>March 12, 2025 - Pro Volleyball Federation (PVF)
Indy Ignite News Release
FISHERS, Ind. - The inaugural season for the Indy Ignite has quickly reached its midpoint. It's been an exciting ride so far, with the best yet to come.
On the court, the Ignite are right where they want to be.</t>
  </si>
  <si>
    <t>Supernovas Set for High-Stakes Road Battles in Indy and Orlando</t>
  </si>
  <si>
    <t>Game Details
Matchup: Omaha Supernovas (10-4) at Indy Ignite (8-7) | Thursday, March 13 | 6 p.m. CDT | Fishers Event Center, Fishers, Ind.</t>
  </si>
  <si>
    <t>Atlanta Vibe Volleyball Outlasts Indy Ignite</t>
  </si>
  <si>
    <t>The Gwinnett Daily Post</t>
  </si>
  <si>
    <t>kAms&amp;{&amp;%w — %96 pE=2?E2 ':36 56762E65 E96 x?5J x8?:E6 :? 7@FC D6ED @? $F?52J 27E6C?@@?[ H:??:?8 ad\ab[ ag\ae[ aa\ad[ bb\b` 2E v2D $@FE9 pC6?2]k^AmkAmt249 D6E D4@C6 DE2J65 G6CJ 4=@D6 E96 6?E:C6 &gt;2E49[ 2?5 3@E9 E62&gt;D D4@C65 ?@ =6DD E92? aa A@:?ED :? 6249 D6E[ 3FE E96 ':36 &gt;256 E96 &lt;6J A=2JD 2?5 :&gt;AC@G65 E@ g\g @? E96 D62D@?] %9:D :D E96 ':36’D D64@?5 H:? @G6C E96 x8?:E6 Wg\fX :? E96 a_ad D62D@?[ &gt;2&lt;:?8 E96:C C64@C5 282:?DE x?5J a\`]k^AmkAm~?</t>
  </si>
  <si>
    <t>Ignite Drop Marathon Four-Set Match at Atlanta</t>
  </si>
  <si>
    <t>March 9, 2025 - Pro Volleyball Federation (PVF)
Indy Ignite News Release
DULUTH, Ga. - The Indy Ignite couldn't have come much closer to winning today's Pro Volleyball Federation match at Atlanta, but the Vibe snuck away with a 3-1 victory in a slugfest duel that saw two sets go to overtime.</t>
  </si>
  <si>
    <t>Vibe Defeat Ignite in Sunday Home Match</t>
  </si>
  <si>
    <t>. - The Atlanta Vibe (8-8) defeated the Indy Ignite (8-7) in four sets on Sunday afternoon at Gas South Arena. With the set scores staying very close the entire match. Both teams scored no less than 22 points in each set, with the fourth set ending 33-31.</t>
  </si>
  <si>
    <t>The IN List 2024: 3/10 - 3/16</t>
  </si>
  <si>
    <t>Indy Ignite vs. Omaha Supernovas: 7pm. Fishers Event Center - Fishers, IN. Tickets required.
Friday, Mar 14
Carmel Main Library Events: 425 E Main St, Carmel, IN. 
Growing Up Baroque: 10am. Indianapolis Baroque Orchestra's annual family program with lively music and storytelling.</t>
  </si>
  <si>
    <t>Vibe Take on Ignite at 3 PM on Sunday</t>
  </si>
  <si>
    <t>. - The Atlanta Vibe (7-8) are at home at Gas South Arena on Sunday, March 9th, to meet the Indy Ignite (8-6) for the third time this season. First serve is set for 3:00 p.m. ET, airing on YouTube.
Vibe vs. Ignite
The Vibe face off against the Ignite for the third time in the 2025 season.</t>
  </si>
  <si>
    <t>Volleyball Set for Spring Exhibitions</t>
  </si>
  <si>
    <t>vucommodores.com</t>
  </si>
  <si>
    <t>Ticket purchase will give fans access to the exhibition, Indy Ignite Fan Fest and the PVF match between Indy Ignite and Grand Rapids Rise.
Fans can follow Vanderbilt volleyball on X and Instagram at @VandyVolleyball for updates.</t>
  </si>
  <si>
    <t>Vegas Thrill Closes Two-Match Home Stand with a Four-Set Loss to the Indy Ignite</t>
  </si>
  <si>
    <t>. - The Vegas Thrill (7-7) closed its two-match home stand with a four-set loss (15-25, 25-19, 16-25, 19-25) to the Indy Ignite (8-6) on Wednesday at Lee's Family Forum. Indy leads the season series 2-1 with one match to go against each other during the regular season.</t>
  </si>
  <si>
    <t>Indy Ignite wins big on the road against Vegas Thrill</t>
  </si>
  <si>
    <t>. - Going on the road in any sport is never easy - but that couldn't stop the Indy ignite from a dominating performance in Las Vegas Wednesday night.</t>
  </si>
  <si>
    <t>Indy Ignite Make Statement with Road Victory at Vegas</t>
  </si>
  <si>
    <t>March 6, 2025 - Pro Volleyball Federation (PVF)
Indy Ignite News Release
HENDERSON, Nev. - Going on the road hasn't been an easy proposition for the Indy Ignite thus far in their inaugural Pro Volleyball Federation season.</t>
  </si>
  <si>
    <t>Louisville Players Expect Busboom Kelly to Thrive at NU</t>
  </si>
  <si>
    <t>Lincoln Arneal</t>
  </si>
  <si>
    <t>huskersillustrated.com</t>
  </si>
  <si>
    <t>Busboom Kelly, DeBeer and Elena Scott gathered for an informal reunion on Sunday as the latter two, now members of the Indy Ignite in the Pro Volleyball Federation, played the Omaha Supernovas at the CHI Health Center.</t>
  </si>
  <si>
    <t>PVF | Indy Ignite at Vegas Thrill @ 10pm ET, March 5, 2025</t>
  </si>
  <si>
    <t>easybranches.com</t>
  </si>
  <si>
    <t>Easy Branches allows you to share your guest post within our network in any countries of the world to reach Global customers start sharing your stories today!</t>
  </si>
  <si>
    <t>Bump, Set, Spike #INIndiana</t>
  </si>
  <si>
    <t>Amy Lynch</t>
  </si>
  <si>
    <t>Visit Indiana Blog</t>
  </si>
  <si>
    <t>Back
Bump, Set, Spike — Women’s pro volleyball is scoring points in Hamilton County
The Indy Ignite is catching fire in Fishers.</t>
  </si>
  <si>
    <t>Supernovas bounce back with Sunday sweep of Indy</t>
  </si>
  <si>
    <t>After falling to Orlando in Thursday’s match that decided first place in the Pro Volleyball Federation, the Omaha Supernovas bounced back with a sweep of the Indy Ignite (25-19, 25-23, 27-25).</t>
  </si>
  <si>
    <t>Nuneviller Powers Supernovas Past Ignite in League-Leading Sixth Sweep</t>
  </si>
  <si>
    <t>. - The Omaha Supernovas, Nebraska's professional volleyball team and first Pro Volleyball Champions, rode a match-high 16 kills from star outside hitter Brooke Nuneviller to a straight-sets victory over the Indy Ignite (7-6) 25-19, 25-23, 27-25 Sunday afternoon at the CHI Health Center.</t>
  </si>
  <si>
    <t>Omaha Supernovas sweep Indy Ignite</t>
  </si>
  <si>
    <t>The Supernovas won key points at the end of the second and third set in their 25-19, 25-23, 27-25 home sweep over the Indy Ignite on Sunday afternoon.
Omaha improves to 9-4 with the win and is a half-game behind league leader Orlando.</t>
  </si>
  <si>
    <t>Ignite Come Tantalizingly Close But Fall at Omaha</t>
  </si>
  <si>
    <t>March 2, 2025 - Pro Volleyball Federation (PVF)
Indy Ignite News Release
OMAHA, Neb. - The Indy Ignite showed again Sunday just how close they are to being among the elite teams in Pro Volleyball Federation.</t>
  </si>
  <si>
    <t>Supernovas sweep Ignite</t>
  </si>
  <si>
    <t>. – The Omaha Supernovas, Nebraska’s professional volleyball team and first Pro Volleyball Champions, rode a match-high 16 kills from star outside hitter Brooke Nuneviller to a straight-sets victory over the Indy Ignite (7-6) 25-19, 25-23, 27-25 Sunday afternoon at the CHI Health Center.</t>
  </si>
  <si>
    <t>Starting 5: Anna DeBeer, ex-Louisville volleyball standout, makes pro debut, more</t>
  </si>
  <si>
    <t>The Courier-Journal (Louisville, KY)</t>
  </si>
  <si>
    <t>Former Louisville volleyball star Anna DeBeer made her professional debut with Indy Ignite after recovering from an ankle injury.
Kentucky football's Maxwell Hairston had an impressive performance at the NFL combine, recording the fastest 40-yard dash time among cornerbacks.</t>
  </si>
  <si>
    <t>Indy Ignite take down Vega Thrill in four sets</t>
  </si>
  <si>
    <t>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VirginiaWisconsinWyomingPuerto RicoUS Virgin IslandsArmed Forces AmericasArmed...</t>
  </si>
  <si>
    <t>Three fall sports announce upcoming spring slates</t>
  </si>
  <si>
    <t>Reagan White</t>
  </si>
  <si>
    <t>Purdue Exponent</t>
  </si>
  <si>
    <t>This matchup will be an opener for a game between the Pro Volleyball Federation’s Indy Ignite and Grand Rapids Rise teams. Both teams have Purdue volleyball alumnas, including Raven Colvin and Jena Otec of the Rise. It is the only game on schedule that requires a paid ticket to attend.</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</si>
  <si>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</si>
  <si>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</si>
  <si>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</si>
  <si>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</si>
  <si>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</si>
  <si>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</si>
  <si>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</si>
  <si>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</si>
  <si>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</si>
  <si>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</si>
  <si>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</si>
  <si>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</si>
  <si>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</si>
  <si>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</si>
  <si>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</si>
  <si>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Writer</t>
  </si>
  <si>
    <t>CKightlinger</t>
  </si>
  <si>
    <t>Indianapolis, Ind.</t>
  </si>
  <si>
    <t>director of comms, @indyignitevb | writer | marketer | believer | mom to ringo, a fluffy dog | views = my own</t>
  </si>
  <si>
    <t>U.S. Regional</t>
  </si>
  <si>
    <t>Freelance</t>
  </si>
  <si>
    <t>RT @IndyStarSports: A former @PMFalconSports star returns to play for @IndyIgniteVB.
 https://t.co/rjUagds0CY</t>
  </si>
  <si>
    <t>Founder and Editor, Musician, Filmmaker, DJ and Journalist</t>
  </si>
  <si>
    <t>kamal@emeatribune.com</t>
  </si>
  <si>
    <t>mekamalmustafa</t>
  </si>
  <si>
    <t>worldwide</t>
  </si>
  <si>
    <t>I am a Musician, DJ, Filmmaker, and Journalist I am writing for @SamaaTV @ARYNEWSOFFICIAL and many others. Founder and Editor of EMEA Tribune</t>
  </si>
  <si>
    <t>Arts and Entertainment,Crime and Justice,Opinion and Editorial,Pakistan</t>
  </si>
  <si>
    <t>EMEA Tribune,Freelance</t>
  </si>
  <si>
    <t>'Dream is coming true for me:' 
Perry Meridian star Caitie Baird picked up by Indy Ignite https://t.co/797Q3yghNk</t>
  </si>
  <si>
    <t>DJ</t>
  </si>
  <si>
    <t>ahammeke@nrgmedia.com</t>
  </si>
  <si>
    <t>alexhammeke</t>
  </si>
  <si>
    <t>Kearney, NE</t>
  </si>
  <si>
    <t>Simpsons. Soup. Sports. 10A-2P KQKY/2P-7P KRNY/Interim Sports Director @1340KGFW /MIAA Mailbag Publisher/Runs on Dunkin/RT ≠ Endorsement</t>
  </si>
  <si>
    <t>KQKY-FM (Kearney, NE),KRNY-FM (Tri-Cities, NE)</t>
  </si>
  <si>
    <t>RT @centralnetoday: Supernovas set another attendance record over weekend in loss to Indy
https://t.co/qpCIqteizP</t>
  </si>
  <si>
    <t>Sam Fahmi</t>
  </si>
  <si>
    <t>Co-Host, Media Editor</t>
  </si>
  <si>
    <t>Studio79</t>
  </si>
  <si>
    <t>Columbus, Ohio</t>
  </si>
  <si>
    <t>Sports &amp; Wedding Photographer, Media Editor for @MassiveReport &amp; @Columbus_Wired .100% Egyptian American. Piano. Cello. Love God, love people. tweets are my own</t>
  </si>
  <si>
    <t>Arts and Entertainment,Sports,U.S. Regional</t>
  </si>
  <si>
    <t>Massive Report Podcast,Columbus Wired [inactive],Massive Report</t>
  </si>
  <si>
    <t>RT @ColumbusFury: Welcome to Columbus, Nootsara! 👋✍️
📰 | https://t.co/W1IERFieIh
#ColumbusFury #UnleashTheFury https://t.co/iH5VKo28kH</t>
  </si>
  <si>
    <t>RT @centralnetoday: Supernovas Host Ignite in Historic First Stripe-Out on Saturday, Match televised on FS1
https://t.co/3VNzW1MBBu</t>
  </si>
  <si>
    <t>RT @IndyIgniteVB: Back at our house. 🔥
🆚 Columbus Fury
📺 Roku, 7PM ET: https://t.co/VEIP341Uve
📍Fishers Event Center
📈 Stats: https://t.co…</t>
  </si>
  <si>
    <t>RT @IndyIgniteVB: Saturday night plans. ✔️
🆚 Columbus
📺 Youtube, 7PM ET: https://t.co/VEIP341Uve
📍Nationwide Arena
📈 Stats: https://t.co/k…</t>
  </si>
  <si>
    <t>RT @IndyIgniteVB: Saturday’s are for packing the house. 🔥
🆚 Columbus Fury
📺 YouTube, 7PM ET: https://t.co/VEIP341Uve
📍Fishers Event Center…</t>
  </si>
  <si>
    <t>Josh Sanchez</t>
  </si>
  <si>
    <t>Kalamazoo Reporter</t>
  </si>
  <si>
    <t>josh.sanchez@woodtv.com</t>
  </si>
  <si>
    <t>JoshSanTV</t>
  </si>
  <si>
    <t>Kalamazoo, MI</t>
  </si>
  <si>
    <t>Kalamazoo reporter for @WOODTV @WesternMichU ‘19, WLNS ’24 • MVJ top 10 vets in journalism ‘24 • silly goose</t>
  </si>
  <si>
    <t>5. Kalamazoo kicked off St. Patrick's Day celebrations this morning with a parade through the mall. There's a lot going on to take advantage of this amazing weather🌞 More on the weekend planner: https://t.co/JsvmnWPa8T</t>
  </si>
  <si>
    <t>Reporter</t>
  </si>
  <si>
    <t>tkuehl@mlive.com</t>
  </si>
  <si>
    <t>TJKu29</t>
  </si>
  <si>
    <t>Up in the booth</t>
  </si>
  <si>
    <t>Father to Felix, husband to @Kmjk0911. Mercenary broadcaster. @DailyFaceoff. @nationnetworkhq. Will work for pizza.</t>
  </si>
  <si>
    <t>Daily Faceoff</t>
  </si>
  <si>
    <t>RT @GR_Rise: Rise put down PVF record 18 blocks in road sweep over Vegas. #RiseABOVE
RECAP &gt;&gt; https://t.co/isAaoUU3aJ https://t.co/pKChRw3…</t>
  </si>
  <si>
    <t>RT @centralnetoday: Supernovas snap Indy's 2 game win streak, head to the road next two weeks
https://t.co/oCzABrM3qm</t>
  </si>
  <si>
    <t>USA</t>
  </si>
  <si>
    <t>Indianapolis, IN</t>
  </si>
  <si>
    <t>Grand Island, NE</t>
  </si>
  <si>
    <t>Saugatuck, MI</t>
  </si>
  <si>
    <t>Holland , MI</t>
  </si>
  <si>
    <t>Omaha, NE</t>
  </si>
  <si>
    <t>North Platte, NE</t>
  </si>
  <si>
    <t>Louisville, KY</t>
  </si>
  <si>
    <t>Madison, WI</t>
  </si>
  <si>
    <t>West Point, NE</t>
  </si>
  <si>
    <t>Lawrenceville, GA</t>
  </si>
  <si>
    <t>Carmel, IN</t>
  </si>
  <si>
    <t>Nashville, TN</t>
  </si>
  <si>
    <t>Lincoln, NE</t>
  </si>
  <si>
    <t>West Lafayette, IN</t>
  </si>
  <si>
    <t>Alliance, NE</t>
  </si>
  <si>
    <t>Global</t>
  </si>
  <si>
    <t>Malaysia</t>
  </si>
  <si>
    <t>Location Category</t>
  </si>
  <si>
    <t>Local</t>
  </si>
  <si>
    <t>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</si>
</sst>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quot;$&quot;#,##0.00_-"/>
    <numFmt numFmtId="166" formatCode="yyyy\-mm\-dd\ hh:mm:ss"/>
  </numFmts>
  <fonts count="4" x14ac:knownFonts="1">
    <font>
      <sz val="11"/>
      <color theme="1"/>
      <name val="Calibri"/>
      <family val="2"/>
      <scheme val="minor"/>
    </font>
    <font>
      <b/>
      <sz val="10"/>
      <name val="Arial"/>
    </font>
    <font>
      <sz val="10"/>
      <name val="Arial"/>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10">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0" fontId="3" fillId="0" borderId="0" xfId="0" applyFont="1"/>
    <xf numFmtId="165" fontId="0" fillId="0" borderId="0" xfId="0" applyNumberFormat="1"/>
    <xf numFmtId="0" fontId="0" fillId="2" borderId="0" xfId="0" applyFill="1"/>
    <xf numFmtId="8" fontId="0" fillId="2" borderId="0" xfId="0" applyNumberFormat="1" applyFill="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C25" sqref="C25"/>
    </sheetView>
  </sheetViews>
  <sheetFormatPr defaultRowHeight="14.4" x14ac:dyDescent="0.3"/>
  <cols>
    <col min="1" max="1" width="34" customWidth="1"/>
    <col min="2" max="2" width="32" customWidth="1"/>
    <col min="3" max="3" width="11.5546875" bestFit="1" customWidth="1"/>
  </cols>
  <sheetData>
    <row r="1" spans="1:3" x14ac:dyDescent="0.3">
      <c r="A1" s="1" t="s">
        <v>0</v>
      </c>
      <c r="B1" s="2" t="s">
        <v>1</v>
      </c>
    </row>
    <row r="2" spans="1:3" x14ac:dyDescent="0.3">
      <c r="A2" s="1" t="s">
        <v>2</v>
      </c>
      <c r="B2" s="2" t="str">
        <f>HYPERLINK("https://indy-ignite-pro-volleyball.muckrack.com/coverage-reports/g1vS/edit/")</f>
        <v>https://indy-ignite-pro-volleyball.muckrack.com/coverage-reports/g1vS/edit/</v>
      </c>
    </row>
    <row r="3" spans="1:3" x14ac:dyDescent="0.3">
      <c r="A3" s="1" t="s">
        <v>3</v>
      </c>
      <c r="B3" s="3">
        <v>45818</v>
      </c>
    </row>
    <row r="4" spans="1:3" x14ac:dyDescent="0.3">
      <c r="A4" s="1" t="s">
        <v>4</v>
      </c>
      <c r="B4" s="2" t="s">
        <v>5</v>
      </c>
    </row>
    <row r="6" spans="1:3" x14ac:dyDescent="0.3">
      <c r="A6" s="1" t="s">
        <v>6</v>
      </c>
      <c r="B6" s="2">
        <v>153</v>
      </c>
      <c r="C6" s="8">
        <v>77</v>
      </c>
    </row>
    <row r="7" spans="1:3" x14ac:dyDescent="0.3">
      <c r="A7" s="1" t="s">
        <v>7</v>
      </c>
      <c r="B7" s="2">
        <v>605</v>
      </c>
      <c r="C7" s="8">
        <v>258</v>
      </c>
    </row>
    <row r="8" spans="1:3" x14ac:dyDescent="0.3">
      <c r="A8" s="1" t="s">
        <v>8</v>
      </c>
      <c r="B8" s="2">
        <v>3</v>
      </c>
      <c r="C8" s="8">
        <v>3.4</v>
      </c>
    </row>
    <row r="9" spans="1:3" x14ac:dyDescent="0.3">
      <c r="A9" s="1" t="s">
        <v>9</v>
      </c>
      <c r="B9" s="2">
        <v>486633264</v>
      </c>
      <c r="C9" s="8">
        <v>63613468</v>
      </c>
    </row>
    <row r="10" spans="1:3" x14ac:dyDescent="0.3">
      <c r="A10" s="1" t="s">
        <v>10</v>
      </c>
      <c r="B10" s="4">
        <v>4501358.03</v>
      </c>
      <c r="C10" s="9">
        <v>588424.57999999996</v>
      </c>
    </row>
    <row r="11" spans="1:3" x14ac:dyDescent="0.3">
      <c r="A11" s="1" t="s">
        <v>11</v>
      </c>
      <c r="B11" s="2">
        <v>8</v>
      </c>
      <c r="C11" s="8">
        <v>5</v>
      </c>
    </row>
    <row r="12" spans="1:3" x14ac:dyDescent="0.3">
      <c r="A12" s="1" t="s">
        <v>12</v>
      </c>
      <c r="B12" s="2">
        <v>22353</v>
      </c>
      <c r="C12" s="8">
        <v>11726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8"/>
  <sheetViews>
    <sheetView tabSelected="1" topLeftCell="E76" workbookViewId="0">
      <selection activeCell="G85" sqref="G85"/>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 min="14" max="14" width="21.5546875" bestFit="1" customWidth="1"/>
    <col min="15" max="15" width="17.33203125" bestFit="1" customWidth="1"/>
  </cols>
  <sheetData>
    <row r="1" spans="1:15" x14ac:dyDescent="0.3">
      <c r="A1" s="1" t="s">
        <v>13</v>
      </c>
      <c r="B1" s="1" t="s">
        <v>2</v>
      </c>
      <c r="C1" s="1" t="s">
        <v>14</v>
      </c>
      <c r="D1" s="1" t="s">
        <v>15</v>
      </c>
      <c r="E1" s="1" t="s">
        <v>16</v>
      </c>
      <c r="F1" s="1" t="s">
        <v>17</v>
      </c>
      <c r="G1" s="1" t="s">
        <v>18</v>
      </c>
      <c r="H1" s="1" t="s">
        <v>19</v>
      </c>
      <c r="I1" s="1" t="s">
        <v>20</v>
      </c>
      <c r="J1" s="1" t="s">
        <v>7</v>
      </c>
      <c r="K1" s="1" t="s">
        <v>21</v>
      </c>
      <c r="L1" s="1" t="s">
        <v>22</v>
      </c>
      <c r="M1" s="1" t="s">
        <v>23</v>
      </c>
      <c r="N1" s="6" t="s">
        <v>202</v>
      </c>
      <c r="O1" s="1" t="s">
        <v>277</v>
      </c>
    </row>
    <row r="2" spans="1:15" ht="92.4" x14ac:dyDescent="0.3">
      <c r="A2" s="2" t="s">
        <v>27</v>
      </c>
      <c r="B2" s="2" t="str">
        <f>HYPERLINK("https://www.oursportscentral.com/services/releases/ignite-extend-win-streak-to-four-with-five-set-comeback-triumph/n-6206833")</f>
        <v>https://www.oursportscentral.com/services/releases/ignite-extend-win-streak-to-four-with-five-set-comeback-triumph/n-6206833</v>
      </c>
      <c r="C2" s="2"/>
      <c r="D2" s="2" t="s">
        <v>24</v>
      </c>
      <c r="E2" s="5">
        <v>45746.695138888892</v>
      </c>
      <c r="F2" s="2" t="s">
        <v>28</v>
      </c>
      <c r="G2" s="2">
        <v>62699</v>
      </c>
      <c r="H2" s="2">
        <v>0</v>
      </c>
      <c r="I2" s="2">
        <v>0</v>
      </c>
      <c r="J2" s="2">
        <v>0</v>
      </c>
      <c r="K2" s="2" t="s">
        <v>26</v>
      </c>
      <c r="L2" s="4">
        <v>579.97</v>
      </c>
      <c r="M2" s="2"/>
      <c r="N2" t="s">
        <v>259</v>
      </c>
      <c r="O2" t="s">
        <v>259</v>
      </c>
    </row>
    <row r="3" spans="1:15" ht="92.4" x14ac:dyDescent="0.3">
      <c r="A3" s="2" t="s">
        <v>29</v>
      </c>
      <c r="B3" s="2" t="str">
        <f>HYPERLINK("http://www.chatsports.com/top-news/a/source/dream-is-coming-true-for-me-perry-meridian-star-caitie-baird-picked-up-by-indy-ignite-18158316")</f>
        <v>http://www.chatsports.com/top-news/a/source/dream-is-coming-true-for-me-perry-meridian-star-caitie-baird-picked-up-by-indy-ignite-18158316</v>
      </c>
      <c r="C3" s="2"/>
      <c r="D3" s="2" t="s">
        <v>30</v>
      </c>
      <c r="E3" s="5">
        <v>45743.189317129632</v>
      </c>
      <c r="F3" s="2" t="s">
        <v>31</v>
      </c>
      <c r="G3" s="2">
        <v>85599</v>
      </c>
      <c r="H3" s="2">
        <v>0</v>
      </c>
      <c r="I3" s="2">
        <v>0</v>
      </c>
      <c r="J3" s="2">
        <v>0</v>
      </c>
      <c r="K3" s="2" t="s">
        <v>26</v>
      </c>
      <c r="L3" s="4">
        <v>791.79</v>
      </c>
      <c r="M3" s="2"/>
      <c r="N3" t="s">
        <v>259</v>
      </c>
      <c r="O3" t="s">
        <v>259</v>
      </c>
    </row>
    <row r="4" spans="1:15" ht="237.6" x14ac:dyDescent="0.3">
      <c r="A4" s="2" t="s">
        <v>32</v>
      </c>
      <c r="B4" s="2" t="str">
        <f>HYPERLINK("https://www.indystar.com/story/sports/high-school/2025/03/27/indy-ignite-caitie-baird-perry-meridian-stanford-volleyball/82645227007/")</f>
        <v>https://www.indystar.com/story/sports/high-school/2025/03/27/indy-ignite-caitie-baird-perry-meridian-stanford-volleyball/82645227007/</v>
      </c>
      <c r="C4" s="2"/>
      <c r="D4" s="2" t="s">
        <v>33</v>
      </c>
      <c r="E4" s="5">
        <v>45743.188275462962</v>
      </c>
      <c r="F4" s="2" t="s">
        <v>34</v>
      </c>
      <c r="G4" s="2">
        <v>3191890</v>
      </c>
      <c r="H4" s="2">
        <v>1</v>
      </c>
      <c r="I4" s="2">
        <v>8408</v>
      </c>
      <c r="J4" s="2">
        <v>70</v>
      </c>
      <c r="K4" s="2" t="s">
        <v>26</v>
      </c>
      <c r="L4" s="4">
        <v>29524.98</v>
      </c>
      <c r="M4" s="2"/>
      <c r="N4" t="s">
        <v>260</v>
      </c>
      <c r="O4" t="s">
        <v>278</v>
      </c>
    </row>
    <row r="5" spans="1:15" ht="92.4" x14ac:dyDescent="0.3">
      <c r="A5" s="2" t="s">
        <v>35</v>
      </c>
      <c r="B5" s="2" t="str">
        <f>HYPERLINK("https://emeatribune.com/39-dream-is-coming-true-for-me-39-perry-meridian-star-caitie-baird-picked-up-by-indy-ignite/")</f>
        <v>https://emeatribune.com/39-dream-is-coming-true-for-me-39-perry-meridian-star-caitie-baird-picked-up-by-indy-ignite/</v>
      </c>
      <c r="C5" s="2" t="s">
        <v>36</v>
      </c>
      <c r="D5" s="2" t="s">
        <v>37</v>
      </c>
      <c r="E5" s="5">
        <v>45743.184803240743</v>
      </c>
      <c r="F5" s="2" t="s">
        <v>31</v>
      </c>
      <c r="G5" s="2">
        <v>0</v>
      </c>
      <c r="H5" s="2">
        <v>1</v>
      </c>
      <c r="I5" s="2">
        <v>234</v>
      </c>
      <c r="J5" s="2">
        <v>1</v>
      </c>
      <c r="K5" s="2" t="s">
        <v>26</v>
      </c>
      <c r="L5" s="2"/>
      <c r="M5" s="2"/>
      <c r="N5" t="s">
        <v>276</v>
      </c>
      <c r="O5" t="s">
        <v>279</v>
      </c>
    </row>
    <row r="6" spans="1:15" ht="118.8" x14ac:dyDescent="0.3">
      <c r="A6" s="2" t="s">
        <v>29</v>
      </c>
      <c r="B6" s="2" t="str">
        <f>HYPERLINK("https://sports.yahoo.com/article/dream-coming-true-perry-meridian-081609961.html")</f>
        <v>https://sports.yahoo.com/article/dream-coming-true-perry-meridian-081609961.html</v>
      </c>
      <c r="C6" s="2" t="s">
        <v>38</v>
      </c>
      <c r="D6" s="2" t="s">
        <v>39</v>
      </c>
      <c r="E6" s="5">
        <v>45743.177881944437</v>
      </c>
      <c r="F6" s="2" t="s">
        <v>40</v>
      </c>
      <c r="G6" s="2">
        <v>23223632</v>
      </c>
      <c r="H6" s="2">
        <v>0</v>
      </c>
      <c r="I6" s="2">
        <v>0</v>
      </c>
      <c r="J6" s="2">
        <v>0</v>
      </c>
      <c r="K6" s="2" t="s">
        <v>26</v>
      </c>
      <c r="L6" s="4">
        <v>214818.6</v>
      </c>
      <c r="M6" s="2"/>
      <c r="N6" t="s">
        <v>259</v>
      </c>
      <c r="O6" t="s">
        <v>259</v>
      </c>
    </row>
    <row r="7" spans="1:15" ht="132" x14ac:dyDescent="0.3">
      <c r="A7" s="2" t="s">
        <v>41</v>
      </c>
      <c r="B7" s="2" t="str">
        <f>HYPERLINK("https://reflector.uindy.edu/2025/03/26/indy-ignite-trailblazing-professional-team/")</f>
        <v>https://reflector.uindy.edu/2025/03/26/indy-ignite-trailblazing-professional-team/</v>
      </c>
      <c r="C7" s="2"/>
      <c r="D7" s="2" t="s">
        <v>42</v>
      </c>
      <c r="E7" s="5">
        <v>45742.539722222216</v>
      </c>
      <c r="F7" s="2" t="s">
        <v>43</v>
      </c>
      <c r="G7" s="2">
        <v>10453</v>
      </c>
      <c r="H7" s="2">
        <v>0</v>
      </c>
      <c r="I7" s="2">
        <v>0</v>
      </c>
      <c r="J7" s="2">
        <v>0</v>
      </c>
      <c r="K7" s="2" t="s">
        <v>25</v>
      </c>
      <c r="L7" s="4">
        <v>96.69</v>
      </c>
      <c r="M7" s="2"/>
      <c r="N7" t="s">
        <v>260</v>
      </c>
      <c r="O7" t="s">
        <v>278</v>
      </c>
    </row>
    <row r="8" spans="1:15" ht="92.4" x14ac:dyDescent="0.3">
      <c r="A8" s="2" t="s">
        <v>44</v>
      </c>
      <c r="B8" s="2" t="str">
        <f>HYPERLINK("https://www.wthr.com/article/sports/local-sports/hometown-hero-joins-indy-ignites-roster-rest-2025-season-indianapolis-pro-volleyball-federation/531-008b4eeb-3aee-485a-a044-95b042d21293")</f>
        <v>https://www.wthr.com/article/sports/local-sports/hometown-hero-joins-indy-ignites-roster-rest-2025-season-indianapolis-pro-volleyball-federation/531-008b4eeb-3aee-485a-a044-95b042d21293</v>
      </c>
      <c r="C8" s="2"/>
      <c r="D8" s="2" t="s">
        <v>45</v>
      </c>
      <c r="E8" s="5">
        <v>45742.504525462973</v>
      </c>
      <c r="F8" s="2" t="s">
        <v>46</v>
      </c>
      <c r="G8" s="2">
        <v>1401295</v>
      </c>
      <c r="H8" s="2">
        <v>0</v>
      </c>
      <c r="I8" s="2">
        <v>0</v>
      </c>
      <c r="J8" s="2">
        <v>19</v>
      </c>
      <c r="K8" s="2" t="s">
        <v>26</v>
      </c>
      <c r="L8" s="4">
        <v>12961.98</v>
      </c>
      <c r="M8" s="2"/>
      <c r="N8" t="s">
        <v>260</v>
      </c>
      <c r="O8" t="s">
        <v>278</v>
      </c>
    </row>
    <row r="9" spans="1:15" ht="118.8" x14ac:dyDescent="0.3">
      <c r="A9" s="2" t="s">
        <v>47</v>
      </c>
      <c r="B9" s="2" t="str">
        <f>HYPERLINK("https://www.oursportscentral.com/services/releases/ignite-add-hometown-star-caitie-baird-to-roster/n-6204742")</f>
        <v>https://www.oursportscentral.com/services/releases/ignite-add-hometown-star-caitie-baird-to-roster/n-6204742</v>
      </c>
      <c r="C9" s="2"/>
      <c r="D9" s="2" t="s">
        <v>24</v>
      </c>
      <c r="E9" s="5">
        <v>45742.338888888888</v>
      </c>
      <c r="F9" s="2" t="s">
        <v>48</v>
      </c>
      <c r="G9" s="2">
        <v>62699</v>
      </c>
      <c r="H9" s="2">
        <v>0</v>
      </c>
      <c r="I9" s="2">
        <v>0</v>
      </c>
      <c r="J9" s="2">
        <v>0</v>
      </c>
      <c r="K9" s="2" t="s">
        <v>26</v>
      </c>
      <c r="L9" s="4">
        <v>579.97</v>
      </c>
      <c r="M9" s="2"/>
      <c r="N9" t="s">
        <v>259</v>
      </c>
      <c r="O9" t="s">
        <v>259</v>
      </c>
    </row>
    <row r="10" spans="1:15" ht="105.6" x14ac:dyDescent="0.3">
      <c r="A10" s="2" t="s">
        <v>49</v>
      </c>
      <c r="B10" s="2" t="str">
        <f>HYPERLINK("https://www.oursportscentral.com/services/releases/hilley-named-pvf-player-of-the-week-second-straight-for-ignite-players/n-6204458")</f>
        <v>https://www.oursportscentral.com/services/releases/hilley-named-pvf-player-of-the-week-second-straight-for-ignite-players/n-6204458</v>
      </c>
      <c r="C10" s="2"/>
      <c r="D10" s="2" t="s">
        <v>24</v>
      </c>
      <c r="E10" s="5">
        <v>45741.532638888893</v>
      </c>
      <c r="F10" s="2" t="s">
        <v>50</v>
      </c>
      <c r="G10" s="2">
        <v>62699</v>
      </c>
      <c r="H10" s="2">
        <v>0</v>
      </c>
      <c r="I10" s="2">
        <v>0</v>
      </c>
      <c r="J10" s="2">
        <v>0</v>
      </c>
      <c r="K10" s="2" t="s">
        <v>26</v>
      </c>
      <c r="L10" s="4">
        <v>579.97</v>
      </c>
      <c r="M10" s="2"/>
      <c r="N10" t="s">
        <v>259</v>
      </c>
      <c r="O10" t="s">
        <v>259</v>
      </c>
    </row>
    <row r="11" spans="1:15" ht="118.8" x14ac:dyDescent="0.3">
      <c r="A11" s="2" t="s">
        <v>51</v>
      </c>
      <c r="B11" s="2" t="str">
        <f>HYPERLINK("https://www.oursportscentral.com/services/releases/last-week-around-the-leagues/n-6204312")</f>
        <v>https://www.oursportscentral.com/services/releases/last-week-around-the-leagues/n-6204312</v>
      </c>
      <c r="C11" s="2" t="s">
        <v>52</v>
      </c>
      <c r="D11" s="2" t="s">
        <v>24</v>
      </c>
      <c r="E11" s="5">
        <v>45741.002812500003</v>
      </c>
      <c r="F11" s="2" t="s">
        <v>53</v>
      </c>
      <c r="G11" s="2">
        <v>62699</v>
      </c>
      <c r="H11" s="2">
        <v>0</v>
      </c>
      <c r="I11" s="2">
        <v>0</v>
      </c>
      <c r="J11" s="2">
        <v>20</v>
      </c>
      <c r="K11" s="2" t="s">
        <v>26</v>
      </c>
      <c r="L11" s="4">
        <v>579.97</v>
      </c>
      <c r="M11" s="2"/>
      <c r="N11" t="s">
        <v>259</v>
      </c>
      <c r="O11" t="s">
        <v>259</v>
      </c>
    </row>
    <row r="12" spans="1:15" ht="39.6" x14ac:dyDescent="0.3">
      <c r="A12" s="2" t="s">
        <v>54</v>
      </c>
      <c r="B12" s="2" t="str">
        <f>HYPERLINK("https://rock1015.com/2025/03/24/supernovas-draw-second-largest-crowd-in-pro-volleyball-history-fall-to-indy/")</f>
        <v>https://rock1015.com/2025/03/24/supernovas-draw-second-largest-crowd-in-pro-volleyball-history-fall-to-indy/</v>
      </c>
      <c r="C12" s="2" t="s">
        <v>55</v>
      </c>
      <c r="D12" s="2" t="s">
        <v>56</v>
      </c>
      <c r="E12" s="5">
        <v>45740.482499999998</v>
      </c>
      <c r="F12" s="2" t="s">
        <v>57</v>
      </c>
      <c r="G12" s="2">
        <v>1017</v>
      </c>
      <c r="H12" s="2">
        <v>0</v>
      </c>
      <c r="I12" s="2">
        <v>0</v>
      </c>
      <c r="J12" s="2">
        <v>0</v>
      </c>
      <c r="K12" s="2" t="s">
        <v>25</v>
      </c>
      <c r="L12" s="4">
        <v>9.41</v>
      </c>
      <c r="M12" s="2"/>
      <c r="N12" t="s">
        <v>261</v>
      </c>
      <c r="O12" t="s">
        <v>259</v>
      </c>
    </row>
    <row r="13" spans="1:15" ht="39.6" x14ac:dyDescent="0.3">
      <c r="A13" s="2" t="s">
        <v>54</v>
      </c>
      <c r="B13" s="2" t="str">
        <f>HYPERLINK("https://kqky.com/2025/03/24/supernovas-draw-second-largest-crowd-in-pro-volleyball-history-fall-to-indy/")</f>
        <v>https://kqky.com/2025/03/24/supernovas-draw-second-largest-crowd-in-pro-volleyball-history-fall-to-indy/</v>
      </c>
      <c r="C13" s="2" t="s">
        <v>55</v>
      </c>
      <c r="D13" s="2" t="s">
        <v>58</v>
      </c>
      <c r="E13" s="5">
        <v>45740.479618055557</v>
      </c>
      <c r="F13" s="2" t="s">
        <v>57</v>
      </c>
      <c r="G13" s="2">
        <v>737</v>
      </c>
      <c r="H13" s="2">
        <v>0</v>
      </c>
      <c r="I13" s="2">
        <v>0</v>
      </c>
      <c r="J13" s="2">
        <v>0</v>
      </c>
      <c r="K13" s="2" t="s">
        <v>25</v>
      </c>
      <c r="L13" s="4">
        <v>6.82</v>
      </c>
      <c r="M13" s="2"/>
      <c r="N13" t="s">
        <v>228</v>
      </c>
      <c r="O13" t="s">
        <v>259</v>
      </c>
    </row>
    <row r="14" spans="1:15" ht="39.6" x14ac:dyDescent="0.3">
      <c r="A14" s="2" t="s">
        <v>54</v>
      </c>
      <c r="B14" s="2" t="str">
        <f>HYPERLINK("https://kgfw.com/2025/03/24/supernovas-draw-second-largest-crowd-in-pro-volleyball-history-fall-to-indy/")</f>
        <v>https://kgfw.com/2025/03/24/supernovas-draw-second-largest-crowd-in-pro-volleyball-history-fall-to-indy/</v>
      </c>
      <c r="C14" s="2" t="s">
        <v>55</v>
      </c>
      <c r="D14" s="2" t="s">
        <v>59</v>
      </c>
      <c r="E14" s="5">
        <v>45740.474074074067</v>
      </c>
      <c r="F14" s="2" t="s">
        <v>57</v>
      </c>
      <c r="G14" s="2">
        <v>9856</v>
      </c>
      <c r="H14" s="2">
        <v>0</v>
      </c>
      <c r="I14" s="2">
        <v>0</v>
      </c>
      <c r="J14" s="2">
        <v>0</v>
      </c>
      <c r="K14" s="2" t="s">
        <v>25</v>
      </c>
      <c r="L14" s="4">
        <v>91.17</v>
      </c>
      <c r="M14" s="2"/>
      <c r="N14" t="s">
        <v>228</v>
      </c>
      <c r="O14" t="s">
        <v>259</v>
      </c>
    </row>
    <row r="15" spans="1:15" ht="52.8" x14ac:dyDescent="0.3">
      <c r="A15" s="2" t="s">
        <v>54</v>
      </c>
      <c r="B15" s="2" t="str">
        <f>HYPERLINK("https://1077theisland.com/2025/03/24/supernovas-draw-second-largest-crowd-in-pro-volleyball-history-fall-to-indy/")</f>
        <v>https://1077theisland.com/2025/03/24/supernovas-draw-second-largest-crowd-in-pro-volleyball-history-fall-to-indy/</v>
      </c>
      <c r="C15" s="2" t="s">
        <v>55</v>
      </c>
      <c r="D15" s="2" t="s">
        <v>60</v>
      </c>
      <c r="E15" s="5">
        <v>45740.473495370366</v>
      </c>
      <c r="F15" s="2" t="s">
        <v>57</v>
      </c>
      <c r="G15" s="2">
        <v>1284</v>
      </c>
      <c r="H15" s="2">
        <v>0</v>
      </c>
      <c r="I15" s="2">
        <v>0</v>
      </c>
      <c r="J15" s="2">
        <v>0</v>
      </c>
      <c r="K15" s="2" t="s">
        <v>25</v>
      </c>
      <c r="L15" s="4">
        <v>11.88</v>
      </c>
      <c r="M15" s="2"/>
      <c r="N15" t="s">
        <v>261</v>
      </c>
      <c r="O15" t="s">
        <v>259</v>
      </c>
    </row>
    <row r="16" spans="1:15" ht="52.8" x14ac:dyDescent="0.3">
      <c r="A16" s="2" t="s">
        <v>54</v>
      </c>
      <c r="B16" s="2" t="str">
        <f>HYPERLINK("https://www.centralnebraskatoday.com/2025/03/24/supernovas-draw-second-largest-crowd-in-pro-volleyball-history-fall-to-indy/")</f>
        <v>https://www.centralnebraskatoday.com/2025/03/24/supernovas-draw-second-largest-crowd-in-pro-volleyball-history-fall-to-indy/</v>
      </c>
      <c r="C16" s="2" t="s">
        <v>55</v>
      </c>
      <c r="D16" s="2" t="s">
        <v>61</v>
      </c>
      <c r="E16" s="5">
        <v>45740.469282407408</v>
      </c>
      <c r="F16" s="2" t="s">
        <v>57</v>
      </c>
      <c r="G16" s="2"/>
      <c r="H16" s="2">
        <v>1</v>
      </c>
      <c r="I16" s="2">
        <v>1028</v>
      </c>
      <c r="J16" s="2">
        <v>6</v>
      </c>
      <c r="K16" s="2" t="s">
        <v>25</v>
      </c>
      <c r="L16" s="2"/>
      <c r="M16" s="2"/>
      <c r="N16" t="s">
        <v>228</v>
      </c>
      <c r="O16" t="s">
        <v>259</v>
      </c>
    </row>
    <row r="17" spans="1:15" ht="79.2" x14ac:dyDescent="0.3">
      <c r="A17" s="2" t="s">
        <v>62</v>
      </c>
      <c r="B17" s="2" t="str">
        <f>HYPERLINK("https://www.wthr.com/article/sports/local-sports/indy-ignite-sweeps-top-ranked-omaha-supernovas-indianapolis-professional-volleyball-federation-sports/531-6539b97e-c785-4b15-a27a-b8b25b066639")</f>
        <v>https://www.wthr.com/article/sports/local-sports/indy-ignite-sweeps-top-ranked-omaha-supernovas-indianapolis-professional-volleyball-federation-sports/531-6539b97e-c785-4b15-a27a-b8b25b066639</v>
      </c>
      <c r="C17" s="2"/>
      <c r="D17" s="2" t="s">
        <v>45</v>
      </c>
      <c r="E17" s="5">
        <v>45740.091909722221</v>
      </c>
      <c r="F17" s="2" t="s">
        <v>63</v>
      </c>
      <c r="G17" s="2">
        <v>1401295</v>
      </c>
      <c r="H17" s="2">
        <v>0</v>
      </c>
      <c r="I17" s="2">
        <v>0</v>
      </c>
      <c r="J17" s="2">
        <v>9</v>
      </c>
      <c r="K17" s="2" t="s">
        <v>26</v>
      </c>
      <c r="L17" s="4">
        <v>12961.98</v>
      </c>
      <c r="M17" s="2"/>
      <c r="N17" t="s">
        <v>260</v>
      </c>
      <c r="O17" t="s">
        <v>278</v>
      </c>
    </row>
    <row r="18" spans="1:15" ht="409.6" x14ac:dyDescent="0.3">
      <c r="A18" s="2" t="s">
        <v>64</v>
      </c>
      <c r="B18" s="2" t="str">
        <f>HYPERLINK("https://omaha.com/video/sports/video_1268b25b-b61c-5704-be48-4a45685b0355.html")</f>
        <v>https://omaha.com/video/sports/video_1268b25b-b61c-5704-be48-4a45685b0355.html</v>
      </c>
      <c r="C18" s="2"/>
      <c r="D18" s="2" t="s">
        <v>65</v>
      </c>
      <c r="E18" s="5">
        <v>45738.935636574082</v>
      </c>
      <c r="F18" s="2" t="s">
        <v>66</v>
      </c>
      <c r="G18" s="2">
        <v>360012</v>
      </c>
      <c r="H18" s="2">
        <v>0</v>
      </c>
      <c r="I18" s="2">
        <v>0</v>
      </c>
      <c r="J18" s="2">
        <v>0</v>
      </c>
      <c r="K18" s="2" t="s">
        <v>25</v>
      </c>
      <c r="L18" s="4">
        <v>3330.11</v>
      </c>
      <c r="M18" s="2"/>
      <c r="N18" t="s">
        <v>264</v>
      </c>
      <c r="O18" t="s">
        <v>259</v>
      </c>
    </row>
    <row r="19" spans="1:15" ht="66" x14ac:dyDescent="0.3">
      <c r="A19" s="2" t="s">
        <v>54</v>
      </c>
      <c r="B19" s="2" t="str">
        <f>HYPERLINK("https://www.oursportscentral.com/services/releases/supernovas-draw-second-largest-crowd-in-pro-volleyball-history-fall-to-indy/n-6203624")</f>
        <v>https://www.oursportscentral.com/services/releases/supernovas-draw-second-largest-crowd-in-pro-volleyball-history-fall-to-indy/n-6203624</v>
      </c>
      <c r="C19" s="2"/>
      <c r="D19" s="2" t="s">
        <v>24</v>
      </c>
      <c r="E19" s="5">
        <v>45738.883333333331</v>
      </c>
      <c r="F19" s="2" t="s">
        <v>57</v>
      </c>
      <c r="G19" s="2">
        <v>62699</v>
      </c>
      <c r="H19" s="2">
        <v>0</v>
      </c>
      <c r="I19" s="2">
        <v>0</v>
      </c>
      <c r="J19" s="2">
        <v>0</v>
      </c>
      <c r="K19" s="2" t="s">
        <v>25</v>
      </c>
      <c r="L19" s="4">
        <v>579.97</v>
      </c>
      <c r="M19" s="2"/>
      <c r="N19" t="s">
        <v>259</v>
      </c>
      <c r="O19" t="s">
        <v>259</v>
      </c>
    </row>
    <row r="20" spans="1:15" ht="118.8" x14ac:dyDescent="0.3">
      <c r="A20" s="2" t="s">
        <v>67</v>
      </c>
      <c r="B20" s="2" t="str">
        <f>HYPERLINK("https://www.oursportscentral.com/services/releases/ignite-sweep-league-leading-omaha-for-biggest-win-of-season/n-6203563")</f>
        <v>https://www.oursportscentral.com/services/releases/ignite-sweep-league-leading-omaha-for-biggest-win-of-season/n-6203563</v>
      </c>
      <c r="C20" s="2"/>
      <c r="D20" s="2" t="s">
        <v>24</v>
      </c>
      <c r="E20" s="5">
        <v>45738.819444444453</v>
      </c>
      <c r="F20" s="2" t="s">
        <v>68</v>
      </c>
      <c r="G20" s="2">
        <v>62699</v>
      </c>
      <c r="H20" s="2">
        <v>0</v>
      </c>
      <c r="I20" s="2">
        <v>0</v>
      </c>
      <c r="J20" s="2">
        <v>0</v>
      </c>
      <c r="K20" s="2" t="s">
        <v>26</v>
      </c>
      <c r="L20" s="4">
        <v>579.97</v>
      </c>
      <c r="M20" s="2"/>
      <c r="N20" t="s">
        <v>259</v>
      </c>
      <c r="O20" t="s">
        <v>259</v>
      </c>
    </row>
    <row r="21" spans="1:15" ht="145.19999999999999" x14ac:dyDescent="0.3">
      <c r="A21" s="2" t="s">
        <v>69</v>
      </c>
      <c r="B21" s="2" t="str">
        <f>HYPERLINK("https://bvmsports.com/2025/03/21/volleyball-setting-the-standard-volleyball-alumni-whove-made-their-mark/")</f>
        <v>https://bvmsports.com/2025/03/21/volleyball-setting-the-standard-volleyball-alumni-whove-made-their-mark/</v>
      </c>
      <c r="C21" s="2" t="s">
        <v>70</v>
      </c>
      <c r="D21" s="2" t="s">
        <v>71</v>
      </c>
      <c r="E21" s="5">
        <v>45737.949062500003</v>
      </c>
      <c r="F21" s="2" t="s">
        <v>72</v>
      </c>
      <c r="G21" s="2">
        <v>1839760</v>
      </c>
      <c r="H21" s="2"/>
      <c r="I21" s="2"/>
      <c r="J21" s="2"/>
      <c r="K21" s="2" t="s">
        <v>25</v>
      </c>
      <c r="L21" s="4">
        <v>17017.78</v>
      </c>
      <c r="M21" s="2"/>
      <c r="N21" t="s">
        <v>275</v>
      </c>
      <c r="O21" t="s">
        <v>279</v>
      </c>
    </row>
    <row r="22" spans="1:15" ht="79.2" x14ac:dyDescent="0.3">
      <c r="A22" s="2" t="s">
        <v>73</v>
      </c>
      <c r="B22" s="2" t="str">
        <f>HYPERLINK("https://kqky.com/2025/03/21/252340/")</f>
        <v>https://kqky.com/2025/03/21/252340/</v>
      </c>
      <c r="C22" s="2" t="s">
        <v>74</v>
      </c>
      <c r="D22" s="2" t="s">
        <v>58</v>
      </c>
      <c r="E22" s="5">
        <v>45737.941840277781</v>
      </c>
      <c r="F22" s="2" t="s">
        <v>75</v>
      </c>
      <c r="G22" s="2">
        <v>737</v>
      </c>
      <c r="H22" s="2">
        <v>0</v>
      </c>
      <c r="I22" s="2">
        <v>0</v>
      </c>
      <c r="J22" s="2">
        <v>0</v>
      </c>
      <c r="K22" s="2" t="s">
        <v>25</v>
      </c>
      <c r="L22" s="4">
        <v>6.82</v>
      </c>
      <c r="M22" s="2"/>
      <c r="N22" t="s">
        <v>228</v>
      </c>
      <c r="O22" t="s">
        <v>259</v>
      </c>
    </row>
    <row r="23" spans="1:15" ht="79.2" x14ac:dyDescent="0.3">
      <c r="A23" s="2" t="s">
        <v>73</v>
      </c>
      <c r="B23" s="2" t="str">
        <f>HYPERLINK("https://rock1015.com/2025/03/21/252340/")</f>
        <v>https://rock1015.com/2025/03/21/252340/</v>
      </c>
      <c r="C23" s="2" t="s">
        <v>74</v>
      </c>
      <c r="D23" s="2" t="s">
        <v>56</v>
      </c>
      <c r="E23" s="5">
        <v>45737.941678240742</v>
      </c>
      <c r="F23" s="2" t="s">
        <v>75</v>
      </c>
      <c r="G23" s="2">
        <v>1017</v>
      </c>
      <c r="H23" s="2">
        <v>0</v>
      </c>
      <c r="I23" s="2">
        <v>0</v>
      </c>
      <c r="J23" s="2">
        <v>0</v>
      </c>
      <c r="K23" s="2" t="s">
        <v>25</v>
      </c>
      <c r="L23" s="4">
        <v>9.41</v>
      </c>
      <c r="M23" s="2"/>
      <c r="N23" t="s">
        <v>261</v>
      </c>
      <c r="O23" t="s">
        <v>259</v>
      </c>
    </row>
    <row r="24" spans="1:15" ht="79.2" x14ac:dyDescent="0.3">
      <c r="A24" s="2" t="s">
        <v>73</v>
      </c>
      <c r="B24" s="2" t="str">
        <f>HYPERLINK("https://kgfw.com/2025/03/21/252340/")</f>
        <v>https://kgfw.com/2025/03/21/252340/</v>
      </c>
      <c r="C24" s="2" t="s">
        <v>74</v>
      </c>
      <c r="D24" s="2" t="s">
        <v>59</v>
      </c>
      <c r="E24" s="5">
        <v>45737.934571759259</v>
      </c>
      <c r="F24" s="2" t="s">
        <v>75</v>
      </c>
      <c r="G24" s="2">
        <v>9856</v>
      </c>
      <c r="H24" s="2">
        <v>0</v>
      </c>
      <c r="I24" s="2">
        <v>0</v>
      </c>
      <c r="J24" s="2">
        <v>0</v>
      </c>
      <c r="K24" s="2" t="s">
        <v>25</v>
      </c>
      <c r="L24" s="4">
        <v>91.17</v>
      </c>
      <c r="M24" s="2"/>
      <c r="N24" t="s">
        <v>228</v>
      </c>
      <c r="O24" t="s">
        <v>259</v>
      </c>
    </row>
    <row r="25" spans="1:15" ht="79.2" x14ac:dyDescent="0.3">
      <c r="A25" s="2" t="s">
        <v>73</v>
      </c>
      <c r="B25" s="2" t="str">
        <f>HYPERLINK("https://1077theisland.com/2025/03/21/252340/")</f>
        <v>https://1077theisland.com/2025/03/21/252340/</v>
      </c>
      <c r="C25" s="2" t="s">
        <v>74</v>
      </c>
      <c r="D25" s="2" t="s">
        <v>60</v>
      </c>
      <c r="E25" s="5">
        <v>45737.934548611112</v>
      </c>
      <c r="F25" s="2" t="s">
        <v>75</v>
      </c>
      <c r="G25" s="2">
        <v>1284</v>
      </c>
      <c r="H25" s="2">
        <v>0</v>
      </c>
      <c r="I25" s="2">
        <v>0</v>
      </c>
      <c r="J25" s="2">
        <v>0</v>
      </c>
      <c r="K25" s="2" t="s">
        <v>25</v>
      </c>
      <c r="L25" s="4">
        <v>11.88</v>
      </c>
      <c r="M25" s="2"/>
      <c r="N25" t="s">
        <v>261</v>
      </c>
      <c r="O25" t="s">
        <v>259</v>
      </c>
    </row>
    <row r="26" spans="1:15" ht="79.2" x14ac:dyDescent="0.3">
      <c r="A26" s="2" t="s">
        <v>73</v>
      </c>
      <c r="B26" s="2" t="str">
        <f>HYPERLINK("https://www.centralnebraskatoday.com/2025/03/21/252340/")</f>
        <v>https://www.centralnebraskatoday.com/2025/03/21/252340/</v>
      </c>
      <c r="C26" s="2" t="s">
        <v>74</v>
      </c>
      <c r="D26" s="2" t="s">
        <v>61</v>
      </c>
      <c r="E26" s="5">
        <v>45737.927685185183</v>
      </c>
      <c r="F26" s="2" t="s">
        <v>75</v>
      </c>
      <c r="G26" s="2"/>
      <c r="H26" s="2">
        <v>1</v>
      </c>
      <c r="I26" s="2">
        <v>1028</v>
      </c>
      <c r="J26" s="2">
        <v>5</v>
      </c>
      <c r="K26" s="2" t="s">
        <v>25</v>
      </c>
      <c r="L26" s="2"/>
      <c r="M26" s="2"/>
      <c r="N26" t="s">
        <v>228</v>
      </c>
      <c r="O26" t="s">
        <v>259</v>
      </c>
    </row>
    <row r="27" spans="1:15" ht="79.2" x14ac:dyDescent="0.3">
      <c r="A27" s="2" t="s">
        <v>76</v>
      </c>
      <c r="B27" s="2" t="str">
        <f>HYPERLINK("https://badgerherald.com/sports/volleyball/2025/03/21/volleyball-setting-the-standard-volleyball-alumni-whove-made-their-mark/")</f>
        <v>https://badgerherald.com/sports/volleyball/2025/03/21/volleyball-setting-the-standard-volleyball-alumni-whove-made-their-mark/</v>
      </c>
      <c r="C27" s="2" t="s">
        <v>77</v>
      </c>
      <c r="D27" s="2" t="s">
        <v>78</v>
      </c>
      <c r="E27" s="5">
        <v>45737.906712962962</v>
      </c>
      <c r="F27" s="2" t="s">
        <v>79</v>
      </c>
      <c r="G27" s="2">
        <v>36714</v>
      </c>
      <c r="H27" s="2">
        <v>0</v>
      </c>
      <c r="I27" s="2">
        <v>0</v>
      </c>
      <c r="J27" s="2">
        <v>0</v>
      </c>
      <c r="K27" s="2" t="s">
        <v>25</v>
      </c>
      <c r="L27" s="4">
        <v>339.6</v>
      </c>
      <c r="M27" s="2"/>
      <c r="N27" t="s">
        <v>267</v>
      </c>
      <c r="O27" t="s">
        <v>259</v>
      </c>
    </row>
    <row r="28" spans="1:15" ht="79.2" x14ac:dyDescent="0.3">
      <c r="A28" s="2" t="s">
        <v>73</v>
      </c>
      <c r="B28" s="2" t="str">
        <f>HYPERLINK("https://www.oursportscentral.com/services/releases/supernovas-host-ignite-in-historic-first-stripe-out-on-saturday/n-6202911")</f>
        <v>https://www.oursportscentral.com/services/releases/supernovas-host-ignite-in-historic-first-stripe-out-on-saturday/n-6202911</v>
      </c>
      <c r="C28" s="2"/>
      <c r="D28" s="2" t="s">
        <v>24</v>
      </c>
      <c r="E28" s="5">
        <v>45737.517361111109</v>
      </c>
      <c r="F28" s="2" t="s">
        <v>80</v>
      </c>
      <c r="G28" s="2">
        <v>62699</v>
      </c>
      <c r="H28" s="2">
        <v>0</v>
      </c>
      <c r="I28" s="2">
        <v>0</v>
      </c>
      <c r="J28" s="2">
        <v>0</v>
      </c>
      <c r="K28" s="2" t="s">
        <v>25</v>
      </c>
      <c r="L28" s="4">
        <v>579.97</v>
      </c>
      <c r="M28" s="2"/>
      <c r="N28" t="s">
        <v>259</v>
      </c>
      <c r="O28" t="s">
        <v>259</v>
      </c>
    </row>
    <row r="29" spans="1:15" ht="105.6" x14ac:dyDescent="0.3">
      <c r="A29" s="2" t="s">
        <v>81</v>
      </c>
      <c r="B29" s="2" t="str">
        <f>HYPERLINK("https://www.oursportscentral.com/services/releases/ignite-outlast-fury-for-five-set-victory/n-6202776")</f>
        <v>https://www.oursportscentral.com/services/releases/ignite-outlast-fury-for-five-set-victory/n-6202776</v>
      </c>
      <c r="C29" s="2"/>
      <c r="D29" s="2" t="s">
        <v>24</v>
      </c>
      <c r="E29" s="5">
        <v>45737.022916666669</v>
      </c>
      <c r="F29" s="2" t="s">
        <v>82</v>
      </c>
      <c r="G29" s="2">
        <v>62699</v>
      </c>
      <c r="H29" s="2">
        <v>0</v>
      </c>
      <c r="I29" s="2">
        <v>0</v>
      </c>
      <c r="J29" s="2">
        <v>0</v>
      </c>
      <c r="K29" s="2" t="s">
        <v>25</v>
      </c>
      <c r="L29" s="4">
        <v>579.97</v>
      </c>
      <c r="M29" s="2"/>
      <c r="N29" t="s">
        <v>259</v>
      </c>
      <c r="O29" t="s">
        <v>259</v>
      </c>
    </row>
    <row r="30" spans="1:15" ht="79.2" x14ac:dyDescent="0.3">
      <c r="A30" s="2" t="s">
        <v>73</v>
      </c>
      <c r="B30" s="2" t="str">
        <f>HYPERLINK("https://panhandlepost.com/posts/f9de19a0-57e3-4c6f-b1e6-ea2599b3feb6")</f>
        <v>https://panhandlepost.com/posts/f9de19a0-57e3-4c6f-b1e6-ea2599b3feb6</v>
      </c>
      <c r="C30" s="2"/>
      <c r="D30" s="2" t="s">
        <v>83</v>
      </c>
      <c r="E30" s="5">
        <v>45737</v>
      </c>
      <c r="F30" s="2" t="s">
        <v>84</v>
      </c>
      <c r="G30" s="2"/>
      <c r="H30" s="2">
        <v>0</v>
      </c>
      <c r="I30" s="2">
        <v>0</v>
      </c>
      <c r="J30" s="2">
        <v>3</v>
      </c>
      <c r="K30" s="2" t="s">
        <v>25</v>
      </c>
      <c r="L30" s="2"/>
      <c r="M30" s="2"/>
      <c r="N30" t="s">
        <v>274</v>
      </c>
      <c r="O30" t="s">
        <v>259</v>
      </c>
    </row>
    <row r="31" spans="1:15" ht="79.2" x14ac:dyDescent="0.3">
      <c r="A31" s="2" t="s">
        <v>73</v>
      </c>
      <c r="B31" s="2" t="str">
        <f>HYPERLINK("https://northplattepost.com/posts/f9de19a0-57e3-4c6f-b1e6-ea2599b3feb6")</f>
        <v>https://northplattepost.com/posts/f9de19a0-57e3-4c6f-b1e6-ea2599b3feb6</v>
      </c>
      <c r="C31" s="2"/>
      <c r="D31" s="2" t="s">
        <v>85</v>
      </c>
      <c r="E31" s="5">
        <v>45737</v>
      </c>
      <c r="F31" s="2" t="s">
        <v>84</v>
      </c>
      <c r="G31" s="2">
        <v>19439</v>
      </c>
      <c r="H31" s="2">
        <v>0</v>
      </c>
      <c r="I31" s="2">
        <v>0</v>
      </c>
      <c r="J31" s="2">
        <v>18</v>
      </c>
      <c r="K31" s="2" t="s">
        <v>25</v>
      </c>
      <c r="L31" s="4">
        <v>179.81</v>
      </c>
      <c r="M31" s="2"/>
      <c r="N31" t="s">
        <v>265</v>
      </c>
      <c r="O31" t="s">
        <v>259</v>
      </c>
    </row>
    <row r="32" spans="1:15" ht="39.6" x14ac:dyDescent="0.3">
      <c r="A32" s="2" t="s">
        <v>86</v>
      </c>
      <c r="B32" s="2" t="str">
        <f>HYPERLINK("https://sports.yahoo.com/article/columbus-fury-vs-indy-ignite-020121297.html")</f>
        <v>https://sports.yahoo.com/article/columbus-fury-vs-indy-ignite-020121297.html</v>
      </c>
      <c r="C32" s="2" t="s">
        <v>87</v>
      </c>
      <c r="D32" s="2" t="s">
        <v>39</v>
      </c>
      <c r="E32" s="5">
        <v>45736.917604166672</v>
      </c>
      <c r="F32" s="2" t="s">
        <v>88</v>
      </c>
      <c r="G32" s="2">
        <v>23223632</v>
      </c>
      <c r="H32" s="2">
        <v>0</v>
      </c>
      <c r="I32" s="2">
        <v>0</v>
      </c>
      <c r="J32" s="2">
        <v>0</v>
      </c>
      <c r="K32" s="2" t="s">
        <v>25</v>
      </c>
      <c r="L32" s="4">
        <v>214818.6</v>
      </c>
      <c r="M32" s="2"/>
      <c r="N32" t="s">
        <v>259</v>
      </c>
      <c r="O32" t="s">
        <v>259</v>
      </c>
    </row>
    <row r="33" spans="1:15" ht="92.4" x14ac:dyDescent="0.3">
      <c r="A33" s="2" t="s">
        <v>90</v>
      </c>
      <c r="B33" s="2" t="str">
        <f>HYPERLINK("https://www.wishtv.com/news/local-news/indy-ignite-youth-volleyball/")</f>
        <v>https://www.wishtv.com/news/local-news/indy-ignite-youth-volleyball/</v>
      </c>
      <c r="C33" s="2" t="s">
        <v>91</v>
      </c>
      <c r="D33" s="2" t="s">
        <v>92</v>
      </c>
      <c r="E33" s="5">
        <v>45736.507731481477</v>
      </c>
      <c r="F33" s="2" t="s">
        <v>93</v>
      </c>
      <c r="G33" s="2">
        <v>942280</v>
      </c>
      <c r="H33" s="2">
        <v>0</v>
      </c>
      <c r="I33" s="2">
        <v>0</v>
      </c>
      <c r="J33" s="2">
        <v>6</v>
      </c>
      <c r="K33" s="2" t="s">
        <v>26</v>
      </c>
      <c r="L33" s="4">
        <v>8716.09</v>
      </c>
      <c r="M33" s="2"/>
      <c r="N33" t="s">
        <v>260</v>
      </c>
      <c r="O33" t="s">
        <v>278</v>
      </c>
    </row>
    <row r="34" spans="1:15" ht="66" x14ac:dyDescent="0.3">
      <c r="A34" s="2" t="s">
        <v>94</v>
      </c>
      <c r="B34" s="2" t="str">
        <f>HYPERLINK("https://www.indianapolismonthly.com/arts-and-culture/sports/naysayer-1/naysayer-azhani-tealer-sets-pro-volleyball-records/")</f>
        <v>https://www.indianapolismonthly.com/arts-and-culture/sports/naysayer-1/naysayer-azhani-tealer-sets-pro-volleyball-records/</v>
      </c>
      <c r="C34" s="2" t="s">
        <v>95</v>
      </c>
      <c r="D34" s="2" t="s">
        <v>96</v>
      </c>
      <c r="E34" s="5">
        <v>45736.484733796293</v>
      </c>
      <c r="F34" s="2" t="s">
        <v>97</v>
      </c>
      <c r="G34" s="2">
        <v>37147</v>
      </c>
      <c r="H34" s="2">
        <v>0</v>
      </c>
      <c r="I34" s="2">
        <v>0</v>
      </c>
      <c r="J34" s="2">
        <v>0</v>
      </c>
      <c r="K34" s="2" t="s">
        <v>26</v>
      </c>
      <c r="L34" s="4">
        <v>343.61</v>
      </c>
      <c r="M34" s="2"/>
      <c r="N34" t="s">
        <v>260</v>
      </c>
      <c r="O34" t="s">
        <v>278</v>
      </c>
    </row>
    <row r="35" spans="1:15" ht="92.4" x14ac:dyDescent="0.3">
      <c r="A35" s="2" t="s">
        <v>98</v>
      </c>
      <c r="B35" s="2" t="str">
        <f>HYPERLINK("https://www.oursportscentral.com/services/releases/ignite-youth-volleyball-night-match-comes-at-perfect-time-nike-mid-east-qualifier-participants-to-swell-thursdays-crowd/n-6202280")</f>
        <v>https://www.oursportscentral.com/services/releases/ignite-youth-volleyball-night-match-comes-at-perfect-time-nike-mid-east-qualifier-participants-to-swell-thursdays-crowd/n-6202280</v>
      </c>
      <c r="C35" s="2"/>
      <c r="D35" s="2" t="s">
        <v>24</v>
      </c>
      <c r="E35" s="5">
        <v>45735.381944444453</v>
      </c>
      <c r="F35" s="2" t="s">
        <v>99</v>
      </c>
      <c r="G35" s="2">
        <v>62699</v>
      </c>
      <c r="H35" s="2">
        <v>0</v>
      </c>
      <c r="I35" s="2">
        <v>0</v>
      </c>
      <c r="J35" s="2">
        <v>0</v>
      </c>
      <c r="K35" s="2" t="s">
        <v>26</v>
      </c>
      <c r="L35" s="4">
        <v>579.97</v>
      </c>
      <c r="M35" s="2"/>
      <c r="N35" t="s">
        <v>259</v>
      </c>
      <c r="O35" t="s">
        <v>259</v>
      </c>
    </row>
    <row r="36" spans="1:15" ht="145.19999999999999" x14ac:dyDescent="0.3">
      <c r="A36" s="2" t="s">
        <v>100</v>
      </c>
      <c r="B36" s="2" t="str">
        <f>HYPERLINK("https://www.oursportscentral.com/services/releases/fury-hit-the-road-to-face-ignite-thursday/n-6202124")</f>
        <v>https://www.oursportscentral.com/services/releases/fury-hit-the-road-to-face-ignite-thursday/n-6202124</v>
      </c>
      <c r="C36" s="2"/>
      <c r="D36" s="2" t="s">
        <v>24</v>
      </c>
      <c r="E36" s="5">
        <v>45735.247916666667</v>
      </c>
      <c r="F36" s="2" t="s">
        <v>101</v>
      </c>
      <c r="G36" s="2">
        <v>62699</v>
      </c>
      <c r="H36" s="2">
        <v>0</v>
      </c>
      <c r="I36" s="2">
        <v>0</v>
      </c>
      <c r="J36" s="2">
        <v>0</v>
      </c>
      <c r="K36" s="2" t="s">
        <v>25</v>
      </c>
      <c r="L36" s="4">
        <v>579.97</v>
      </c>
      <c r="M36" s="2"/>
      <c r="N36" t="s">
        <v>259</v>
      </c>
      <c r="O36" t="s">
        <v>259</v>
      </c>
    </row>
    <row r="37" spans="1:15" ht="118.8" x14ac:dyDescent="0.3">
      <c r="A37" s="2" t="s">
        <v>103</v>
      </c>
      <c r="B37" s="2" t="str">
        <f>HYPERLINK("https://www.oursportscentral.com/services/releases/record-setting-performance-earns-ignites-tealer-pvf-player-of-the-week-honor/n-6201934")</f>
        <v>https://www.oursportscentral.com/services/releases/record-setting-performance-earns-ignites-tealer-pvf-player-of-the-week-honor/n-6201934</v>
      </c>
      <c r="C37" s="2"/>
      <c r="D37" s="2" t="s">
        <v>24</v>
      </c>
      <c r="E37" s="5">
        <v>45734.319444444453</v>
      </c>
      <c r="F37" s="2" t="s">
        <v>104</v>
      </c>
      <c r="G37" s="2">
        <v>62699</v>
      </c>
      <c r="H37" s="2">
        <v>0</v>
      </c>
      <c r="I37" s="2">
        <v>0</v>
      </c>
      <c r="J37" s="2">
        <v>0</v>
      </c>
      <c r="K37" s="2" t="s">
        <v>26</v>
      </c>
      <c r="L37" s="4">
        <v>579.97</v>
      </c>
      <c r="M37" s="2"/>
      <c r="N37" t="s">
        <v>259</v>
      </c>
      <c r="O37" t="s">
        <v>259</v>
      </c>
    </row>
    <row r="38" spans="1:15" ht="118.8" x14ac:dyDescent="0.3">
      <c r="A38" s="2" t="s">
        <v>105</v>
      </c>
      <c r="B38" s="2" t="str">
        <f>HYPERLINK("https://www.keepingupincarmel.com/post/the-in-list-2024-3-17-3-23")</f>
        <v>https://www.keepingupincarmel.com/post/the-in-list-2024-3-17-3-23</v>
      </c>
      <c r="C38" s="2" t="s">
        <v>106</v>
      </c>
      <c r="D38" s="2" t="s">
        <v>107</v>
      </c>
      <c r="E38" s="5">
        <v>45732.660393518519</v>
      </c>
      <c r="F38" s="2" t="s">
        <v>108</v>
      </c>
      <c r="G38" s="2">
        <v>473</v>
      </c>
      <c r="H38" s="2">
        <v>0</v>
      </c>
      <c r="I38" s="2">
        <v>0</v>
      </c>
      <c r="J38" s="2">
        <v>0</v>
      </c>
      <c r="K38" s="2" t="s">
        <v>25</v>
      </c>
      <c r="L38" s="4">
        <v>4.38</v>
      </c>
      <c r="M38" s="2"/>
      <c r="N38" t="s">
        <v>270</v>
      </c>
      <c r="O38" t="s">
        <v>278</v>
      </c>
    </row>
    <row r="39" spans="1:15" ht="92.4" x14ac:dyDescent="0.3">
      <c r="A39" s="2" t="s">
        <v>112</v>
      </c>
      <c r="B39" s="2" t="str">
        <f>HYPERLINK("https://927thevan.com/2025/03/16/sunday-sports-report-mar-16-2025/")</f>
        <v>https://927thevan.com/2025/03/16/sunday-sports-report-mar-16-2025/</v>
      </c>
      <c r="C39" s="2" t="s">
        <v>109</v>
      </c>
      <c r="D39" s="2" t="s">
        <v>110</v>
      </c>
      <c r="E39" s="5">
        <v>45732.012291666673</v>
      </c>
      <c r="F39" s="2" t="s">
        <v>111</v>
      </c>
      <c r="G39" s="2">
        <v>3664</v>
      </c>
      <c r="H39" s="2"/>
      <c r="I39" s="2"/>
      <c r="J39" s="2"/>
      <c r="K39" s="2"/>
      <c r="L39" s="4">
        <v>33.89</v>
      </c>
      <c r="M39" s="2"/>
      <c r="N39" t="s">
        <v>262</v>
      </c>
      <c r="O39" t="s">
        <v>259</v>
      </c>
    </row>
    <row r="40" spans="1:15" ht="92.4" x14ac:dyDescent="0.3">
      <c r="A40" s="2" t="s">
        <v>112</v>
      </c>
      <c r="B40" s="2" t="str">
        <f>HYPERLINK("https://whtc.com/2025/03/16/sunday-sports-report-mar-16-2025/")</f>
        <v>https://whtc.com/2025/03/16/sunday-sports-report-mar-16-2025/</v>
      </c>
      <c r="C40" s="2" t="s">
        <v>109</v>
      </c>
      <c r="D40" s="2" t="s">
        <v>113</v>
      </c>
      <c r="E40" s="5">
        <v>45732.003969907397</v>
      </c>
      <c r="F40" s="2" t="s">
        <v>111</v>
      </c>
      <c r="G40" s="2">
        <v>10826</v>
      </c>
      <c r="H40" s="2">
        <v>0</v>
      </c>
      <c r="I40" s="2">
        <v>0</v>
      </c>
      <c r="J40" s="2">
        <v>0</v>
      </c>
      <c r="K40" s="2" t="s">
        <v>25</v>
      </c>
      <c r="L40" s="4">
        <v>100.14</v>
      </c>
      <c r="M40" s="2"/>
      <c r="N40" t="s">
        <v>263</v>
      </c>
      <c r="O40" t="s">
        <v>259</v>
      </c>
    </row>
    <row r="41" spans="1:15" ht="92.4" x14ac:dyDescent="0.3">
      <c r="A41" s="2" t="s">
        <v>115</v>
      </c>
      <c r="B41" s="2" t="str">
        <f>HYPERLINK("https://www.oursportscentral.com/services/releases/ignite-rise-to-the-occasion-claim-comeback-win-at-grand-rapids/n-6200954")</f>
        <v>https://www.oursportscentral.com/services/releases/ignite-rise-to-the-occasion-claim-comeback-win-at-grand-rapids/n-6200954</v>
      </c>
      <c r="C41" s="2"/>
      <c r="D41" s="2" t="s">
        <v>24</v>
      </c>
      <c r="E41" s="5">
        <v>45731.588194444441</v>
      </c>
      <c r="F41" s="2" t="s">
        <v>116</v>
      </c>
      <c r="G41" s="2">
        <v>62699</v>
      </c>
      <c r="H41" s="2">
        <v>0</v>
      </c>
      <c r="I41" s="2">
        <v>0</v>
      </c>
      <c r="J41" s="2">
        <v>0</v>
      </c>
      <c r="K41" s="2" t="s">
        <v>26</v>
      </c>
      <c r="L41" s="4">
        <v>579.97</v>
      </c>
      <c r="M41" s="2"/>
      <c r="N41" t="s">
        <v>259</v>
      </c>
      <c r="O41" t="s">
        <v>259</v>
      </c>
    </row>
    <row r="42" spans="1:15" ht="92.4" x14ac:dyDescent="0.3">
      <c r="A42" s="2" t="s">
        <v>117</v>
      </c>
      <c r="B42" s="2" t="str">
        <f>HYPERLINK("https://www.oursportscentral.com/services/releases/snyder-sets-new-rise-ace-record-indy-captures-matinee-win/n-6200925")</f>
        <v>https://www.oursportscentral.com/services/releases/snyder-sets-new-rise-ace-record-indy-captures-matinee-win/n-6200925</v>
      </c>
      <c r="C42" s="2"/>
      <c r="D42" s="2" t="s">
        <v>24</v>
      </c>
      <c r="E42" s="5">
        <v>45731.548611111109</v>
      </c>
      <c r="F42" s="2" t="s">
        <v>118</v>
      </c>
      <c r="G42" s="2">
        <v>62699</v>
      </c>
      <c r="H42" s="2">
        <v>0</v>
      </c>
      <c r="I42" s="2">
        <v>0</v>
      </c>
      <c r="J42" s="2">
        <v>0</v>
      </c>
      <c r="K42" s="2" t="s">
        <v>26</v>
      </c>
      <c r="L42" s="4">
        <v>579.97</v>
      </c>
      <c r="M42" s="2"/>
      <c r="N42" t="s">
        <v>259</v>
      </c>
      <c r="O42" t="s">
        <v>259</v>
      </c>
    </row>
    <row r="43" spans="1:15" ht="79.2" x14ac:dyDescent="0.3">
      <c r="A43" s="2" t="s">
        <v>120</v>
      </c>
      <c r="B43" s="2" t="str">
        <f>HYPERLINK("https://www.oursportscentral.com/services/releases/record-night-from-tealer-not-enough-to-lift-ignite-to-victory/n-6200313")</f>
        <v>https://www.oursportscentral.com/services/releases/record-night-from-tealer-not-enough-to-lift-ignite-to-victory/n-6200313</v>
      </c>
      <c r="C43" s="2"/>
      <c r="D43" s="2" t="s">
        <v>24</v>
      </c>
      <c r="E43" s="5">
        <v>45730.191666666673</v>
      </c>
      <c r="F43" s="2" t="s">
        <v>121</v>
      </c>
      <c r="G43" s="2">
        <v>62699</v>
      </c>
      <c r="H43" s="2">
        <v>0</v>
      </c>
      <c r="I43" s="2">
        <v>0</v>
      </c>
      <c r="J43" s="2">
        <v>0</v>
      </c>
      <c r="K43" s="2" t="s">
        <v>25</v>
      </c>
      <c r="L43" s="4">
        <v>579.97</v>
      </c>
      <c r="M43" s="2"/>
      <c r="N43" t="s">
        <v>259</v>
      </c>
      <c r="O43" t="s">
        <v>259</v>
      </c>
    </row>
    <row r="44" spans="1:15" ht="79.2" x14ac:dyDescent="0.3">
      <c r="A44" s="2" t="s">
        <v>122</v>
      </c>
      <c r="B44" s="2" t="str">
        <f>HYPERLINK("https://www.oursportscentral.com/services/releases/supernovas-stun-ignite-with-second-ever-reverse-sweep-vault-into-first-place/n-6200312")</f>
        <v>https://www.oursportscentral.com/services/releases/supernovas-stun-ignite-with-second-ever-reverse-sweep-vault-into-first-place/n-6200312</v>
      </c>
      <c r="C44" s="2"/>
      <c r="D44" s="2" t="s">
        <v>24</v>
      </c>
      <c r="E44" s="5">
        <v>45730.191666666673</v>
      </c>
      <c r="F44" s="2" t="s">
        <v>123</v>
      </c>
      <c r="G44" s="2">
        <v>62699</v>
      </c>
      <c r="H44" s="2">
        <v>0</v>
      </c>
      <c r="I44" s="2">
        <v>0</v>
      </c>
      <c r="J44" s="2">
        <v>0</v>
      </c>
      <c r="K44" s="2" t="s">
        <v>25</v>
      </c>
      <c r="L44" s="4">
        <v>579.97</v>
      </c>
      <c r="M44" s="2"/>
      <c r="N44" t="s">
        <v>259</v>
      </c>
      <c r="O44" t="s">
        <v>259</v>
      </c>
    </row>
    <row r="45" spans="1:15" ht="79.2" x14ac:dyDescent="0.3">
      <c r="A45" s="2" t="s">
        <v>124</v>
      </c>
      <c r="B45" s="2" t="str">
        <f>HYPERLINK("https://ruralradio.com/ktic/news/supernovas-reverse-sweep-ignite/")</f>
        <v>https://ruralradio.com/ktic/news/supernovas-reverse-sweep-ignite/</v>
      </c>
      <c r="C45" s="2"/>
      <c r="D45" s="2" t="s">
        <v>125</v>
      </c>
      <c r="E45" s="5">
        <v>45730.032581018517</v>
      </c>
      <c r="F45" s="2" t="s">
        <v>126</v>
      </c>
      <c r="G45" s="2">
        <v>98799</v>
      </c>
      <c r="H45" s="2">
        <v>0</v>
      </c>
      <c r="I45" s="2">
        <v>0</v>
      </c>
      <c r="J45" s="2">
        <v>0</v>
      </c>
      <c r="K45" s="2" t="s">
        <v>25</v>
      </c>
      <c r="L45" s="4">
        <v>913.89</v>
      </c>
      <c r="M45" s="2"/>
      <c r="N45" t="s">
        <v>268</v>
      </c>
      <c r="O45" t="s">
        <v>259</v>
      </c>
    </row>
    <row r="46" spans="1:15" ht="66" x14ac:dyDescent="0.3">
      <c r="A46" s="2" t="s">
        <v>127</v>
      </c>
      <c r="B46" s="2" t="str">
        <f>HYPERLINK("https://www.nuvo.net/sports/indy-ignite-falls-in-five-set-thriller-to-omaha-supernovas/collection_f9cd4114-0122-11f0-8bf8-0f9b6c1f4c86.html")</f>
        <v>https://www.nuvo.net/sports/indy-ignite-falls-in-five-set-thriller-to-omaha-supernovas/collection_f9cd4114-0122-11f0-8bf8-0f9b6c1f4c86.html</v>
      </c>
      <c r="C46" s="2" t="s">
        <v>128</v>
      </c>
      <c r="D46" s="2" t="s">
        <v>129</v>
      </c>
      <c r="E46" s="5">
        <v>45730</v>
      </c>
      <c r="F46" s="2" t="s">
        <v>130</v>
      </c>
      <c r="G46" s="2">
        <v>16115</v>
      </c>
      <c r="H46" s="2">
        <v>0</v>
      </c>
      <c r="I46" s="2">
        <v>0</v>
      </c>
      <c r="J46" s="2">
        <v>3</v>
      </c>
      <c r="K46" s="2" t="s">
        <v>26</v>
      </c>
      <c r="L46" s="4">
        <v>149.06</v>
      </c>
      <c r="M46" s="2"/>
      <c r="N46" t="s">
        <v>260</v>
      </c>
      <c r="O46" t="s">
        <v>278</v>
      </c>
    </row>
    <row r="47" spans="1:15" ht="79.2" x14ac:dyDescent="0.3">
      <c r="A47" s="2" t="s">
        <v>131</v>
      </c>
      <c r="B47" s="2" t="str">
        <f>HYPERLINK("https://www.ketv.com/article/omaha-supernovas-claim-reverse-sweep-to-take-down-indy-ignite/64180404")</f>
        <v>https://www.ketv.com/article/omaha-supernovas-claim-reverse-sweep-to-take-down-indy-ignite/64180404</v>
      </c>
      <c r="C47" s="2" t="s">
        <v>114</v>
      </c>
      <c r="D47" s="2" t="s">
        <v>89</v>
      </c>
      <c r="E47" s="5">
        <v>45729.923750000002</v>
      </c>
      <c r="F47" s="2" t="s">
        <v>132</v>
      </c>
      <c r="G47" s="2">
        <v>690805</v>
      </c>
      <c r="H47" s="2">
        <v>0</v>
      </c>
      <c r="I47" s="2">
        <v>0</v>
      </c>
      <c r="J47" s="2">
        <v>27</v>
      </c>
      <c r="K47" s="2" t="s">
        <v>25</v>
      </c>
      <c r="L47" s="4">
        <v>6389.95</v>
      </c>
      <c r="M47" s="2"/>
      <c r="N47" t="s">
        <v>264</v>
      </c>
      <c r="O47" t="s">
        <v>259</v>
      </c>
    </row>
    <row r="48" spans="1:15" ht="79.2" x14ac:dyDescent="0.3">
      <c r="A48" s="2" t="s">
        <v>133</v>
      </c>
      <c r="B48" s="2" t="str">
        <f>HYPERLINK("https://omaha.com/sports/professional/other/article_f36d7cd8-001b-11f0-80cb-076f1cd4145f.html")</f>
        <v>https://omaha.com/sports/professional/other/article_f36d7cd8-001b-11f0-80cb-076f1cd4145f.html</v>
      </c>
      <c r="C48" s="2" t="s">
        <v>134</v>
      </c>
      <c r="D48" s="2" t="s">
        <v>65</v>
      </c>
      <c r="E48" s="5">
        <v>45729.916770833333</v>
      </c>
      <c r="F48" s="2" t="s">
        <v>135</v>
      </c>
      <c r="G48" s="2">
        <v>360012</v>
      </c>
      <c r="H48" s="2">
        <v>0</v>
      </c>
      <c r="I48" s="2">
        <v>0</v>
      </c>
      <c r="J48" s="2">
        <v>42</v>
      </c>
      <c r="K48" s="2" t="s">
        <v>25</v>
      </c>
      <c r="L48" s="4">
        <v>3330.11</v>
      </c>
      <c r="M48" s="2"/>
      <c r="N48" t="s">
        <v>264</v>
      </c>
      <c r="O48" t="s">
        <v>259</v>
      </c>
    </row>
    <row r="49" spans="1:15" ht="409.6" x14ac:dyDescent="0.3">
      <c r="A49" s="2" t="s">
        <v>136</v>
      </c>
      <c r="B49" s="2" t="str">
        <f>HYPERLINK("https://www.wrtv.com/marketplace/spotlight/meet-nina-cajic-outside-hitter-for-the-indy-ignite")</f>
        <v>https://www.wrtv.com/marketplace/spotlight/meet-nina-cajic-outside-hitter-for-the-indy-ignite</v>
      </c>
      <c r="C49" s="2"/>
      <c r="D49" s="2" t="s">
        <v>137</v>
      </c>
      <c r="E49" s="5">
        <v>45729.648796296293</v>
      </c>
      <c r="F49" s="2" t="s">
        <v>138</v>
      </c>
      <c r="G49" s="2">
        <v>420033</v>
      </c>
      <c r="H49" s="2">
        <v>0</v>
      </c>
      <c r="I49" s="2">
        <v>0</v>
      </c>
      <c r="J49" s="2">
        <v>0</v>
      </c>
      <c r="K49" s="2" t="s">
        <v>25</v>
      </c>
      <c r="L49" s="4">
        <v>3885.31</v>
      </c>
      <c r="M49" s="2"/>
      <c r="N49" t="s">
        <v>260</v>
      </c>
      <c r="O49" t="s">
        <v>278</v>
      </c>
    </row>
    <row r="50" spans="1:15" ht="409.6" x14ac:dyDescent="0.3">
      <c r="A50" s="2" t="s">
        <v>139</v>
      </c>
      <c r="B50" s="2" t="str">
        <f>HYPERLINK("https://www.wrtv.com/marketplace/spotlight/meet-kylie-murr-libero-for-the-indy-ignite")</f>
        <v>https://www.wrtv.com/marketplace/spotlight/meet-kylie-murr-libero-for-the-indy-ignite</v>
      </c>
      <c r="C50" s="2"/>
      <c r="D50" s="2" t="s">
        <v>137</v>
      </c>
      <c r="E50" s="5">
        <v>45729.647523148153</v>
      </c>
      <c r="F50" s="2" t="s">
        <v>138</v>
      </c>
      <c r="G50" s="2">
        <v>420033</v>
      </c>
      <c r="H50" s="2">
        <v>0</v>
      </c>
      <c r="I50" s="2">
        <v>0</v>
      </c>
      <c r="J50" s="2">
        <v>0</v>
      </c>
      <c r="K50" s="2" t="s">
        <v>25</v>
      </c>
      <c r="L50" s="4">
        <v>3885.31</v>
      </c>
      <c r="M50" s="2"/>
      <c r="N50" t="s">
        <v>260</v>
      </c>
      <c r="O50" t="s">
        <v>278</v>
      </c>
    </row>
    <row r="51" spans="1:15" ht="409.6" x14ac:dyDescent="0.3">
      <c r="A51" s="2" t="s">
        <v>140</v>
      </c>
      <c r="B51" s="2" t="str">
        <f>HYPERLINK("https://www.wrtv.com/marketplace/spotlight/meet-lydia-martin-middle-blocker-for-the-indy-ignite")</f>
        <v>https://www.wrtv.com/marketplace/spotlight/meet-lydia-martin-middle-blocker-for-the-indy-ignite</v>
      </c>
      <c r="C51" s="2"/>
      <c r="D51" s="2" t="s">
        <v>137</v>
      </c>
      <c r="E51" s="5">
        <v>45729.647233796299</v>
      </c>
      <c r="F51" s="2" t="s">
        <v>138</v>
      </c>
      <c r="G51" s="2">
        <v>420033</v>
      </c>
      <c r="H51" s="2">
        <v>0</v>
      </c>
      <c r="I51" s="2">
        <v>0</v>
      </c>
      <c r="J51" s="2">
        <v>0</v>
      </c>
      <c r="K51" s="2" t="s">
        <v>25</v>
      </c>
      <c r="L51" s="4">
        <v>3885.31</v>
      </c>
      <c r="M51" s="2"/>
      <c r="N51" t="s">
        <v>260</v>
      </c>
      <c r="O51" t="s">
        <v>278</v>
      </c>
    </row>
    <row r="52" spans="1:15" ht="118.8" x14ac:dyDescent="0.3">
      <c r="A52" s="2" t="s">
        <v>141</v>
      </c>
      <c r="B52" s="2" t="str">
        <f>HYPERLINK("https://www.oursportscentral.com/services/releases/ignite-pleased-with-first-half-of-inaugural-season-ready-for-more-in-second-half/n-6199880")</f>
        <v>https://www.oursportscentral.com/services/releases/ignite-pleased-with-first-half-of-inaugural-season-ready-for-more-in-second-half/n-6199880</v>
      </c>
      <c r="C52" s="2"/>
      <c r="D52" s="2" t="s">
        <v>24</v>
      </c>
      <c r="E52" s="5">
        <v>45728.613194444442</v>
      </c>
      <c r="F52" s="2" t="s">
        <v>142</v>
      </c>
      <c r="G52" s="2">
        <v>62699</v>
      </c>
      <c r="H52" s="2">
        <v>0</v>
      </c>
      <c r="I52" s="2">
        <v>0</v>
      </c>
      <c r="J52" s="2">
        <v>0</v>
      </c>
      <c r="K52" s="2" t="s">
        <v>26</v>
      </c>
      <c r="L52" s="4">
        <v>579.97</v>
      </c>
      <c r="M52" s="2"/>
      <c r="N52" t="s">
        <v>259</v>
      </c>
      <c r="O52" t="s">
        <v>259</v>
      </c>
    </row>
    <row r="53" spans="1:15" ht="66" x14ac:dyDescent="0.3">
      <c r="A53" s="2" t="s">
        <v>143</v>
      </c>
      <c r="B53" s="2" t="str">
        <f>HYPERLINK("https://www.oursportscentral.com/services/releases/supernovas-set-for-high-stakes-road-battles-in-indy-and-orlando/n-6199554")</f>
        <v>https://www.oursportscentral.com/services/releases/supernovas-set-for-high-stakes-road-battles-in-indy-and-orlando/n-6199554</v>
      </c>
      <c r="C53" s="2"/>
      <c r="D53" s="2" t="s">
        <v>24</v>
      </c>
      <c r="E53" s="5">
        <v>45727.629861111112</v>
      </c>
      <c r="F53" s="2" t="s">
        <v>144</v>
      </c>
      <c r="G53" s="2">
        <v>62699</v>
      </c>
      <c r="H53" s="2">
        <v>0</v>
      </c>
      <c r="I53" s="2">
        <v>0</v>
      </c>
      <c r="J53" s="2">
        <v>0</v>
      </c>
      <c r="K53" s="2" t="s">
        <v>25</v>
      </c>
      <c r="L53" s="4">
        <v>579.97</v>
      </c>
      <c r="M53" s="2"/>
      <c r="N53" t="s">
        <v>259</v>
      </c>
      <c r="O53" t="s">
        <v>259</v>
      </c>
    </row>
    <row r="54" spans="1:15" ht="145.19999999999999" x14ac:dyDescent="0.3">
      <c r="A54" s="2" t="s">
        <v>145</v>
      </c>
      <c r="B54" s="2" t="str">
        <f>HYPERLINK("https://www.gwinnettdailypost.com/sports/atlanta-vibe-volleyball-outlasts-indy-ignite/article_cbc5cc5c-fd3d-11ef-ab34-3b3589b3b466.html")</f>
        <v>https://www.gwinnettdailypost.com/sports/atlanta-vibe-volleyball-outlasts-indy-ignite/article_cbc5cc5c-fd3d-11ef-ab34-3b3589b3b466.html</v>
      </c>
      <c r="C54" s="2"/>
      <c r="D54" s="2" t="s">
        <v>146</v>
      </c>
      <c r="E54" s="5">
        <v>45725.856180555558</v>
      </c>
      <c r="F54" s="2" t="s">
        <v>147</v>
      </c>
      <c r="G54" s="2">
        <v>134281</v>
      </c>
      <c r="H54" s="2">
        <v>0</v>
      </c>
      <c r="I54" s="2">
        <v>0</v>
      </c>
      <c r="J54" s="2">
        <v>0</v>
      </c>
      <c r="K54" s="2" t="s">
        <v>25</v>
      </c>
      <c r="L54" s="4">
        <v>1242.0999999999999</v>
      </c>
      <c r="M54" s="2"/>
      <c r="N54" t="s">
        <v>269</v>
      </c>
      <c r="O54" t="s">
        <v>259</v>
      </c>
    </row>
    <row r="55" spans="1:15" ht="118.8" x14ac:dyDescent="0.3">
      <c r="A55" s="2" t="s">
        <v>148</v>
      </c>
      <c r="B55" s="2" t="str">
        <f>HYPERLINK("https://www.oursportscentral.com/services/releases/ignite-drop-marathon-four-set-match-at-atlanta/n-6199023")</f>
        <v>https://www.oursportscentral.com/services/releases/ignite-drop-marathon-four-set-match-at-atlanta/n-6199023</v>
      </c>
      <c r="C55" s="2"/>
      <c r="D55" s="2" t="s">
        <v>24</v>
      </c>
      <c r="E55" s="5">
        <v>45725.753472222219</v>
      </c>
      <c r="F55" s="2" t="s">
        <v>149</v>
      </c>
      <c r="G55" s="2">
        <v>62699</v>
      </c>
      <c r="H55" s="2">
        <v>0</v>
      </c>
      <c r="I55" s="2">
        <v>0</v>
      </c>
      <c r="J55" s="2">
        <v>0</v>
      </c>
      <c r="K55" s="2" t="s">
        <v>25</v>
      </c>
      <c r="L55" s="4">
        <v>579.97</v>
      </c>
      <c r="M55" s="2"/>
      <c r="N55" t="s">
        <v>259</v>
      </c>
      <c r="O55" t="s">
        <v>259</v>
      </c>
    </row>
    <row r="56" spans="1:15" ht="66" x14ac:dyDescent="0.3">
      <c r="A56" s="2" t="s">
        <v>150</v>
      </c>
      <c r="B56" s="2" t="str">
        <f>HYPERLINK("https://www.oursportscentral.com/services/releases/vibe-defeat-ignite-in-sunday-home-match/n-6198964")</f>
        <v>https://www.oursportscentral.com/services/releases/vibe-defeat-ignite-in-sunday-home-match/n-6198964</v>
      </c>
      <c r="C56" s="2"/>
      <c r="D56" s="2" t="s">
        <v>24</v>
      </c>
      <c r="E56" s="5">
        <v>45725.658333333333</v>
      </c>
      <c r="F56" s="2" t="s">
        <v>151</v>
      </c>
      <c r="G56" s="2">
        <v>62699</v>
      </c>
      <c r="H56" s="2">
        <v>0</v>
      </c>
      <c r="I56" s="2">
        <v>0</v>
      </c>
      <c r="J56" s="2">
        <v>0</v>
      </c>
      <c r="K56" s="2" t="s">
        <v>25</v>
      </c>
      <c r="L56" s="4">
        <v>579.97</v>
      </c>
      <c r="M56" s="2"/>
      <c r="N56" t="s">
        <v>259</v>
      </c>
      <c r="O56" t="s">
        <v>259</v>
      </c>
    </row>
    <row r="57" spans="1:15" ht="132" x14ac:dyDescent="0.3">
      <c r="A57" s="2" t="s">
        <v>152</v>
      </c>
      <c r="B57" s="2" t="str">
        <f>HYPERLINK("https://www.keepingupincarmel.com/post/the-in-list-2024-3-10-3-16")</f>
        <v>https://www.keepingupincarmel.com/post/the-in-list-2024-3-10-3-16</v>
      </c>
      <c r="C57" s="2" t="s">
        <v>106</v>
      </c>
      <c r="D57" s="2" t="s">
        <v>107</v>
      </c>
      <c r="E57" s="5">
        <v>45725.637638888889</v>
      </c>
      <c r="F57" s="2" t="s">
        <v>153</v>
      </c>
      <c r="G57" s="2">
        <v>473</v>
      </c>
      <c r="H57" s="2">
        <v>0</v>
      </c>
      <c r="I57" s="2">
        <v>0</v>
      </c>
      <c r="J57" s="2">
        <v>0</v>
      </c>
      <c r="K57" s="2" t="s">
        <v>25</v>
      </c>
      <c r="L57" s="4">
        <v>4.38</v>
      </c>
      <c r="M57" s="2"/>
      <c r="N57" t="s">
        <v>270</v>
      </c>
      <c r="O57" t="s">
        <v>278</v>
      </c>
    </row>
    <row r="58" spans="1:15" ht="118.8" x14ac:dyDescent="0.3">
      <c r="A58" s="2" t="s">
        <v>154</v>
      </c>
      <c r="B58" s="2" t="str">
        <f>HYPERLINK("https://www.oursportscentral.com/services/releases/vibe-take-on-ignite-at-3-pm-on-sunday/n-6198513")</f>
        <v>https://www.oursportscentral.com/services/releases/vibe-take-on-ignite-at-3-pm-on-sunday/n-6198513</v>
      </c>
      <c r="C58" s="2"/>
      <c r="D58" s="2" t="s">
        <v>24</v>
      </c>
      <c r="E58" s="5">
        <v>45724.572916666657</v>
      </c>
      <c r="F58" s="2" t="s">
        <v>155</v>
      </c>
      <c r="G58" s="2">
        <v>62699</v>
      </c>
      <c r="H58" s="2">
        <v>0</v>
      </c>
      <c r="I58" s="2">
        <v>0</v>
      </c>
      <c r="J58" s="2">
        <v>0</v>
      </c>
      <c r="K58" s="2" t="s">
        <v>25</v>
      </c>
      <c r="L58" s="4">
        <v>579.97</v>
      </c>
      <c r="M58" s="2"/>
      <c r="N58" t="s">
        <v>259</v>
      </c>
      <c r="O58" t="s">
        <v>259</v>
      </c>
    </row>
    <row r="59" spans="1:15" ht="79.2" x14ac:dyDescent="0.3">
      <c r="A59" s="2" t="s">
        <v>156</v>
      </c>
      <c r="B59" s="2" t="str">
        <f>HYPERLINK("https://vucommodores.com/volleyball-set-for-spring-exhibitions/")</f>
        <v>https://vucommodores.com/volleyball-set-for-spring-exhibitions/</v>
      </c>
      <c r="C59" s="2"/>
      <c r="D59" s="2" t="s">
        <v>157</v>
      </c>
      <c r="E59" s="5">
        <v>45722.482858796298</v>
      </c>
      <c r="F59" s="2" t="s">
        <v>158</v>
      </c>
      <c r="G59" s="2"/>
      <c r="H59" s="2">
        <v>0</v>
      </c>
      <c r="I59" s="2">
        <v>0</v>
      </c>
      <c r="J59" s="2">
        <v>0</v>
      </c>
      <c r="K59" s="2" t="s">
        <v>26</v>
      </c>
      <c r="L59" s="2"/>
      <c r="M59" s="2"/>
      <c r="N59" t="s">
        <v>271</v>
      </c>
      <c r="O59" t="s">
        <v>259</v>
      </c>
    </row>
    <row r="60" spans="1:15" ht="66" x14ac:dyDescent="0.3">
      <c r="A60" s="2" t="s">
        <v>159</v>
      </c>
      <c r="B60" s="2" t="str">
        <f>HYPERLINK("https://www.oursportscentral.com/services/releases/vegas-thrill-closes-two-match-home-stand-with-a-four-set-loss-to-the-indy-ignite/n-6197630")</f>
        <v>https://www.oursportscentral.com/services/releases/vegas-thrill-closes-two-match-home-stand-with-a-four-set-loss-to-the-indy-ignite/n-6197630</v>
      </c>
      <c r="C60" s="2"/>
      <c r="D60" s="2" t="s">
        <v>24</v>
      </c>
      <c r="E60" s="5">
        <v>45722.474305555559</v>
      </c>
      <c r="F60" s="2" t="s">
        <v>160</v>
      </c>
      <c r="G60" s="2">
        <v>62699</v>
      </c>
      <c r="H60" s="2">
        <v>0</v>
      </c>
      <c r="I60" s="2">
        <v>0</v>
      </c>
      <c r="J60" s="2">
        <v>0</v>
      </c>
      <c r="K60" s="2" t="s">
        <v>25</v>
      </c>
      <c r="L60" s="4">
        <v>579.97</v>
      </c>
      <c r="M60" s="2"/>
      <c r="N60" t="s">
        <v>259</v>
      </c>
      <c r="O60" t="s">
        <v>259</v>
      </c>
    </row>
    <row r="61" spans="1:15" ht="79.2" x14ac:dyDescent="0.3">
      <c r="A61" s="2" t="s">
        <v>161</v>
      </c>
      <c r="B61" s="2" t="str">
        <f>HYPERLINK("https://www.wthr.com/article/sports/local-sports/indy-ignite-wins-big-on-road-against-vegas-thrill-pro-volleyball-federation-professional-womens-sports/531-3b0370c6-daa5-4fce-aab9-0ca6ae8b2234")</f>
        <v>https://www.wthr.com/article/sports/local-sports/indy-ignite-wins-big-on-road-against-vegas-thrill-pro-volleyball-federation-professional-womens-sports/531-3b0370c6-daa5-4fce-aab9-0ca6ae8b2234</v>
      </c>
      <c r="C61" s="2"/>
      <c r="D61" s="2" t="s">
        <v>45</v>
      </c>
      <c r="E61" s="5">
        <v>45722.397673611107</v>
      </c>
      <c r="F61" s="2" t="s">
        <v>162</v>
      </c>
      <c r="G61" s="2">
        <v>1401295</v>
      </c>
      <c r="H61" s="2">
        <v>0</v>
      </c>
      <c r="I61" s="2">
        <v>0</v>
      </c>
      <c r="J61" s="2">
        <v>0</v>
      </c>
      <c r="K61" s="2" t="s">
        <v>26</v>
      </c>
      <c r="L61" s="4">
        <v>12961.98</v>
      </c>
      <c r="M61" s="2"/>
      <c r="N61" t="s">
        <v>260</v>
      </c>
      <c r="O61" t="s">
        <v>278</v>
      </c>
    </row>
    <row r="62" spans="1:15" ht="92.4" x14ac:dyDescent="0.3">
      <c r="A62" s="2" t="s">
        <v>163</v>
      </c>
      <c r="B62" s="2" t="str">
        <f>HYPERLINK("https://www.oursportscentral.com/services/releases/indy-ignite-make-statement-with-road-victory-at-vegas/n-6197511")</f>
        <v>https://www.oursportscentral.com/services/releases/indy-ignite-make-statement-with-road-victory-at-vegas/n-6197511</v>
      </c>
      <c r="C62" s="2"/>
      <c r="D62" s="2" t="s">
        <v>24</v>
      </c>
      <c r="E62" s="5">
        <v>45722.195138888892</v>
      </c>
      <c r="F62" s="2" t="s">
        <v>164</v>
      </c>
      <c r="G62" s="2">
        <v>62699</v>
      </c>
      <c r="H62" s="2">
        <v>0</v>
      </c>
      <c r="I62" s="2">
        <v>0</v>
      </c>
      <c r="J62" s="2">
        <v>0</v>
      </c>
      <c r="K62" s="2" t="s">
        <v>25</v>
      </c>
      <c r="L62" s="4">
        <v>579.97</v>
      </c>
      <c r="M62" s="2"/>
      <c r="N62" t="s">
        <v>259</v>
      </c>
      <c r="O62" t="s">
        <v>259</v>
      </c>
    </row>
    <row r="63" spans="1:15" ht="66" x14ac:dyDescent="0.3">
      <c r="A63" s="2" t="s">
        <v>165</v>
      </c>
      <c r="B63" s="2" t="str">
        <f>HYPERLINK("https://www.huskersillustrated.com/volleyball/stories/louisville-players-expect-busboom-kelly-to-thrive-at-nu/article_11fc1630-f95c-11ef-b7c6-f3edf3f2346e.html")</f>
        <v>https://www.huskersillustrated.com/volleyball/stories/louisville-players-expect-busboom-kelly-to-thrive-at-nu/article_11fc1630-f95c-11ef-b7c6-f3edf3f2346e.html</v>
      </c>
      <c r="C63" s="2" t="s">
        <v>166</v>
      </c>
      <c r="D63" s="2" t="s">
        <v>167</v>
      </c>
      <c r="E63" s="5">
        <v>45721</v>
      </c>
      <c r="F63" s="2" t="s">
        <v>168</v>
      </c>
      <c r="G63" s="2"/>
      <c r="H63" s="2">
        <v>0</v>
      </c>
      <c r="I63" s="2">
        <v>0</v>
      </c>
      <c r="J63" s="2">
        <v>0</v>
      </c>
      <c r="K63" s="2" t="s">
        <v>26</v>
      </c>
      <c r="L63" s="2"/>
      <c r="M63" s="2"/>
      <c r="N63" t="s">
        <v>272</v>
      </c>
      <c r="O63" t="s">
        <v>259</v>
      </c>
    </row>
    <row r="64" spans="1:15" ht="39.6" x14ac:dyDescent="0.3">
      <c r="A64" s="2" t="s">
        <v>169</v>
      </c>
      <c r="B64" s="2" t="str">
        <f>HYPERLINK("https://phuketnews.easybranches.com/sport/12580870")</f>
        <v>https://phuketnews.easybranches.com/sport/12580870</v>
      </c>
      <c r="C64" s="2"/>
      <c r="D64" s="2" t="s">
        <v>170</v>
      </c>
      <c r="E64" s="5">
        <v>45721</v>
      </c>
      <c r="F64" s="2" t="s">
        <v>171</v>
      </c>
      <c r="G64" s="2">
        <v>39114</v>
      </c>
      <c r="H64" s="2">
        <v>0</v>
      </c>
      <c r="I64" s="2">
        <v>0</v>
      </c>
      <c r="J64" s="2">
        <v>0</v>
      </c>
      <c r="K64" s="2" t="s">
        <v>26</v>
      </c>
      <c r="L64" s="4">
        <v>361.8</v>
      </c>
      <c r="M64" s="2"/>
      <c r="N64" t="s">
        <v>259</v>
      </c>
      <c r="O64" t="s">
        <v>259</v>
      </c>
    </row>
    <row r="65" spans="1:15" ht="409.6" x14ac:dyDescent="0.3">
      <c r="A65" s="2" t="s">
        <v>172</v>
      </c>
      <c r="B65" s="2" t="str">
        <f>HYPERLINK("https://www.visitindiana.com/blog/post/bump-set-spike-womens-pro-volleyball-is-scoring-points-in-hamilton-county/")</f>
        <v>https://www.visitindiana.com/blog/post/bump-set-spike-womens-pro-volleyball-is-scoring-points-in-hamilton-county/</v>
      </c>
      <c r="C65" s="2" t="s">
        <v>173</v>
      </c>
      <c r="D65" s="2" t="s">
        <v>174</v>
      </c>
      <c r="E65" s="5">
        <v>45719.25</v>
      </c>
      <c r="F65" s="2" t="s">
        <v>175</v>
      </c>
      <c r="G65" s="2">
        <v>66456</v>
      </c>
      <c r="H65" s="2">
        <v>0</v>
      </c>
      <c r="I65" s="2">
        <v>0</v>
      </c>
      <c r="J65" s="2">
        <v>0</v>
      </c>
      <c r="K65" s="2" t="s">
        <v>26</v>
      </c>
      <c r="L65" s="4">
        <v>614.72</v>
      </c>
      <c r="M65" s="2"/>
      <c r="N65" t="s">
        <v>260</v>
      </c>
      <c r="O65" t="s">
        <v>278</v>
      </c>
    </row>
    <row r="66" spans="1:15" ht="52.8" x14ac:dyDescent="0.3">
      <c r="A66" s="2" t="s">
        <v>176</v>
      </c>
      <c r="B66" s="2" t="str">
        <f>HYPERLINK("https://1077theisland.com/2025/03/02/supernovas-bounce-back-with-sunday-sweep-of-indy/")</f>
        <v>https://1077theisland.com/2025/03/02/supernovas-bounce-back-with-sunday-sweep-of-indy/</v>
      </c>
      <c r="C66" s="2" t="s">
        <v>74</v>
      </c>
      <c r="D66" s="2" t="s">
        <v>60</v>
      </c>
      <c r="E66" s="5">
        <v>45718.859131944453</v>
      </c>
      <c r="F66" s="2" t="s">
        <v>177</v>
      </c>
      <c r="G66" s="2">
        <v>1284</v>
      </c>
      <c r="H66" s="2">
        <v>0</v>
      </c>
      <c r="I66" s="2">
        <v>0</v>
      </c>
      <c r="J66" s="2">
        <v>0</v>
      </c>
      <c r="K66" s="2" t="s">
        <v>25</v>
      </c>
      <c r="L66" s="4">
        <v>11.88</v>
      </c>
      <c r="M66" s="2"/>
      <c r="N66" t="s">
        <v>261</v>
      </c>
      <c r="O66" t="s">
        <v>259</v>
      </c>
    </row>
    <row r="67" spans="1:15" ht="52.8" x14ac:dyDescent="0.3">
      <c r="A67" s="2" t="s">
        <v>176</v>
      </c>
      <c r="B67" s="2" t="str">
        <f>HYPERLINK("https://rock1015.com/2025/03/02/supernovas-bounce-back-with-sunday-sweep-of-indy/")</f>
        <v>https://rock1015.com/2025/03/02/supernovas-bounce-back-with-sunday-sweep-of-indy/</v>
      </c>
      <c r="C67" s="2" t="s">
        <v>74</v>
      </c>
      <c r="D67" s="2" t="s">
        <v>56</v>
      </c>
      <c r="E67" s="5">
        <v>45718.858969907407</v>
      </c>
      <c r="F67" s="2" t="s">
        <v>177</v>
      </c>
      <c r="G67" s="2">
        <v>1017</v>
      </c>
      <c r="H67" s="2">
        <v>0</v>
      </c>
      <c r="I67" s="2">
        <v>0</v>
      </c>
      <c r="J67" s="2">
        <v>0</v>
      </c>
      <c r="K67" s="2" t="s">
        <v>25</v>
      </c>
      <c r="L67" s="4">
        <v>9.41</v>
      </c>
      <c r="M67" s="2"/>
      <c r="N67" t="s">
        <v>261</v>
      </c>
      <c r="O67" t="s">
        <v>259</v>
      </c>
    </row>
    <row r="68" spans="1:15" ht="52.8" x14ac:dyDescent="0.3">
      <c r="A68" s="2" t="s">
        <v>176</v>
      </c>
      <c r="B68" s="2" t="str">
        <f>HYPERLINK("https://kqky.com/2025/03/02/supernovas-bounce-back-with-sunday-sweep-of-indy/")</f>
        <v>https://kqky.com/2025/03/02/supernovas-bounce-back-with-sunday-sweep-of-indy/</v>
      </c>
      <c r="C68" s="2" t="s">
        <v>74</v>
      </c>
      <c r="D68" s="2" t="s">
        <v>58</v>
      </c>
      <c r="E68" s="5">
        <v>45718.853877314818</v>
      </c>
      <c r="F68" s="2" t="s">
        <v>177</v>
      </c>
      <c r="G68" s="2">
        <v>737</v>
      </c>
      <c r="H68" s="2">
        <v>0</v>
      </c>
      <c r="I68" s="2">
        <v>0</v>
      </c>
      <c r="J68" s="2">
        <v>0</v>
      </c>
      <c r="K68" s="2" t="s">
        <v>25</v>
      </c>
      <c r="L68" s="4">
        <v>6.82</v>
      </c>
      <c r="M68" s="2"/>
      <c r="N68" t="s">
        <v>228</v>
      </c>
      <c r="O68" t="s">
        <v>259</v>
      </c>
    </row>
    <row r="69" spans="1:15" ht="52.8" x14ac:dyDescent="0.3">
      <c r="A69" s="2" t="s">
        <v>176</v>
      </c>
      <c r="B69" s="2" t="str">
        <f>HYPERLINK("https://kgfw.com/2025/03/02/supernovas-bounce-back-with-sunday-sweep-of-indy/")</f>
        <v>https://kgfw.com/2025/03/02/supernovas-bounce-back-with-sunday-sweep-of-indy/</v>
      </c>
      <c r="C69" s="2" t="s">
        <v>74</v>
      </c>
      <c r="D69" s="2" t="s">
        <v>59</v>
      </c>
      <c r="E69" s="5">
        <v>45718.840624999997</v>
      </c>
      <c r="F69" s="2" t="s">
        <v>177</v>
      </c>
      <c r="G69" s="2">
        <v>9856</v>
      </c>
      <c r="H69" s="2">
        <v>0</v>
      </c>
      <c r="I69" s="2">
        <v>0</v>
      </c>
      <c r="J69" s="2">
        <v>0</v>
      </c>
      <c r="K69" s="2" t="s">
        <v>25</v>
      </c>
      <c r="L69" s="4">
        <v>91.17</v>
      </c>
      <c r="M69" s="2"/>
      <c r="N69" t="s">
        <v>228</v>
      </c>
      <c r="O69" t="s">
        <v>259</v>
      </c>
    </row>
    <row r="70" spans="1:15" ht="52.8" x14ac:dyDescent="0.3">
      <c r="A70" s="2" t="s">
        <v>176</v>
      </c>
      <c r="B70" s="2" t="str">
        <f>HYPERLINK("https://www.centralnebraskatoday.com/2025/03/02/supernovas-bounce-back-with-sunday-sweep-of-indy/")</f>
        <v>https://www.centralnebraskatoday.com/2025/03/02/supernovas-bounce-back-with-sunday-sweep-of-indy/</v>
      </c>
      <c r="C70" s="2" t="s">
        <v>74</v>
      </c>
      <c r="D70" s="2" t="s">
        <v>61</v>
      </c>
      <c r="E70" s="5">
        <v>45718.83394675926</v>
      </c>
      <c r="F70" s="2" t="s">
        <v>177</v>
      </c>
      <c r="G70" s="2"/>
      <c r="H70" s="2">
        <v>1</v>
      </c>
      <c r="I70" s="2">
        <v>1028</v>
      </c>
      <c r="J70" s="2">
        <v>17</v>
      </c>
      <c r="K70" s="2" t="s">
        <v>25</v>
      </c>
      <c r="L70" s="2"/>
      <c r="M70" s="2"/>
      <c r="N70" t="s">
        <v>228</v>
      </c>
      <c r="O70" t="s">
        <v>259</v>
      </c>
    </row>
    <row r="71" spans="1:15" ht="79.2" x14ac:dyDescent="0.3">
      <c r="A71" s="2" t="s">
        <v>178</v>
      </c>
      <c r="B71" s="2" t="str">
        <f>HYPERLINK("https://www.oursportscentral.com/services/releases/nuneviller-powers-supernovas-past-ignite-in-league-leading-sixth-sweep/n-6196520")</f>
        <v>https://www.oursportscentral.com/services/releases/nuneviller-powers-supernovas-past-ignite-in-league-leading-sixth-sweep/n-6196520</v>
      </c>
      <c r="C71" s="2"/>
      <c r="D71" s="2" t="s">
        <v>24</v>
      </c>
      <c r="E71" s="5">
        <v>45718.826388888891</v>
      </c>
      <c r="F71" s="2" t="s">
        <v>179</v>
      </c>
      <c r="G71" s="2">
        <v>62699</v>
      </c>
      <c r="H71" s="2">
        <v>0</v>
      </c>
      <c r="I71" s="2">
        <v>0</v>
      </c>
      <c r="J71" s="2">
        <v>0</v>
      </c>
      <c r="K71" s="2" t="s">
        <v>25</v>
      </c>
      <c r="L71" s="4">
        <v>579.97</v>
      </c>
      <c r="M71" s="2"/>
      <c r="N71" t="s">
        <v>259</v>
      </c>
      <c r="O71" t="s">
        <v>259</v>
      </c>
    </row>
    <row r="72" spans="1:15" ht="79.2" x14ac:dyDescent="0.3">
      <c r="A72" s="2" t="s">
        <v>180</v>
      </c>
      <c r="B72" s="2" t="str">
        <f>HYPERLINK("https://omaha.com/sports/professional/other/article_58330f98-f798-11ef-b37c-efe9ee6d13fb.html")</f>
        <v>https://omaha.com/sports/professional/other/article_58330f98-f798-11ef-b37c-efe9ee6d13fb.html</v>
      </c>
      <c r="C72" s="2" t="s">
        <v>134</v>
      </c>
      <c r="D72" s="2" t="s">
        <v>65</v>
      </c>
      <c r="E72" s="5">
        <v>45718.81322916667</v>
      </c>
      <c r="F72" s="2" t="s">
        <v>181</v>
      </c>
      <c r="G72" s="2">
        <v>360012</v>
      </c>
      <c r="H72" s="2"/>
      <c r="I72" s="2"/>
      <c r="J72" s="2"/>
      <c r="K72" s="2" t="s">
        <v>25</v>
      </c>
      <c r="L72" s="4">
        <v>3330.11</v>
      </c>
      <c r="M72" s="2"/>
      <c r="N72" t="s">
        <v>264</v>
      </c>
      <c r="O72" t="s">
        <v>259</v>
      </c>
    </row>
    <row r="73" spans="1:15" ht="92.4" x14ac:dyDescent="0.3">
      <c r="A73" s="2" t="s">
        <v>182</v>
      </c>
      <c r="B73" s="2" t="str">
        <f>HYPERLINK("https://www.oursportscentral.com/services/releases/ignite-come-tantalizingly-close-but-fall-at-omaha/n-6196513")</f>
        <v>https://www.oursportscentral.com/services/releases/ignite-come-tantalizingly-close-but-fall-at-omaha/n-6196513</v>
      </c>
      <c r="C73" s="2"/>
      <c r="D73" s="2" t="s">
        <v>24</v>
      </c>
      <c r="E73" s="5">
        <v>45718.731944444437</v>
      </c>
      <c r="F73" s="2" t="s">
        <v>183</v>
      </c>
      <c r="G73" s="2">
        <v>62699</v>
      </c>
      <c r="H73" s="2">
        <v>0</v>
      </c>
      <c r="I73" s="2">
        <v>0</v>
      </c>
      <c r="J73" s="2">
        <v>0</v>
      </c>
      <c r="K73" s="2" t="s">
        <v>25</v>
      </c>
      <c r="L73" s="4">
        <v>579.97</v>
      </c>
      <c r="M73" s="2"/>
      <c r="N73" t="s">
        <v>259</v>
      </c>
      <c r="O73" t="s">
        <v>259</v>
      </c>
    </row>
    <row r="74" spans="1:15" ht="79.2" x14ac:dyDescent="0.3">
      <c r="A74" s="2" t="s">
        <v>184</v>
      </c>
      <c r="B74" s="2" t="str">
        <f>HYPERLINK("https://ruralradio.com/ktic/news/supernovas-sweep-ignite/")</f>
        <v>https://ruralradio.com/ktic/news/supernovas-sweep-ignite/</v>
      </c>
      <c r="C74" s="2"/>
      <c r="D74" s="2" t="s">
        <v>125</v>
      </c>
      <c r="E74" s="5">
        <v>45718.723703703698</v>
      </c>
      <c r="F74" s="2" t="s">
        <v>185</v>
      </c>
      <c r="G74" s="2">
        <v>98799</v>
      </c>
      <c r="H74" s="2">
        <v>0</v>
      </c>
      <c r="I74" s="2">
        <v>0</v>
      </c>
      <c r="J74" s="2">
        <v>0</v>
      </c>
      <c r="K74" s="2" t="s">
        <v>25</v>
      </c>
      <c r="L74" s="4">
        <v>913.89</v>
      </c>
      <c r="M74" s="2"/>
      <c r="N74" t="s">
        <v>268</v>
      </c>
      <c r="O74" t="s">
        <v>259</v>
      </c>
    </row>
    <row r="75" spans="1:15" ht="92.4" x14ac:dyDescent="0.3">
      <c r="A75" s="2" t="s">
        <v>186</v>
      </c>
      <c r="B75" s="2" t="str">
        <f>HYPERLINK("https://www.courier-journal.com/story/sports/2025/03/02/louisville-volleyball-nfl-combine-high-school-recruiting/78357730007/")</f>
        <v>https://www.courier-journal.com/story/sports/2025/03/02/louisville-volleyball-nfl-combine-high-school-recruiting/78357730007/</v>
      </c>
      <c r="C75" s="2"/>
      <c r="D75" s="2" t="s">
        <v>187</v>
      </c>
      <c r="E75" s="5">
        <v>45718.215405092589</v>
      </c>
      <c r="F75" s="2" t="s">
        <v>188</v>
      </c>
      <c r="G75" s="2">
        <v>1668962</v>
      </c>
      <c r="H75" s="2">
        <v>0</v>
      </c>
      <c r="I75" s="2">
        <v>0</v>
      </c>
      <c r="J75" s="2">
        <v>11</v>
      </c>
      <c r="K75" s="2" t="s">
        <v>25</v>
      </c>
      <c r="L75" s="4">
        <v>15437.9</v>
      </c>
      <c r="M75" s="2"/>
      <c r="N75" t="s">
        <v>266</v>
      </c>
      <c r="O75" t="s">
        <v>259</v>
      </c>
    </row>
    <row r="76" spans="1:15" ht="171.6" x14ac:dyDescent="0.3">
      <c r="A76" s="2" t="s">
        <v>189</v>
      </c>
      <c r="B76" s="2" t="str">
        <f>HYPERLINK("https://www.nuvo.net/sports/indy-ignite-take-down-vega-thrill-in-four-sets/collection_d34ce1de-f70e-11ef-8c37-4f0a29544a40.html")</f>
        <v>https://www.nuvo.net/sports/indy-ignite-take-down-vega-thrill-in-four-sets/collection_d34ce1de-f70e-11ef-8c37-4f0a29544a40.html</v>
      </c>
      <c r="C76" s="2" t="s">
        <v>128</v>
      </c>
      <c r="D76" s="2" t="s">
        <v>129</v>
      </c>
      <c r="E76" s="5">
        <v>45717.922152777777</v>
      </c>
      <c r="F76" s="2" t="s">
        <v>190</v>
      </c>
      <c r="G76" s="2">
        <v>16115</v>
      </c>
      <c r="H76" s="2">
        <v>0</v>
      </c>
      <c r="I76" s="2">
        <v>0</v>
      </c>
      <c r="J76" s="2">
        <v>0</v>
      </c>
      <c r="K76" s="2" t="s">
        <v>26</v>
      </c>
      <c r="L76" s="4">
        <v>149.06</v>
      </c>
      <c r="M76" s="2"/>
      <c r="N76" t="s">
        <v>260</v>
      </c>
      <c r="O76" t="s">
        <v>278</v>
      </c>
    </row>
    <row r="77" spans="1:15" ht="79.2" x14ac:dyDescent="0.3">
      <c r="A77" s="2" t="s">
        <v>191</v>
      </c>
      <c r="B77" s="2" t="str">
        <f>HYPERLINK("https://www.purdueexponent.org/sports/mens/football/football-volleyball-soccer-spring-schedules-released/article_a38e1d84-f48c-11ef-b5bb-77e4fb81599c.html")</f>
        <v>https://www.purdueexponent.org/sports/mens/football/football-volleyball-soccer-spring-schedules-released/article_a38e1d84-f48c-11ef-b5bb-77e4fb81599c.html</v>
      </c>
      <c r="C77" s="2" t="s">
        <v>192</v>
      </c>
      <c r="D77" s="2" t="s">
        <v>193</v>
      </c>
      <c r="E77" s="5">
        <v>45717.352708333332</v>
      </c>
      <c r="F77" s="2" t="s">
        <v>194</v>
      </c>
      <c r="G77" s="2">
        <v>70562</v>
      </c>
      <c r="H77" s="2">
        <v>0</v>
      </c>
      <c r="I77" s="2">
        <v>0</v>
      </c>
      <c r="J77" s="2">
        <v>1</v>
      </c>
      <c r="K77" s="2" t="s">
        <v>25</v>
      </c>
      <c r="L77" s="4">
        <v>652.70000000000005</v>
      </c>
      <c r="M77" s="2"/>
      <c r="N77" t="s">
        <v>273</v>
      </c>
      <c r="O77" t="s">
        <v>278</v>
      </c>
    </row>
    <row r="78" spans="1:15" x14ac:dyDescent="0.3">
      <c r="L78"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195</v>
      </c>
      <c r="B1" s="1" t="s">
        <v>196</v>
      </c>
      <c r="C1" s="1" t="s">
        <v>197</v>
      </c>
      <c r="D1" s="1" t="s">
        <v>198</v>
      </c>
      <c r="E1" s="1" t="s">
        <v>199</v>
      </c>
      <c r="F1" s="1" t="s">
        <v>200</v>
      </c>
      <c r="G1" s="1" t="s">
        <v>201</v>
      </c>
      <c r="H1" s="1" t="s">
        <v>202</v>
      </c>
      <c r="I1" s="1" t="s">
        <v>203</v>
      </c>
      <c r="J1" s="1" t="s">
        <v>204</v>
      </c>
      <c r="K1" s="1" t="s">
        <v>205</v>
      </c>
      <c r="L1" s="1" t="s">
        <v>206</v>
      </c>
      <c r="M1" s="1" t="s">
        <v>207</v>
      </c>
      <c r="N1" s="1" t="s">
        <v>208</v>
      </c>
      <c r="O1" s="1" t="s">
        <v>209</v>
      </c>
    </row>
    <row r="2" spans="1:15" ht="39.6" x14ac:dyDescent="0.3">
      <c r="A2" s="2" t="s">
        <v>5</v>
      </c>
      <c r="B2" s="2" t="s">
        <v>210</v>
      </c>
      <c r="C2" s="2"/>
      <c r="D2" s="2" t="s">
        <v>211</v>
      </c>
      <c r="E2" s="2" t="str">
        <f>HYPERLINK("http://twitter.com/CKightlinger")</f>
        <v>http://twitter.com/CKightlinger</v>
      </c>
      <c r="F2" s="2" t="str">
        <f>HYPERLINK("https://muckrack.com/ckightlinger")</f>
        <v>https://muckrack.com/ckightlinger</v>
      </c>
      <c r="G2" s="2">
        <v>8354</v>
      </c>
      <c r="H2" s="2" t="s">
        <v>212</v>
      </c>
      <c r="I2" s="2" t="s">
        <v>213</v>
      </c>
      <c r="J2" s="2" t="s">
        <v>214</v>
      </c>
      <c r="K2" s="2" t="s">
        <v>215</v>
      </c>
      <c r="L2" s="2" t="s">
        <v>216</v>
      </c>
      <c r="M2" s="5">
        <v>45743.641412037039</v>
      </c>
      <c r="N2" s="2" t="str">
        <f>HYPERLINK("http://twitter.com/CKightlinger/status/1905339949202993282")</f>
        <v>http://twitter.com/CKightlinger/status/1905339949202993282</v>
      </c>
      <c r="O2" s="2" t="str">
        <f>HYPERLINK("https://www.indystar.com/story/sports/high-school/2025/03/27/indy-ignite-caitie-baird-perry-meridian-stanford-volleyball/82645227007/")</f>
        <v>https://www.indystar.com/story/sports/high-school/2025/03/27/indy-ignite-caitie-baird-perry-meridian-stanford-volleyball/82645227007/</v>
      </c>
    </row>
    <row r="3" spans="1:15" ht="52.8" x14ac:dyDescent="0.3">
      <c r="A3" s="2" t="s">
        <v>36</v>
      </c>
      <c r="B3" s="2" t="s">
        <v>217</v>
      </c>
      <c r="C3" s="2" t="s">
        <v>218</v>
      </c>
      <c r="D3" s="2" t="s">
        <v>219</v>
      </c>
      <c r="E3" s="2" t="str">
        <f>HYPERLINK("http://twitter.com/mekamalmustafa")</f>
        <v>http://twitter.com/mekamalmustafa</v>
      </c>
      <c r="F3" s="2" t="str">
        <f>HYPERLINK("https://muckrack.com/djkamalmustafa")</f>
        <v>https://muckrack.com/djkamalmustafa</v>
      </c>
      <c r="G3" s="2">
        <v>288</v>
      </c>
      <c r="H3" s="2" t="s">
        <v>220</v>
      </c>
      <c r="I3" s="2" t="s">
        <v>221</v>
      </c>
      <c r="J3" s="2" t="s">
        <v>222</v>
      </c>
      <c r="K3" s="2" t="s">
        <v>223</v>
      </c>
      <c r="L3" s="2" t="s">
        <v>224</v>
      </c>
      <c r="M3" s="5">
        <v>45743.186666666668</v>
      </c>
      <c r="N3" s="2" t="str">
        <f>HYPERLINK("http://twitter.com/mekamalmustafa/status/1905175155728429352")</f>
        <v>http://twitter.com/mekamalmustafa/status/1905175155728429352</v>
      </c>
      <c r="O3" s="2" t="str">
        <f>HYPERLINK("https://emeatribune.com/39-dream-is-coming-true-for-me-39-perry-meridian-star-caitie-baird-picked-up-by-indy-ignite/")</f>
        <v>https://emeatribune.com/39-dream-is-coming-true-for-me-39-perry-meridian-star-caitie-baird-picked-up-by-indy-ignite/</v>
      </c>
    </row>
    <row r="4" spans="1:15" ht="52.8" x14ac:dyDescent="0.3">
      <c r="A4" s="2" t="s">
        <v>74</v>
      </c>
      <c r="B4" s="2" t="s">
        <v>225</v>
      </c>
      <c r="C4" s="2" t="s">
        <v>226</v>
      </c>
      <c r="D4" s="2" t="s">
        <v>227</v>
      </c>
      <c r="E4" s="2" t="str">
        <f>HYPERLINK("http://twitter.com/alexhammeke")</f>
        <v>http://twitter.com/alexhammeke</v>
      </c>
      <c r="F4" s="2" t="str">
        <f>HYPERLINK("https://muckrack.com/alex-hammeke-1")</f>
        <v>https://muckrack.com/alex-hammeke-1</v>
      </c>
      <c r="G4" s="2">
        <v>1055</v>
      </c>
      <c r="H4" s="2" t="s">
        <v>228</v>
      </c>
      <c r="I4" s="2" t="s">
        <v>229</v>
      </c>
      <c r="J4" s="2"/>
      <c r="K4" s="2" t="s">
        <v>230</v>
      </c>
      <c r="L4" s="2" t="s">
        <v>231</v>
      </c>
      <c r="M4" s="5">
        <v>45740.474259259259</v>
      </c>
      <c r="N4" s="2" t="str">
        <f>HYPERLINK("http://twitter.com/alexhammeke/status/1904192212146995659")</f>
        <v>http://twitter.com/alexhammeke/status/1904192212146995659</v>
      </c>
      <c r="O4" s="2" t="str">
        <f>HYPERLINK("https://www.centralnebraskatoday.com/2025/03/24/supernovas-draw-second-largest-crowd-in-pro-volleyball-history-fall-to-indy/")</f>
        <v>https://www.centralnebraskatoday.com/2025/03/24/supernovas-draw-second-largest-crowd-in-pro-volleyball-history-fall-to-indy/</v>
      </c>
    </row>
    <row r="5" spans="1:15" ht="92.4" x14ac:dyDescent="0.3">
      <c r="A5" s="2" t="s">
        <v>232</v>
      </c>
      <c r="B5" s="2" t="s">
        <v>233</v>
      </c>
      <c r="C5" s="2"/>
      <c r="D5" s="2" t="s">
        <v>234</v>
      </c>
      <c r="E5" s="2" t="str">
        <f>HYPERLINK("http://twitter.com/Studio79")</f>
        <v>http://twitter.com/Studio79</v>
      </c>
      <c r="F5" s="2" t="str">
        <f>HYPERLINK("https://muckrack.com/sam-fahmi")</f>
        <v>https://muckrack.com/sam-fahmi</v>
      </c>
      <c r="G5" s="2">
        <v>1564</v>
      </c>
      <c r="H5" s="2" t="s">
        <v>235</v>
      </c>
      <c r="I5" s="2" t="s">
        <v>236</v>
      </c>
      <c r="J5" s="2" t="s">
        <v>237</v>
      </c>
      <c r="K5" s="2" t="s">
        <v>238</v>
      </c>
      <c r="L5" s="2" t="s">
        <v>239</v>
      </c>
      <c r="M5" s="5">
        <v>45738.676134259258</v>
      </c>
      <c r="N5" s="2" t="str">
        <f>HYPERLINK("http://twitter.com/Studio79/status/1903540593655001258")</f>
        <v>http://twitter.com/Studio79/status/1903540593655001258</v>
      </c>
      <c r="O5" s="2" t="str">
        <f>HYPERLINK("https://provolleyball.com/news/2025/03/fury-sign-veteran-setter-nootsara-tomkom")</f>
        <v>https://provolleyball.com/news/2025/03/fury-sign-veteran-setter-nootsara-tomkom</v>
      </c>
    </row>
    <row r="6" spans="1:15" ht="52.8" x14ac:dyDescent="0.3">
      <c r="A6" s="2" t="s">
        <v>74</v>
      </c>
      <c r="B6" s="2" t="s">
        <v>225</v>
      </c>
      <c r="C6" s="2" t="s">
        <v>226</v>
      </c>
      <c r="D6" s="2" t="s">
        <v>227</v>
      </c>
      <c r="E6" s="2" t="str">
        <f>HYPERLINK("http://twitter.com/alexhammeke")</f>
        <v>http://twitter.com/alexhammeke</v>
      </c>
      <c r="F6" s="2" t="str">
        <f>HYPERLINK("https://muckrack.com/alex-hammeke-1")</f>
        <v>https://muckrack.com/alex-hammeke-1</v>
      </c>
      <c r="G6" s="2">
        <v>1055</v>
      </c>
      <c r="H6" s="2" t="s">
        <v>228</v>
      </c>
      <c r="I6" s="2" t="s">
        <v>229</v>
      </c>
      <c r="J6" s="2"/>
      <c r="K6" s="2" t="s">
        <v>230</v>
      </c>
      <c r="L6" s="2" t="s">
        <v>240</v>
      </c>
      <c r="M6" s="5">
        <v>45737.930173611108</v>
      </c>
      <c r="N6" s="2" t="str">
        <f>HYPERLINK("http://twitter.com/alexhammeke/status/1903270267893195119")</f>
        <v>http://twitter.com/alexhammeke/status/1903270267893195119</v>
      </c>
      <c r="O6" s="2" t="str">
        <f>HYPERLINK("https://www.centralnebraskatoday.com/2025/03/21/252340/")</f>
        <v>https://www.centralnebraskatoday.com/2025/03/21/252340/</v>
      </c>
    </row>
    <row r="7" spans="1:15" ht="79.2" x14ac:dyDescent="0.3">
      <c r="A7" s="2" t="s">
        <v>5</v>
      </c>
      <c r="B7" s="2" t="s">
        <v>210</v>
      </c>
      <c r="C7" s="2"/>
      <c r="D7" s="2" t="s">
        <v>211</v>
      </c>
      <c r="E7" s="2" t="str">
        <f>HYPERLINK("http://twitter.com/CKightlinger")</f>
        <v>http://twitter.com/CKightlinger</v>
      </c>
      <c r="F7" s="2" t="str">
        <f>HYPERLINK("https://muckrack.com/ckightlinger")</f>
        <v>https://muckrack.com/ckightlinger</v>
      </c>
      <c r="G7" s="2">
        <v>8354</v>
      </c>
      <c r="H7" s="2" t="s">
        <v>212</v>
      </c>
      <c r="I7" s="2" t="s">
        <v>213</v>
      </c>
      <c r="J7" s="2" t="s">
        <v>214</v>
      </c>
      <c r="K7" s="2" t="s">
        <v>215</v>
      </c>
      <c r="L7" s="2" t="s">
        <v>241</v>
      </c>
      <c r="M7" s="5">
        <v>45736.488333333327</v>
      </c>
      <c r="N7" s="2" t="str">
        <f>HYPERLINK("http://twitter.com/CKightlinger/status/1902747761147072517")</f>
        <v>http://twitter.com/CKightlinger/status/1902747761147072517</v>
      </c>
      <c r="O7" s="2" t="str">
        <f>HYPERLINK("https://provolleyball.com/how-to-watch")</f>
        <v>https://provolleyball.com/how-to-watch</v>
      </c>
    </row>
    <row r="8" spans="1:15" ht="79.2" x14ac:dyDescent="0.3">
      <c r="A8" s="2" t="s">
        <v>5</v>
      </c>
      <c r="B8" s="2" t="s">
        <v>210</v>
      </c>
      <c r="C8" s="2"/>
      <c r="D8" s="2" t="s">
        <v>211</v>
      </c>
      <c r="E8" s="2" t="str">
        <f>HYPERLINK("http://twitter.com/CKightlinger")</f>
        <v>http://twitter.com/CKightlinger</v>
      </c>
      <c r="F8" s="2" t="str">
        <f>HYPERLINK("https://muckrack.com/ckightlinger")</f>
        <v>https://muckrack.com/ckightlinger</v>
      </c>
      <c r="G8" s="2">
        <v>8354</v>
      </c>
      <c r="H8" s="2" t="s">
        <v>212</v>
      </c>
      <c r="I8" s="2" t="s">
        <v>213</v>
      </c>
      <c r="J8" s="2" t="s">
        <v>214</v>
      </c>
      <c r="K8" s="2" t="s">
        <v>215</v>
      </c>
      <c r="L8" s="2" t="s">
        <v>242</v>
      </c>
      <c r="M8" s="5">
        <v>45752.692499999997</v>
      </c>
      <c r="N8" s="2" t="str">
        <f>HYPERLINK("http://twitter.com/CKightlinger/status/1908619954745647263")</f>
        <v>http://twitter.com/CKightlinger/status/1908619954745647263</v>
      </c>
      <c r="O8" s="2" t="str">
        <f>HYPERLINK("https://provolleyball.com/how-to-watch")</f>
        <v>https://provolleyball.com/how-to-watch</v>
      </c>
    </row>
    <row r="9" spans="1:15" ht="79.2" x14ac:dyDescent="0.3">
      <c r="A9" s="2" t="s">
        <v>5</v>
      </c>
      <c r="B9" s="2" t="s">
        <v>210</v>
      </c>
      <c r="C9" s="2"/>
      <c r="D9" s="2" t="s">
        <v>211</v>
      </c>
      <c r="E9" s="2" t="str">
        <f>HYPERLINK("http://twitter.com/CKightlinger")</f>
        <v>http://twitter.com/CKightlinger</v>
      </c>
      <c r="F9" s="2" t="str">
        <f>HYPERLINK("https://muckrack.com/ckightlinger")</f>
        <v>https://muckrack.com/ckightlinger</v>
      </c>
      <c r="G9" s="2">
        <v>8354</v>
      </c>
      <c r="H9" s="2" t="s">
        <v>212</v>
      </c>
      <c r="I9" s="2" t="s">
        <v>213</v>
      </c>
      <c r="J9" s="2" t="s">
        <v>214</v>
      </c>
      <c r="K9" s="2" t="s">
        <v>215</v>
      </c>
      <c r="L9" s="2" t="s">
        <v>243</v>
      </c>
      <c r="M9" s="5">
        <v>45759.463321759264</v>
      </c>
      <c r="N9" s="2" t="str">
        <f>HYPERLINK("http://twitter.com/CKightlinger/status/1911073618781446396")</f>
        <v>http://twitter.com/CKightlinger/status/1911073618781446396</v>
      </c>
      <c r="O9" s="2" t="str">
        <f>HYPERLINK("https://provolleyball.com/how-to-watch")</f>
        <v>https://provolleyball.com/how-to-watch</v>
      </c>
    </row>
    <row r="10" spans="1:15" ht="66" x14ac:dyDescent="0.3">
      <c r="A10" s="2" t="s">
        <v>244</v>
      </c>
      <c r="B10" s="2" t="s">
        <v>245</v>
      </c>
      <c r="C10" s="2" t="s">
        <v>246</v>
      </c>
      <c r="D10" s="2" t="s">
        <v>247</v>
      </c>
      <c r="E10" s="2" t="str">
        <f>HYPERLINK("http://twitter.com/JoshSanTV")</f>
        <v>http://twitter.com/JoshSanTV</v>
      </c>
      <c r="F10" s="2" t="str">
        <f>HYPERLINK("https://muckrack.com/joshua-sanchez-3")</f>
        <v>https://muckrack.com/joshua-sanchez-3</v>
      </c>
      <c r="G10" s="2">
        <v>286</v>
      </c>
      <c r="H10" s="2" t="s">
        <v>248</v>
      </c>
      <c r="I10" s="2" t="s">
        <v>249</v>
      </c>
      <c r="J10" s="2" t="s">
        <v>214</v>
      </c>
      <c r="K10" s="2" t="s">
        <v>119</v>
      </c>
      <c r="L10" s="2" t="s">
        <v>250</v>
      </c>
      <c r="M10" s="5">
        <v>45731.506712962961</v>
      </c>
      <c r="N10" s="2" t="str">
        <f>HYPERLINK("http://twitter.com/JoshSanTV/status/1900942482998727111")</f>
        <v>http://twitter.com/JoshSanTV/status/1900942482998727111</v>
      </c>
      <c r="O10" s="2" t="str">
        <f>HYPERLINK("https://www.woodtv.com/news/news-8-digital-series/st-patricks-day-sports-and-the-sugarbush-festival-what-to-do-in-west-michigan-this-weekend/")</f>
        <v>https://www.woodtv.com/news/news-8-digital-series/st-patricks-day-sports-and-the-sugarbush-festival-what-to-do-in-west-michigan-this-weekend/</v>
      </c>
    </row>
    <row r="11" spans="1:15" ht="66" x14ac:dyDescent="0.3">
      <c r="A11" s="2" t="s">
        <v>244</v>
      </c>
      <c r="B11" s="2" t="s">
        <v>245</v>
      </c>
      <c r="C11" s="2" t="s">
        <v>246</v>
      </c>
      <c r="D11" s="2" t="s">
        <v>247</v>
      </c>
      <c r="E11" s="2" t="str">
        <f>HYPERLINK("http://twitter.com/JoshSanTV")</f>
        <v>http://twitter.com/JoshSanTV</v>
      </c>
      <c r="F11" s="2" t="str">
        <f>HYPERLINK("https://muckrack.com/joshua-sanchez-3")</f>
        <v>https://muckrack.com/joshua-sanchez-3</v>
      </c>
      <c r="G11" s="2">
        <v>286</v>
      </c>
      <c r="H11" s="2" t="s">
        <v>248</v>
      </c>
      <c r="I11" s="2" t="s">
        <v>249</v>
      </c>
      <c r="J11" s="2" t="s">
        <v>214</v>
      </c>
      <c r="K11" s="2" t="s">
        <v>119</v>
      </c>
      <c r="L11" s="2" t="str">
        <f>HYPERLINK("https://t.co/JsvmnWPa8T")</f>
        <v>https://t.co/JsvmnWPa8T</v>
      </c>
      <c r="M11" s="5">
        <v>45732.50304398148</v>
      </c>
      <c r="N11" s="2" t="str">
        <f>HYPERLINK("http://twitter.com/JoshSanTV/status/1901303542058508476")</f>
        <v>http://twitter.com/JoshSanTV/status/1901303542058508476</v>
      </c>
      <c r="O11" s="2" t="str">
        <f>HYPERLINK("https://www.woodtv.com/news/news-8-digital-series/st-patricks-day-sports-and-the-sugarbush-festival-what-to-do-in-west-michigan-this-weekend/")</f>
        <v>https://www.woodtv.com/news/news-8-digital-series/st-patricks-day-sports-and-the-sugarbush-festival-what-to-do-in-west-michigan-this-weekend/</v>
      </c>
    </row>
    <row r="12" spans="1:15" ht="66" x14ac:dyDescent="0.3">
      <c r="A12" s="2" t="s">
        <v>102</v>
      </c>
      <c r="B12" s="2" t="s">
        <v>251</v>
      </c>
      <c r="C12" s="2" t="s">
        <v>252</v>
      </c>
      <c r="D12" s="2" t="s">
        <v>253</v>
      </c>
      <c r="E12" s="2" t="str">
        <f>HYPERLINK("http://twitter.com/TJKu29")</f>
        <v>http://twitter.com/TJKu29</v>
      </c>
      <c r="F12" s="2" t="str">
        <f>HYPERLINK("https://muckrack.com/tyler-kuehl")</f>
        <v>https://muckrack.com/tyler-kuehl</v>
      </c>
      <c r="G12" s="2">
        <v>695</v>
      </c>
      <c r="H12" s="2" t="s">
        <v>254</v>
      </c>
      <c r="I12" s="2" t="s">
        <v>255</v>
      </c>
      <c r="J12" s="2"/>
      <c r="K12" s="2" t="s">
        <v>256</v>
      </c>
      <c r="L12" s="2" t="s">
        <v>257</v>
      </c>
      <c r="M12" s="5">
        <v>45718.888645833344</v>
      </c>
      <c r="N12" s="2" t="str">
        <f>HYPERLINK("http://twitter.com/TJKu29/status/1896384947402789087")</f>
        <v>http://twitter.com/TJKu29/status/1896384947402789087</v>
      </c>
      <c r="O12" s="2" t="str">
        <f>HYPERLINK("https://provolleyball.com/news/2025/03/rise-put-down-pvf-record-18-blocks-in-road-sweep-over-vegas")</f>
        <v>https://provolleyball.com/news/2025/03/rise-put-down-pvf-record-18-blocks-in-road-sweep-over-vegas</v>
      </c>
    </row>
    <row r="13" spans="1:15" ht="52.8" x14ac:dyDescent="0.3">
      <c r="A13" s="2" t="s">
        <v>74</v>
      </c>
      <c r="B13" s="2" t="s">
        <v>225</v>
      </c>
      <c r="C13" s="2" t="s">
        <v>226</v>
      </c>
      <c r="D13" s="2" t="s">
        <v>227</v>
      </c>
      <c r="E13" s="2" t="str">
        <f>HYPERLINK("http://twitter.com/alexhammeke")</f>
        <v>http://twitter.com/alexhammeke</v>
      </c>
      <c r="F13" s="2" t="str">
        <f>HYPERLINK("https://muckrack.com/alex-hammeke-1")</f>
        <v>https://muckrack.com/alex-hammeke-1</v>
      </c>
      <c r="G13" s="2">
        <v>1055</v>
      </c>
      <c r="H13" s="2" t="s">
        <v>228</v>
      </c>
      <c r="I13" s="2" t="s">
        <v>229</v>
      </c>
      <c r="J13" s="2"/>
      <c r="K13" s="2" t="s">
        <v>230</v>
      </c>
      <c r="L13" s="2" t="s">
        <v>258</v>
      </c>
      <c r="M13" s="5">
        <v>45718.83902777778</v>
      </c>
      <c r="N13" s="2" t="str">
        <f>HYPERLINK("http://twitter.com/alexhammeke/status/1896366966845386880")</f>
        <v>http://twitter.com/alexhammeke/status/1896366966845386880</v>
      </c>
      <c r="O13" s="2" t="str">
        <f>HYPERLINK("https://www.centralnebraskatoday.com/2025/03/02/supernovas-bounce-back-with-sunday-sweep-of-indy/")</f>
        <v>https://www.centralnebraskatoday.com/2025/03/02/supernovas-bounce-back-with-sunday-sweep-of-indy/</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2025-06-10T16:11:28Z</dcterms:created>
  <dcterms:modified xsi:type="dcterms:W3CDTF">2025-07-28T15:14:42Z</dcterms:modified>
</cp:coreProperties>
</file>