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4e8a8e9b618fe9e1/Documents/Indy Ignite Summer Project/"/>
    </mc:Choice>
  </mc:AlternateContent>
  <xr:revisionPtr revIDLastSave="4" documentId="13_ncr:1_{0CD9EF07-6AB6-49CC-8233-D37C8CC46F85}" xr6:coauthVersionLast="47" xr6:coauthVersionMax="47" xr10:uidLastSave="{789E4FC5-44B7-416D-957C-FBB5E84BD707}"/>
  <bookViews>
    <workbookView xWindow="1536" yWindow="1152" windowWidth="11112" windowHeight="11808" xr2:uid="{9700A63A-5345-433D-89DB-70BC57E4A9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2"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<sst xmlns="http://schemas.openxmlformats.org/spreadsheetml/2006/main" count="482" uniqueCount="218">
  <si>
    <t>Indy Fuel Falls Short to Greenville 4-3: Recap and Analysis</t>
  </si>
  <si>
    <t>larryInFishers</t>
  </si>
  <si>
    <t>When the Indy Fuel were down 4-1 in the third period, things were looking grim for the home team.  However, the Fuel put 2 goals into the net later in the final period and were down only 1 goal late in period 3.</t>
  </si>
  <si>
    <t>Negative</t>
  </si>
  <si>
    <t>The Journal Gazette</t>
  </si>
  <si>
    <t>Neutral</t>
  </si>
  <si>
    <t>Our Sports Central</t>
  </si>
  <si>
    <t>Positive</t>
  </si>
  <si>
    <t>Fuel Fall to Swamp Rabbits in First Meeting of Season</t>
  </si>
  <si>
    <t>January 31, 2025 - ECHL (ECHL)
Indy Fuel News Release
FISHERS- The Fuel hosted the Greenville Swamp Rabbits for the first game of a two-game set this weekend.</t>
  </si>
  <si>
    <t>Give us strength: Nickel Plate Trail in Fishers is getting a new name</t>
  </si>
  <si>
    <t>John Tuohy</t>
  </si>
  <si>
    <t>IndyStar</t>
  </si>
  <si>
    <t>Separately, the city and the Indy Fuel minor league hockey team signed a $4 million, 10-year contract with Forum Credit Union for the naming rights for the plaza outside the Fishers Event Center.
The city and Indy Fuel are still seeking a naming sponsor for the center.</t>
  </si>
  <si>
    <t>Yahoo Sports</t>
  </si>
  <si>
    <t>Out &amp; About: A calendar of events in the Fort Wayne area</t>
  </si>
  <si>
    <t>Indy Fuel; 5 p.m.; Memorial Coliseum, 4000 Parnell Ave.; $15 to $32 adults, $14 to $27 ages 60 and older and 12 to 18, $10 to $22 ages 11 and younger; Ticketmaster.com.
STAGE
ALL WEEKEND
“Five Lesbians Eating a Quiche” – 7:30 p.m. Friday and Saturday, 2 p.m.</t>
  </si>
  <si>
    <t>Stephen Kerr</t>
  </si>
  <si>
    <t>Matthew Buhrmann</t>
  </si>
  <si>
    <t>Inside The Rink</t>
  </si>
  <si>
    <t>Adam Morris</t>
  </si>
  <si>
    <t>Pantagraph</t>
  </si>
  <si>
    <t>The IN List 2024: 1/27 - 2/2</t>
  </si>
  <si>
    <t>Chelsea Kopelman</t>
  </si>
  <si>
    <t>Keeping Up in Carmel</t>
  </si>
  <si>
    <t>Indy Fuel vs. Greenville Swamp Rabbits: 7pm. Fishers Event Center. Tickets required. 
Annie (Touring): 7pm. Clowes Memorial Hall - Indianapolis, IN. Tickets required.
WWE Friday Night Smackdown: 7:30pm. Gainbridge Fieldhouse - Indianapolis, IN. Tickets required.</t>
  </si>
  <si>
    <t>Indy Fuel defeat Kalamazoo Wings - continuing winning streak</t>
  </si>
  <si>
    <t>The Rink Live</t>
  </si>
  <si>
    <t>The result was 4-1 when the Kalamazoo Wings and the Indy Fuel met on Saturday, Jan. 24, 2025.
But this time, Indy secured three victories in a row. However, after a tough time recently, Indy is now in top form.</t>
  </si>
  <si>
    <t>Fuel Defeat Division Rival K-Wings with 4-1 Victory</t>
  </si>
  <si>
    <t>The Indy Fuel brought the heat on Saturday night, defeating the Kalamazoo Wings 4-1 in a Central Division showdown at Wings Event Center. After a postponed game the previous night, the Fuel capitalized on their power-play opportunities and delivered a commanding performance.</t>
  </si>
  <si>
    <t>K-Wings Fall to Fuel Saturday at Home</t>
  </si>
  <si>
    <t>January 25, 2025 - ECHL (ECHL)
Kalamazoo Wings News Release
KALAMAZOO, MI - The Kalamazoo Wings (13-22-1-1), proud ECHL affiliate of the National Hockey League's Vancouver Canucks, dropped a tightly contested game across two periods to the Indy Fuel (17-15-3-2) at Wings Event Center Saturday, 4-1.</t>
  </si>
  <si>
    <t>Nuvo</t>
  </si>
  <si>
    <t>See behind the scenes with Eva Hallman, the Fuel's first and only female broadcaster</t>
  </si>
  <si>
    <t>Grace Hollars</t>
  </si>
  <si>
    <t>Grace Hollars/IndyStar
Indy Fuel broadcaster Eva Hallman interviews Indy Fuel goalie Ben Gaudreau (31) on Wednesday, Jan. 8, 2025, ahead of the Indy Fuel game against the Wheeling Nailers at the Fishers Event Center in Fishers. … Grace Hollars/IndyStar
Indy Fuel's Eva Hallman walks into the broadcast suite Wednesday, Jan. 8, 2025, ahead of the Indy Fuel game against the Wheeling Nailers at the Fishers Event Center in Fishers.</t>
  </si>
  <si>
    <t>Coming Up</t>
  </si>
  <si>
    <t>The Herald Bulletin</t>
  </si>
  <si>
    <t>ECHL - Indy Fuel at Kalamazoo Wings, 7 p.m.
NCAA Men's Basketball - Maryland at Indiana, 12 p.m.
NCAA Women's Basketball - DePaul at Butler, 2 p.m.
NCAA Women's Basketball - Purdue at Illinois, 8:30 p.m., Indiana at Washington, 9 p.m.</t>
  </si>
  <si>
    <t>20 Things to Do in Indianapolis in February | Unique Events &amp; Activities</t>
  </si>
  <si>
    <t>Rebeca Simpson Holloway</t>
  </si>
  <si>
    <t>Indy with Kids</t>
  </si>
  <si>
    <t>Check out the Indy Fuel at their new hockey rink in Fishers! Join Nitro’s Kids Club and check out a special theme night in February.
Take a night off from cooking and find a restaurant in Indy where Kids Eat Free or Cheap.
It’s not too early (in some cases you might already be too late!)</t>
  </si>
  <si>
    <t>Column: Will Indy be the 'fuel' for a Bison playoff run?</t>
  </si>
  <si>
    <t>One other team, though, continues to hover nearby in the standings: the Indy Fuel, who represent something of an elder sibling to the Bison through their shared ownership by Indiana-based Hallett Sports and Entertainment.
The Fuel have earned 37 points in 36 games this year.</t>
  </si>
  <si>
    <t>ECHL - Indy Fuel at Bloomington Bison, 8 p.m.
NBA - Indiana Pacers vs. San Antonio Spurs (at Paris), 12 p.m.
NCAA Men's Basketball - DePaul at Butler, 4 p.m., Ball State at Northern Illinois, 4:30 p.m., Notre Dame at Virginia, 6:30 p.m.</t>
  </si>
  <si>
    <t>Red Cross hosts Indiana mascot celebration to encourage blood donations</t>
  </si>
  <si>
    <t>David Gay</t>
  </si>
  <si>
    <t>WXIN-TV (Indianapolis, IN)</t>
  </si>
  <si>
    <t>Some of the mascots that joined the festivities for cake and games included: 
Purdue Pete
Indy Fuel Nitro
Indianapolis Indians Rowdie
Sage the Night Owl from Western Governors University
According to a news release from the Red Cross, January serves as National Blood Donors</t>
  </si>
  <si>
    <t>Icy hot: Fuel games selling out at new Fishers Event Center</t>
  </si>
  <si>
    <t>Les Morris</t>
  </si>
  <si>
    <t>Current Publishing</t>
  </si>
  <si>
    <t>The Indy Fuel are suddenly a hot ticket. The franchise’s move to the new Fishers Event Center has sparked large increases in attendance and resulted in an impressive five sellouts through the first 10 home games of the season.</t>
  </si>
  <si>
    <t>ECHL - Indy Fuel at Bloomington Bison, 8 p.m.</t>
  </si>
  <si>
    <t>Fuel win 4-3 in overtime over Cincy Cyclones</t>
  </si>
  <si>
    <t>Bryan Lemos racked-up 2 goals and Cam Hausinger notched the winning overtime score as the Indy Fuel defeated the Cincinnati Cyclones 4-3 Saturday night.  It was a close and physical contest throughout.</t>
  </si>
  <si>
    <t>Fuel Defeat Cyclones 4-3 in Overtime</t>
  </si>
  <si>
    <t>January 18, 2025 - ECHL (ECHL)
Indy Fuel News Release
FISHERS- The Fuel hosted the Cincinnati Cyclones on Saturday night to close out their weekend and the first half of the regular season.</t>
  </si>
  <si>
    <t>Marc Viquez</t>
  </si>
  <si>
    <t>Stadium Journey Magazine</t>
  </si>
  <si>
    <t>ECHL Game Preview: Cincinnati Cyclones at Indy Fuel | 1/18/2025</t>
  </si>
  <si>
    <t>Héctor Urcia for Inside The Rink
The Cincinnati Cyclones are set to face off against the Indy Fuel at the Fisher’s Event Center for the first time in team history this Saturday night, with puck drop at 7:00 PM EST.</t>
  </si>
  <si>
    <t>CYCLONES EARN ROAD POINT, FALL TO INDY IN OT</t>
  </si>
  <si>
    <t>Cincinnati Cyclones</t>
  </si>
  <si>
    <t>Fishers, Ind, - The Cincinnati Cyclones earned a road point after falling to the Indy Fuel, 4-3, in overtime on Saturday night.</t>
  </si>
  <si>
    <t>Wideman Sets New Indy Record In Win Over K-Wings</t>
  </si>
  <si>
    <t>🚨 LOMBO LOVE 🚨
Kevin Lombardi on the power play to break the scoreless tie 🔥 pic.twitter.com/RcauS2jiZ6
— Indy Fuel (@IndyFuel) January 18, 2025
Nathan Burke got the primary assist, while Wideman picked up the secondary helper.
Lombardi wasn’t done.</t>
  </si>
  <si>
    <t>Indy Fuel Dominates Kalamazoo Wings 4-0: A Shutout Victory</t>
  </si>
  <si>
    <t>The Indy Fuel suffered a tough loss Wednesday at home against the Maine Mariners, but went onto the Fishers Event Center ice and dominated the Kalamazoo Wings 4-0 Friday night.
It was a big night for the Fuel in more ways than one. </t>
  </si>
  <si>
    <t>FUEL SHUT OUT KALAMAZOO AS WIDEMAN BREAKS RECORD</t>
  </si>
  <si>
    <t>indyfuelhockey.com</t>
  </si>
  <si>
    <t>ABOUT THE INDY FUEL:
The Indy Fuel are the proud ECHL affiliate of the National Hockey League’s Chicago Blackhawks and the American Hockey League’s Rockford IceHogs. The Fuel are now playing at the new Fishers Event Center. Information and tickets can be found HERE. </t>
  </si>
  <si>
    <t>Fuel Shut Out Kalamazoo as Wideman Breaks Record</t>
  </si>
  <si>
    <t>January 17, 2025 - ECHL (ECHL)
Indy Fuel News Release
FISHERS- The Fuel hosted the Kalamazoo Wings on Friday night in the first game of the weekend at home.</t>
  </si>
  <si>
    <t>K-Wings Drop Road Matchup to Fuel</t>
  </si>
  <si>
    <t>January 17, 2025 - ECHL (ECHL)
Kalamazoo Wings News Release
FISHERS, IN - The Kalamazoo Wings (12-20-1-0), proud ECHL affiliate of the National Hockey League's Vancouver Canucks, lost to the Indy Fuel (15-15-3-2) at Fishers Event Center Friday, 4-0.</t>
  </si>
  <si>
    <t>ECHL - Cincinnati Cyclones at Indy Fuel, 7 p.m.
NCAA Women's Basketball - USC at Indiana, 12 p.m., SMU at Notre Dame, 6 p.m.
NCAA Women's Basketball - Toledo at Ball State, 11 a.m.</t>
  </si>
  <si>
    <t>Indianapolis weekend events: MLK Day, home show, Globetrotters and more</t>
  </si>
  <si>
    <t>Justin L. Mack</t>
  </si>
  <si>
    <t>Axios Indianapolis</t>
  </si>
  <si>
    <t>ğ Cheer on the Indy Fuel at Fishers Event Center when they take on the Kalamazoo Wings at 7pm Friday, and the Cincinnati Cyclones at 7pm Saturday.
• Tickets for both games start at $24.</t>
  </si>
  <si>
    <t>ECHL - Kalamazoo Wings at Indy Fuel, 7 p.m.
NBA - Philadelphia 76ers at Indiana Pacers, 7 p.m.
NCAA Women's Basketball - Akron at Ball State, 11:30 a.m., Butler at Xavier, 2 p.m., Purdue at Washington, 5 p.m.</t>
  </si>
  <si>
    <t>Maine Mariners beat Indy Fuel in overtime</t>
  </si>
  <si>
    <t>The Indy Fuel hosted the Maine Mariners in the action on Wednesday, Jan. 14, 2025 in what was expected to be a close game.
The game went into overtime and Maine prevailed. The final score was 4-3.</t>
  </si>
  <si>
    <t>Maine Mariners rally to defeat Indy Fuel in overtime thriller</t>
  </si>
  <si>
    <t>WPFO-TV (Portland, ME)</t>
  </si>
  <si>
    <t>The Maine Mariners embarked on a thrilling comeback to defeat the Indy Fuel 4-3 in overtime during the first game of their three-game road trip.
The Mariners found themselves trailing 3-0 in the first period. However, Carter Johnson ignited the comeback by scoring the first goal for the Mariners.</t>
  </si>
  <si>
    <t>WGME-TV (Portland, ME)</t>
  </si>
  <si>
    <t>Mariners secure overtime victory over Indy with Hudson's game-winning goal</t>
  </si>
  <si>
    <t>News Minimalist</t>
  </si>
  <si>
    <t>The Maine Mariners defeated the Indy Fuel 4-3 in overtime on Wednesday, marking their second consecutive win. Jacob Hudson scored the game-winning goal at 2:14 of overtime.
Indy took an early lead, scoring three goals in the first period.</t>
  </si>
  <si>
    <t>Indy Fuel Loss to Maine in Overtime: A Thriller on the Ice</t>
  </si>
  <si>
    <t>Wednesday night, both the Indy Fuel and Maine Mariners were clearly in need of a win.  It was a hard fought contest that went to overtime tied 3-3 when Jacob Hudson of the Mariners notched the winning goal on the OT period.</t>
  </si>
  <si>
    <t>Mariners rally for 4-3 ECHL win over Indy in OT</t>
  </si>
  <si>
    <t>Paul Abramowitz</t>
  </si>
  <si>
    <t>The Portland Press Herald</t>
  </si>
  <si>
    <t>Jacob Hudson scored at 2:14 of overtime to give the Maine Mariners a 4-3 ECHL win over the Indy Fuel Wednesday night at Fishers, Indiana.
The Mariners wiped out an early three-goal deficit to get their second straight win.
Indy scored three times in the first 13:09 of the first period.</t>
  </si>
  <si>
    <t>Fuel Earn Point in Overtime Loss to Maine on Wednesday</t>
  </si>
  <si>
    <t>January 15, 2025 - ECHL (ECHL)
Indy Fuel News Release
FISHERS - The Fuel hosted the Maine Mariners for the first and only time this season on Wednesday night.</t>
  </si>
  <si>
    <t>Mariners Rally to Stun Fuel in Overtime</t>
  </si>
  <si>
    <t>January 15, 2025 - ECHL (ECHL)
Maine Mariners News Release
FISHERS, IN - Jacob Hudson scored at 2:14 of overtime to complete a stunning 4-3 comeback victory for the Maine Mariners over the Indy Fuel on Wednesday night at Fishers Event Center.</t>
  </si>
  <si>
    <t>2025 Maine Mariners vs Indy Fuel</t>
  </si>
  <si>
    <t>FloHockey</t>
  </si>
  <si>
    <t>Event Info
Here's how to watch the 2025 Maine Mariners vs Indy Fuel broadcast on FloHockey. The 2025 Maine Mariners vs Indy Fuel broadcast starts on Jan 15, 2025. Stream or cast from your desktop, mobile or TV. Now available on Roku, Fire TV, Chromecast and Apple TV.</t>
  </si>
  <si>
    <t>ECHL - Maine Mariners at Indy Fuel, 7 p.m.
NBA - Indiana Pacers at Detroit Pistons, 7 p.m.
NCAA Women's Basketball - Georgia Tech at Notre Dame, 6 p.m., Illinois at Indiana, 7 p.m.
NCAA Men's Basketball - Indiana at Ohio State, 8 p.m.
ECHL - Kalamazoo Wings at Indy Fuel, 7 p.m.</t>
  </si>
  <si>
    <t>ECHL - Maine Mariners at Indy Fuel, 7 p.m.
NBA - Indiana Pacers at Detroit Pistons, 7 p.m.
NCAA Women's Basketball - Georgia Tech at Notre Dame, 6 p.m., Illinois at Indiana, 7 p.m.</t>
  </si>
  <si>
    <t>Heartlanders sweep Fuel for fifth straight victory, 2-1</t>
  </si>
  <si>
    <t>Tommy Lang</t>
  </si>
  <si>
    <t>KCJJ-AM (Iowa City, IA)</t>
  </si>
  <si>
    <t>Iowa Heartlanders news release
Heartlanders sweep Fuel for fifth straight victory, 2-1
Coralville, Iowa – The Iowa Heartlanders swept the weekend series against the Indy Fuel with a 2-1 win Sunday at Xtream Arena.</t>
  </si>
  <si>
    <t>Indy Fuel's Close Call: A 2-1 Loss to Iowa Heartlanders</t>
  </si>
  <si>
    <t>The Indy Fuel concluded a grueling week with a Sunday afternoon road matchup against the Iowa Heartlanders, falling 2-1 after a tightly contested game marked by a dramatic third period and a valiant late effort.</t>
  </si>
  <si>
    <t>Fuel Give up Two to Iowa on Sunday</t>
  </si>
  <si>
    <t>January 12, 2025 - ECHL (ECHL)
Indy Fuel News Release
Indy Fuel defenseman Lucas Brenton (right) vs. the Iowa Heartlanders
(Indy Fuel)
CORALVILLE- The Fuel ended their week in Iowa with a Sunday afternoon game where they ultimately fell 2-1 to the Heartlanders after a hard fought third period.
1ST</t>
  </si>
  <si>
    <t>Heartlanders Sweep Fuel for Fifth Straight Victory, 2-1</t>
  </si>
  <si>
    <t>January 12, 2025 - ECHL (ECHL)
Iowa Heartlanders News Release
Coralville, Iowa - The Iowa Heartlanders swept the weekend series against the Indy Fuel with a 2-1 win Sunday at Xtream Arena.</t>
  </si>
  <si>
    <t>Fuel Fall to Heartlanders, 4-1, Despite Third-Period Push</t>
  </si>
  <si>
    <t>The Indy Fuel fell to the Iowa Heartlanders 4-1 on Saturday night in Coralville, Iowa, after struggling to overcome Iowa’s offensive pressure and early momentum.</t>
  </si>
  <si>
    <t>Heartlanders celebrate another home win, beat the Fuel, 4-1</t>
  </si>
  <si>
    <t>Iowa Heartlanders news release
Heartlanders celebrate another home win, beat the Fuel, 4-1
Coralville, Iowa – The Iowa Heartlanders earned their fourth straight win with a 4-1 victory over the Indy Fuel Saturday at Xtream Arena. Kyle McClellan stopped 21 shots and won his third straight start.</t>
  </si>
  <si>
    <t>Fuel Fall to Iowa for Third Time this Season</t>
  </si>
  <si>
    <t>January 11, 2025 - ECHL (ECHL)
Indy Fuel News Release
CORALVILLE- The Fuel headed to Iowa after two games against the Nailers this week.</t>
  </si>
  <si>
    <t>Nailers Fire Past Fuel, 4-1</t>
  </si>
  <si>
    <t>The Intelligencer and Wheeling News Register</t>
  </si>
  <si>
    <t>FISHERS, IN- Three out of four points in a road building is always a positive, and the Wheeling Nailers secured two of those points at Fishers Event Center on Friday night against the Indy Fuel.</t>
  </si>
  <si>
    <t>Heartlanders Celebrate Another Home Win, Beat the Fuel, 4-1</t>
  </si>
  <si>
    <t>January 11, 2025 - ECHL (ECHL)
Iowa Heartlanders News Release
Coralville, Iowa - The Iowa Heartlanders earned their fourth straight win with a 4-1 victory over the Indy Fuel Saturday at Xtream Arena. Kyle McClellan stopped 21 shots and won his third straight start.</t>
  </si>
  <si>
    <t>January 11, 2025 - ECHL (ECHL)
Wheeling Nailers News Release
FISHERS, IN- Three out of four points in a road building is always a positive, and the Wheeling Nailers secured two of those points at Fishers Event Center on Friday night against the Indy Fuel.</t>
  </si>
  <si>
    <t>Indy Fuel vs. Wheeling Nailers: Fuel Falls 4-1 in Nail-Biter</t>
  </si>
  <si>
    <t>The Indy Fuel couldn’t overcome an early deficit Friday night, falling 4-1 to the Wheeling Nailers at the Fishers Event Center. The loss marks the conclusion of a two-game set between the teams this week.</t>
  </si>
  <si>
    <t>Wheeling snaps losing skid with win over Indy</t>
  </si>
  <si>
    <t>Jake McGlumphy</t>
  </si>
  <si>
    <t>WTRF-TV (Wheeling, WV)</t>
  </si>
  <si>
    <t>(WTRF) — The Wheeling Nailers are back in the win column after a 4-1 win over the Indy Fuel on Friday night.
Wheeling moves to 24-6-2-0 on the season.</t>
  </si>
  <si>
    <t>Fuel Fall to Nailers on Friday</t>
  </si>
  <si>
    <t>January 10, 2025 - ECHL (ECHL)
Indy Fuel News Release
FISHERS- The Fuel hosted the Wheeling Nailers on Friday night for the second of a two-game set against them this week.</t>
  </si>
  <si>
    <t>The IN List 2024: 1/13 - 1/19</t>
  </si>
  <si>
    <t>Indy Fuel vs. Maine Mariners: 7pm. Fishers Event Center - Fishers, IN. Tickets required.
Butler Men’s Basketball vs Seton Hall: 7pm. Hinkle Fieldhouse - Indianapolis, IN. Tickets required.
Thursday, Jan 16 
Carmel Main Library Events: 425 E Main St, Carmel, IN.</t>
  </si>
  <si>
    <t>Indianapolis weekend events: Pacers, stand-up comedy, glass blowing and more</t>
  </si>
  <si>
    <t>Justin Mack, Justin L. Mack</t>
  </si>
  <si>
    <t>ğ Cheer on the Indy Fuel as they play the Wheeling Nailers at Fishers Event Center, 7pm Friday.
ğµ Scream the lyrics to "Sweet Caroline" as Don Farrell and the Terry Woods Orchestra present "The Life and Music of Neil Diamond" at Feinstein's at Hotel Carmichael, 7:30pm Friday.</t>
  </si>
  <si>
    <t>Slideshow: Indy Fuel vs Wheeling Nailers</t>
  </si>
  <si>
    <t>Joshua Herd</t>
  </si>
  <si>
    <t>State AlabamaAlaskaArizonaArkansasCaliforniaColoradoConnecticutDelawareFloridaGeorgiaHawaiiIdahoIllinoisIndianaIowaKansasKentuckyLouisianaMaineMarylandMassachusettsMichiganMinnesotaMississippiMissouriMontanaNebraskaNevadaNew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DakotaTennesseeTexasUtahVermontVirginiaWashingtonWashington D.C.West VirginiaWisconsinWyomingPuerto RicoUS Virgin IslandsArmed Forces AmericasArmed...</t>
  </si>
  <si>
    <t>ECHL - Wheeling Nailers at Indy Fuel, 7 p.m.
NCAA Women's Basketball - Michigan at Purdue, 2 p.m., Ball State at Buffalo, 2 p.m.
NCAA Men's Basketball - Notre Dame at Duke, 12 p.m., Creighton at Butler, 12 p.m., Bowling Green at Ball State, 2 p.m., Indiana at Iowa, 8 p.m.</t>
  </si>
  <si>
    <t>Indiana’s Professional Sports Team Mascots</t>
  </si>
  <si>
    <t>Nick Cottongim</t>
  </si>
  <si>
    <t>WTLC-AM (Indianapolis, IN)</t>
  </si>
  <si>
    <t>Nitro, the Indy Fuel’s mascot, is a vibrant red dragon who calls the newly renovated Coliseum his home.</t>
  </si>
  <si>
    <t>WTLC-FM (Greenwood, IN)</t>
  </si>
  <si>
    <t>Fishers Event Center - Indy Fuel</t>
  </si>
  <si>
    <t>Photos by Marc Viquez, Stadium Journey
Stadium Info                                FANFARE Score: 4.00
Fishers Event Center11000 Stockdale St.Fishers, IN 46037
Year Opened: 2024Capacity: 7,500
Indy's New Home for Hockey in Fishers
In November 2024, the Indy Fuel opened a new home, the Fishers Event</t>
  </si>
  <si>
    <t>Fuel Notch Overtime Home Win Against Wheeling Nailers</t>
  </si>
  <si>
    <t>The Indy Fuel treated their home fans to a thrilling 2-1 overtime victory against the Wheeling Nailers on Wednesday night. With Ryan Gagnier’s game-winning goal, the Fuel overcame a resilient Nailers squad in their first home matchup of the season.</t>
  </si>
  <si>
    <t>Fuel Win at Home on Wednesday over Wheeling</t>
  </si>
  <si>
    <t>January 8, 2025 - ECHL (ECHL)
Indy Fuel News Release
FISHERS - The Fuel hosted the Wheeling Nailers on Wednesday night, facing off with them for the first time at home this season.</t>
  </si>
  <si>
    <t>Fuel Win Goaltending Duel in Overtime</t>
  </si>
  <si>
    <t>January 8, 2025 - ECHL (ECHL)
Wheeling Nailers News Release
FISHERS, IN - Goaltending was elite on Wednesday night at Fishers Event Center, as the Wheeling Nailers battled the Indy Fuel.</t>
  </si>
  <si>
    <t>WFNI-AM (Indianapolis, IN)</t>
  </si>
  <si>
    <t>ECHL: Thomas Caron Suspended by Indy Fuel | 01/07/2025</t>
  </si>
  <si>
    <t>On Tuesday, January 7th, 2025, the Indy Fuel announced the suspension of 24-year-old forward Thomas Caron from the team in order to protect his ECHL rights as he heads overseas. Earlier this week, on Sunday, the Indy Fuel traded forward Andrew Bellant to the Idaho Steelheads in exchange for Caron.</t>
  </si>
  <si>
    <t>Thursday
No events scheduled
LOOK AHEAD
Wednesday
ECHL – Wheeling Nailers at Indy Fuel, 7 p.m.
NBA - Chicago Bulls at Indiana Pacers, 7 p.m.
NCAA Men's Basketball - USC at Indiana, 7 p.m., Notre Dame at North Carolina State, 7 p.m., Butler at Providence, 8:30 p.m.</t>
  </si>
  <si>
    <t>Wednesday
ECHL – Wheeling Nailers at Indy Fuel, 7 p.m.
NBA - Chicago Bulls at Indiana Pacers, 7 p.m.
NCAA Men's Basketball - USC at Indiana, 7 p.m., Notre Dame at North Carolina State, 7 p.m., Butler at Providence, 8:30 p.m.</t>
  </si>
  <si>
    <t>Steelheads Acquire Andrew Bellant from Indy in Exchange for Thomas Caron</t>
  </si>
  <si>
    <t>(ECHL)
Idaho Steelheads News Release
BOISE, ID - The Idaho Steelheads (@Steelheads), proud ECHL (@ECHL) affiliate of the Dallas Stars (@DallasStars), and Steelheads Head Coach &amp; Director of Hockey Operations Everett Sheen announced today that the club has acquired forward Andrew Bellant from the Indy … Fuel in exchange for forward Thomas Caron.</t>
  </si>
  <si>
    <t>Cincinnati Cyclones beat Indy Fuel</t>
  </si>
  <si>
    <t>The Cincinnati Cyclones won their home game against the Indy Fuel on Saturday, Jan. 03, 2025, ending 4-2.
Scoring for the Cyclones were 
 Lincoln Griffin
 , 
 Braeden Kressler
 , 
 Dante Sheriff
 and 
 Ty Voit
 .</t>
  </si>
  <si>
    <t>Indy Fuel's Loss to Cincinnati: A Close Matchup at Heritage Bank Center</t>
  </si>
  <si>
    <t>The Cincinnati Cyclones made their revamped roster count in a high-energy matchup against the Indy Fuel on Saturday night, earning a 4-2 victory at Heritage Bank Center. The win split the season series between the two teams.</t>
  </si>
  <si>
    <t>Cyclones Win Back-To-Back Games, Defeat Indy 4-2</t>
  </si>
  <si>
    <t>January 4, 2025 - ECHL (ECHL)
Cincinnati Cyclones News Release
Cincinnati, Ohio - The Cincinnati Cyclones win back-to-back games after defeating the Indy Fuel, 4-2, on Saturday night at Heritage Bank Center.</t>
  </si>
  <si>
    <t>Fuel Fall to Cyclones 4-2 in Cincy</t>
  </si>
  <si>
    <t>January 4, 2025 - ECHL (ECHL)
Indy Fuel News Release
CINCINNATI - The Fuel traveled to Cincinnati for the second time this season.</t>
  </si>
  <si>
    <t>Indy Fuel Defeat Kalamazoo Wings: A Night to Remember at Fishers Event Center</t>
  </si>
  <si>
    <t>Ty Farmer had one goal for the season going into Friday night’s contest with Kalamazoo.  The Fuel defenseman tallied 2 goals in the third period to cement a 4-1 win for the home team. It was Glow night and the Fuel had a chance to glow in their performance before a sellout crowd at the Fishers Event Center.  The first two stanzas were largely defensive.</t>
  </si>
  <si>
    <t>CYCLONES WIN BACK-TO-BACK GAMES, DEFEAT INDY 4-2</t>
  </si>
  <si>
    <t>Cincinnati, Ohio - The Cincinnati Cyclones win back-to-back games after defeating the Indy Fuel, 4-2, on Saturday night at Heritage Bank Center. Dante Sheriff and Lincoln Griffin recorded multi-point performances to give the Cyclones their first win of the season against the Fuel this year.</t>
  </si>
  <si>
    <t>LOOK AHEAD
Friday
ECHL – Kalamazoo Wings at Indy Fuel, 7 p.m.
Saturday
NCAA Men’s Basketball – North Carolina at Notre Dame, noon; Ball State at Kent State, 2 p.m.; Butler at St. John’s, 2 p.m.; Indiana State at Evansville, 2 p.m.</t>
  </si>
  <si>
    <t>The IN List 2025: 1/6 - 1/12</t>
  </si>
  <si>
    <t>Indy Fuel vs. Wheeling Norris: 7pm. Fishers Event Center. Tickets required.
Indiana Pacers vs. Chicago Bulls: 7pm. Gainbridge Fieldhouse, Indianapolis. Tickets required.
Thursday, Jan 9 
Carmel Main Library Events: 425 E Main St, Carmel, IN.</t>
  </si>
  <si>
    <t>ECHL: Adirondack Thunder Trade Zach Bannister To Indy Fuel</t>
  </si>
  <si>
    <t>The Adirondack Thunder have announced they have traded Zach Bannister to the Indy Fuel. This trade completes the trade in which the Thunder acquired Sam Ruffin. In seven games with Adirondack, Ruffin has one assist.</t>
  </si>
  <si>
    <t>Fuel Sell Out Friday and Defeat K-Wings on Glow Night</t>
  </si>
  <si>
    <t>January 3, 2025 - ECHL (ECHL)
Indy Fuel News Release
FISHERS- The Fuel hosted the Kalamazoo Wings in their first game of 2025 on Friday night. These two teams met on Tuesday in a New Year's Eve matchup where the Fuel took home a 3-2 win.</t>
  </si>
  <si>
    <t>K-Wings Downed by Indy Fuel</t>
  </si>
  <si>
    <t>January 3, 2025 - ECHL (ECHL)
Kalamazoo Wings News Release
FISHERS, IN - The Kalamazoo Wings (12-16-1-0), proud ECHL affiliate of the National Hockey League's Vancouver Canucks, fell to the Indy Fuel (13-11-2-2) Friday at Fishers Event Center, 4-1.</t>
  </si>
  <si>
    <t>Your Weekend: Jan. 3</t>
  </si>
  <si>
    <t>The Indy Fuel wants fans to head to their new digs — the Fishers Event Center — on Friday as they take on the Kalamazoo Wings. The Fuel are affiliated with the NHL’s Chicago Blackhawks and the AHL’s Rockford IceHogs.
The puck will drop at 7 p.m. Doors open at 6 p.m.</t>
  </si>
  <si>
    <t>Friday
ECHL – Kalamazoo Wings at Indy Fuel, 7 p.m.
Saturday
NCAA Men’s Basketball – North Carolina at Notre Dame, noon; Ball State at Kent State, 2 p.m.; Butler at St. John’s, 2 p.m.; Indiana State at Evansville, 2 p.m.</t>
  </si>
  <si>
    <t>FUEL SIGN FORWARD WILLIAM PROVOST</t>
  </si>
  <si>
    <t>INDIANAPOLIS -The Indy Fuel announced on Thursday that they have signed forward William Provost to a standard player contract.
Provost, 22, was signed with the Worcester Railers and Trois-Rivieres Lions earlier this season. He appeared in 10 games for the Lions and three for the Railers.</t>
  </si>
  <si>
    <t>Penalty shootout decides the outcome as the Fort Wayne Komets beat Indy Fuel</t>
  </si>
  <si>
    <t>The Fort Wayne Komets hosted the Indy Fuel in a hard-fought and hotly contested game on Sunday, Dec. 28, 2024.
After 60 minutes of play with the score still tied, Fort Wayne finally sealed the deal in the shootout, winning 3-2.</t>
  </si>
  <si>
    <t>Indy Fuel Triumphs in New Year's Eve Battle Against Kalamazoo</t>
  </si>
  <si>
    <t>The Indy Fuel capped off 2024 with a hard-fought 3-2 victory over the Kalamazoo Wings on New Year’s Eve in Kalamazoo. The game remained deadlocked through two periods before the Fuel found the winning edge in the final frame.</t>
  </si>
  <si>
    <t>Single-goal win for Indy Fuel over Kalamazoo Wings</t>
  </si>
  <si>
    <t>The road-team Indy Fuel seized a win against the Kalamazoo Wings.
The team won 3-2 on Tuesday, Dec. 30, 2024.</t>
  </si>
  <si>
    <t>Hawkins strikes twice as Toledo Walleye beat Indy Fuel</t>
  </si>
  <si>
    <t>The Toledo Walleye defeated the hosting Indy Fuel 4-1 on Saturday, Dec. 27, 2024.
 Brandon Hawkins
 put in two for the Walleye, while 
 Jalen Smereck
 and 
 Colin Swoyer
 each had a single, while 
 Ryan Orgel
 scored the lone Fuel's goal.</t>
  </si>
  <si>
    <t>Article</t>
  </si>
  <si>
    <t>URL</t>
  </si>
  <si>
    <t>Author</t>
  </si>
  <si>
    <t>Media Outlet</t>
  </si>
  <si>
    <t>Published</t>
  </si>
  <si>
    <t>Snippet</t>
  </si>
  <si>
    <t>UVM (Insights by Similarweb)</t>
  </si>
  <si>
    <t>Journalist Shares</t>
  </si>
  <si>
    <t>Journalist Reach</t>
  </si>
  <si>
    <t>Total Engagement</t>
  </si>
  <si>
    <t>Sentiment</t>
  </si>
  <si>
    <t>Pitch Placement</t>
  </si>
  <si>
    <t>Location Category</t>
  </si>
  <si>
    <t>Local</t>
  </si>
  <si>
    <t>USA</t>
  </si>
  <si>
    <t>International</t>
  </si>
  <si>
    <t>Advertising Value Equivalency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</si>
</sst>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Aptos Narrow"/>
      <family val="2"/>
      <scheme val="minor"/>
    </font>
    <font>
      <sz val="10"/>
      <name val="Arial"/>
    </font>
    <font>
      <b/>
      <sz val="10"/>
      <name val="Arial"/>
    </font>
  </fonts>
  <fills count="2">
    <fill>
      <patternFill patternType="none"/>
    </fill>
    <fill>
      <patternFill patternType="gray125"/>
    </fill>
  </fills>
  <borders count="1">
    <border>
      <left/>
      <right/>
      <top/>
      <bottom/>
      <diagonal/>
    </border>
  </borders>
  <cellStyleXfs count="4">
    <xf numFmtId="0" fontId="0" fillId="0" borderId="0"/>
    <xf numFmtId="0" fontId="1" fillId="0" borderId="0">
      <alignment vertical="top" wrapText="1"/>
    </xf>
    <xf numFmtId="164" fontId="1" fillId="0" borderId="0">
      <alignment vertical="top" wrapText="1"/>
    </xf>
    <xf numFmtId="0" fontId="2" fillId="0" borderId="0"/>
  </cellStyleXfs>
  <cellXfs count="4">
    <xf numFmtId="0" fontId="0" fillId="0" borderId="0" xfId="0"/>
    <xf numFmtId="0" fontId="1" fillId="0" borderId="0" xfId="1">
      <alignment vertical="top" wrapText="1"/>
    </xf>
    <xf numFmtId="164" fontId="1" fillId="0" borderId="0" xfId="2">
      <alignment vertical="top" wrapText="1"/>
    </xf>
    <xf numFmtId="0" fontId="2" fillId="0" borderId="0" xfId="3"/>
  </cellXfs>
  <cellStyles count="4">
    <cellStyle name="mr_datetime" xfId="2" xr:uid="{1DBFFC40-ED18-496D-A713-A431F60FACC0}"/>
    <cellStyle name="mr_header" xfId="3" xr:uid="{6A4E0545-5318-40B1-8597-4B801A1C0E2E}"/>
    <cellStyle name="mr_normal" xfId="1" xr:uid="{FCBBDBCB-5697-48FB-A50A-76DE93F1A79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D66DC-ED79-4F62-B90A-F129F8E24328}">
  <dimension ref="A1:N90"/>
  <sheetViews>
    <sheetView tabSelected="1" topLeftCell="E88" zoomScale="76" workbookViewId="0">
      <selection activeCell="G2" sqref="G2:G90"/>
    </sheetView>
  </sheetViews>
  <sheetFormatPr defaultRowHeight="14.4" x14ac:dyDescent="0.3"/>
  <cols>
    <col min="1" max="1" width="23.33203125" customWidth="1"/>
    <col min="2" max="2" width="18.5546875" customWidth="1"/>
    <col min="3" max="3" width="11.21875" customWidth="1"/>
    <col min="4" max="4" width="15.88671875" customWidth="1"/>
    <col min="5" max="5" width="21.33203125" customWidth="1"/>
    <col min="6" max="7" width="26.6640625" customWidth="1"/>
    <col min="8" max="8" width="26.88671875" bestFit="1" customWidth="1"/>
    <col min="9" max="9" width="16.44140625" bestFit="1" customWidth="1"/>
    <col min="10" max="10" width="15.77734375" bestFit="1" customWidth="1"/>
    <col min="11" max="11" width="16.88671875" bestFit="1" customWidth="1"/>
    <col min="12" max="12" width="9.77734375" bestFit="1" customWidth="1"/>
    <col min="13" max="13" width="16.44140625" customWidth="1"/>
    <col min="14" max="14" width="18.21875" bestFit="1" customWidth="1"/>
  </cols>
  <sheetData>
    <row r="1" spans="1:14" x14ac:dyDescent="0.3">
      <c r="A1" s="3" t="s">
        <v>201</v>
      </c>
      <c r="B1" s="3" t="s">
        <v>202</v>
      </c>
      <c r="C1" s="3" t="s">
        <v>203</v>
      </c>
      <c r="D1" s="3" t="s">
        <v>204</v>
      </c>
      <c r="E1" s="3" t="s">
        <v>205</v>
      </c>
      <c r="F1" s="3" t="s">
        <v>206</v>
      </c>
      <c r="G1" s="3" t="s">
        <v>217</v>
      </c>
      <c r="H1" s="3" t="s">
        <v>207</v>
      </c>
      <c r="I1" s="3" t="s">
        <v>208</v>
      </c>
      <c r="J1" s="3" t="s">
        <v>209</v>
      </c>
      <c r="K1" s="3" t="s">
        <v>210</v>
      </c>
      <c r="L1" s="3" t="s">
        <v>211</v>
      </c>
      <c r="M1" s="3" t="s">
        <v>212</v>
      </c>
      <c r="N1" s="3" t="s">
        <v>213</v>
      </c>
    </row>
    <row r="2" spans="1:14" ht="105.6" x14ac:dyDescent="0.3">
      <c r="A2" s="1" t="s">
        <v>0</v>
      </c>
      <c r="B2" s="1" t="str">
        <f>HYPERLINK("https://www.larryinfishers.com/2025/01/31/fuel-comeback-falls-short-lose-to-greenville-4-3/")</f>
        <v>https://www.larryinfishers.com/2025/01/31/fuel-comeback-falls-short-lose-to-greenville-4-3/</v>
      </c>
      <c r="C2" s="1"/>
      <c r="D2" s="1" t="s">
        <v>1</v>
      </c>
      <c r="E2" s="2">
        <v>45688.971770833326</v>
      </c>
      <c r="F2" s="1" t="s">
        <v>2</v>
      </c>
      <c r="G2" s="1">
        <f>H2*0.025*0.35</f>
        <v>30.703749999999999</v>
      </c>
      <c r="H2" s="1">
        <v>3509</v>
      </c>
      <c r="I2" s="1">
        <v>0</v>
      </c>
      <c r="J2" s="1">
        <v>0</v>
      </c>
      <c r="K2" s="1">
        <v>0</v>
      </c>
      <c r="L2" s="1" t="s">
        <v>3</v>
      </c>
      <c r="M2" s="1"/>
      <c r="N2" t="s">
        <v>214</v>
      </c>
    </row>
    <row r="3" spans="1:14" ht="118.8" x14ac:dyDescent="0.3">
      <c r="A3" s="1" t="s">
        <v>8</v>
      </c>
      <c r="B3" s="1" t="str">
        <f>HYPERLINK("https://www.oursportscentral.com/services/releases/fuel-fall-to-swamp-rabbits-in-first-meeting-of-season/n-6186875")</f>
        <v>https://www.oursportscentral.com/services/releases/fuel-fall-to-swamp-rabbits-in-first-meeting-of-season/n-6186875</v>
      </c>
      <c r="C3" s="1"/>
      <c r="D3" s="1" t="s">
        <v>6</v>
      </c>
      <c r="E3" s="2">
        <v>45688.796527777777</v>
      </c>
      <c r="F3" s="1" t="s">
        <v>9</v>
      </c>
      <c r="G3" s="1">
        <f t="shared" ref="G3:G66" si="0">H3*0.025*0.35</f>
        <v>353.51749999999998</v>
      </c>
      <c r="H3" s="1">
        <v>40402</v>
      </c>
      <c r="I3" s="1">
        <v>0</v>
      </c>
      <c r="J3" s="1">
        <v>0</v>
      </c>
      <c r="K3" s="1">
        <v>0</v>
      </c>
      <c r="L3" s="1" t="s">
        <v>3</v>
      </c>
      <c r="M3" s="1"/>
      <c r="N3" t="s">
        <v>215</v>
      </c>
    </row>
    <row r="4" spans="1:14" ht="158.4" x14ac:dyDescent="0.3">
      <c r="A4" s="1" t="s">
        <v>10</v>
      </c>
      <c r="B4" s="1" t="str">
        <f>HYPERLINK("https://www.indystar.com/story/news/local/hamilton-county/fishers/2025/01/31/fishers-nickel-plate-trail-strengthened-iu-health-naming-rights/78084258007/")</f>
        <v>https://www.indystar.com/story/news/local/hamilton-county/fishers/2025/01/31/fishers-nickel-plate-trail-strengthened-iu-health-naming-rights/78084258007/</v>
      </c>
      <c r="C4" s="1" t="s">
        <v>11</v>
      </c>
      <c r="D4" s="1" t="s">
        <v>12</v>
      </c>
      <c r="E4" s="2">
        <v>45688.568194444437</v>
      </c>
      <c r="F4" s="1" t="s">
        <v>13</v>
      </c>
      <c r="G4" s="1">
        <f t="shared" si="0"/>
        <v>26788.702500000003</v>
      </c>
      <c r="H4" s="1">
        <v>3061566</v>
      </c>
      <c r="I4" s="1">
        <v>1</v>
      </c>
      <c r="J4" s="1">
        <v>8438</v>
      </c>
      <c r="K4" s="1">
        <v>27</v>
      </c>
      <c r="L4" s="1" t="s">
        <v>7</v>
      </c>
      <c r="M4" s="1"/>
      <c r="N4" t="s">
        <v>214</v>
      </c>
    </row>
    <row r="5" spans="1:14" ht="184.8" x14ac:dyDescent="0.3">
      <c r="A5" s="1" t="s">
        <v>15</v>
      </c>
      <c r="B5" s="1" t="str">
        <f>HYPERLINK("https://www.journalgazette.net/living/local-arts/calendar/out-about-a-calendar-of-events-in-the-fort-wayne-area/article_051264a2-de76-11ef-a1af-5f93178dc87d.html")</f>
        <v>https://www.journalgazette.net/living/local-arts/calendar/out-about-a-calendar-of-events-in-the-fort-wayne-area/article_051264a2-de76-11ef-a1af-5f93178dc87d.html</v>
      </c>
      <c r="C5" s="1"/>
      <c r="D5" s="1" t="s">
        <v>4</v>
      </c>
      <c r="E5" s="2">
        <v>45687.985995370371</v>
      </c>
      <c r="F5" s="1" t="s">
        <v>16</v>
      </c>
      <c r="G5" s="1">
        <f t="shared" si="0"/>
        <v>426.58</v>
      </c>
      <c r="H5" s="1">
        <v>48752</v>
      </c>
      <c r="I5" s="1">
        <v>0</v>
      </c>
      <c r="J5" s="1">
        <v>0</v>
      </c>
      <c r="K5" s="1">
        <v>0</v>
      </c>
      <c r="L5" s="1" t="s">
        <v>7</v>
      </c>
      <c r="M5" s="1"/>
      <c r="N5" t="s">
        <v>214</v>
      </c>
    </row>
    <row r="6" spans="1:14" ht="184.8" x14ac:dyDescent="0.3">
      <c r="A6" s="1" t="s">
        <v>22</v>
      </c>
      <c r="B6" s="1" t="str">
        <f>HYPERLINK("https://www.keepingupincarmel.com/post/the-in-list-2024-1-27-2-2")</f>
        <v>https://www.keepingupincarmel.com/post/the-in-list-2024-1-27-2-2</v>
      </c>
      <c r="C6" s="1" t="s">
        <v>23</v>
      </c>
      <c r="D6" s="1" t="s">
        <v>24</v>
      </c>
      <c r="E6" s="2">
        <v>45683.25439814815</v>
      </c>
      <c r="F6" s="1" t="s">
        <v>25</v>
      </c>
      <c r="G6" s="1">
        <f t="shared" si="0"/>
        <v>6.0025000000000004</v>
      </c>
      <c r="H6" s="1">
        <v>686</v>
      </c>
      <c r="I6" s="1">
        <v>0</v>
      </c>
      <c r="J6" s="1">
        <v>0</v>
      </c>
      <c r="K6" s="1">
        <v>0</v>
      </c>
      <c r="L6" s="1" t="s">
        <v>5</v>
      </c>
      <c r="M6" s="1"/>
      <c r="N6" t="s">
        <v>214</v>
      </c>
    </row>
    <row r="7" spans="1:14" ht="132" x14ac:dyDescent="0.3">
      <c r="A7" s="1" t="s">
        <v>26</v>
      </c>
      <c r="B7" s="1" t="str">
        <f>HYPERLINK("https://www.therinklive.com/sports/pro/indy-fuel-defeat-kalamazoo-wings-continuing-winning-streak-20250126004341")</f>
        <v>https://www.therinklive.com/sports/pro/indy-fuel-defeat-kalamazoo-wings-continuing-winning-streak-20250126004341</v>
      </c>
      <c r="C7" s="1"/>
      <c r="D7" s="1" t="s">
        <v>27</v>
      </c>
      <c r="E7" s="2">
        <v>45683.238680555558</v>
      </c>
      <c r="F7" s="1" t="s">
        <v>28</v>
      </c>
      <c r="G7" s="1">
        <f t="shared" si="0"/>
        <v>146.47499999999999</v>
      </c>
      <c r="H7" s="1">
        <v>16740</v>
      </c>
      <c r="I7" s="1">
        <v>0</v>
      </c>
      <c r="J7" s="1">
        <v>0</v>
      </c>
      <c r="K7" s="1">
        <v>0</v>
      </c>
      <c r="L7" s="1" t="s">
        <v>7</v>
      </c>
      <c r="M7" s="1"/>
      <c r="N7" t="s">
        <v>215</v>
      </c>
    </row>
    <row r="8" spans="1:14" ht="145.19999999999999" x14ac:dyDescent="0.3">
      <c r="A8" s="1" t="s">
        <v>29</v>
      </c>
      <c r="B8" s="1" t="str">
        <f>HYPERLINK("https://www.larryinfishers.com/2025/01/25/fuel-defeat-division-rival-k-wings-with-4-1-victory/")</f>
        <v>https://www.larryinfishers.com/2025/01/25/fuel-defeat-division-rival-k-wings-with-4-1-victory/</v>
      </c>
      <c r="C8" s="1"/>
      <c r="D8" s="1" t="s">
        <v>1</v>
      </c>
      <c r="E8" s="2">
        <v>45682.961516203701</v>
      </c>
      <c r="F8" s="1" t="s">
        <v>30</v>
      </c>
      <c r="G8" s="1">
        <f t="shared" si="0"/>
        <v>30.703749999999999</v>
      </c>
      <c r="H8" s="1">
        <v>3509</v>
      </c>
      <c r="I8" s="1">
        <v>0</v>
      </c>
      <c r="J8" s="1">
        <v>0</v>
      </c>
      <c r="K8" s="1">
        <v>1</v>
      </c>
      <c r="L8" s="1" t="s">
        <v>3</v>
      </c>
      <c r="M8" s="1"/>
      <c r="N8" t="s">
        <v>214</v>
      </c>
    </row>
    <row r="9" spans="1:14" ht="198" x14ac:dyDescent="0.3">
      <c r="A9" s="1" t="s">
        <v>31</v>
      </c>
      <c r="B9" s="1" t="str">
        <f>HYPERLINK("https://www.oursportscentral.com/services/releases/k-wings-fall-to-fuel-saturday-at-home/n-6184929")</f>
        <v>https://www.oursportscentral.com/services/releases/k-wings-fall-to-fuel-saturday-at-home/n-6184929</v>
      </c>
      <c r="C9" s="1"/>
      <c r="D9" s="1" t="s">
        <v>6</v>
      </c>
      <c r="E9" s="2">
        <v>45682.793749999997</v>
      </c>
      <c r="F9" s="1" t="s">
        <v>32</v>
      </c>
      <c r="G9" s="1">
        <f t="shared" si="0"/>
        <v>353.51749999999998</v>
      </c>
      <c r="H9" s="1">
        <v>40402</v>
      </c>
      <c r="I9" s="1">
        <v>0</v>
      </c>
      <c r="J9" s="1">
        <v>0</v>
      </c>
      <c r="K9" s="1">
        <v>0</v>
      </c>
      <c r="L9" s="1" t="s">
        <v>7</v>
      </c>
      <c r="M9" s="1"/>
      <c r="N9" t="s">
        <v>215</v>
      </c>
    </row>
    <row r="10" spans="1:14" ht="250.8" x14ac:dyDescent="0.3">
      <c r="A10" s="1" t="s">
        <v>34</v>
      </c>
      <c r="B10" s="1" t="str">
        <f>HYPERLINK("https://www.indystar.com/picture-gallery/sports/2025/01/24/see-behind-the-scenes-with-indy-fuels-broadcaster-eva-hallman/77586766007/")</f>
        <v>https://www.indystar.com/picture-gallery/sports/2025/01/24/see-behind-the-scenes-with-indy-fuels-broadcaster-eva-hallman/77586766007/</v>
      </c>
      <c r="C10" s="1" t="s">
        <v>35</v>
      </c>
      <c r="D10" s="1" t="s">
        <v>12</v>
      </c>
      <c r="E10" s="2">
        <v>45681.742789351847</v>
      </c>
      <c r="F10" s="1" t="s">
        <v>36</v>
      </c>
      <c r="G10" s="1">
        <f t="shared" si="0"/>
        <v>26788.702500000003</v>
      </c>
      <c r="H10" s="1">
        <v>3061566</v>
      </c>
      <c r="I10" s="1">
        <v>1</v>
      </c>
      <c r="J10" s="1">
        <v>840</v>
      </c>
      <c r="K10" s="1">
        <v>13</v>
      </c>
      <c r="L10" s="1" t="s">
        <v>7</v>
      </c>
      <c r="M10" s="1"/>
      <c r="N10" t="s">
        <v>214</v>
      </c>
    </row>
    <row r="11" spans="1:14" ht="158.4" x14ac:dyDescent="0.3">
      <c r="A11" s="1" t="s">
        <v>37</v>
      </c>
      <c r="B11" s="1" t="str">
        <f>HYPERLINK("https://www.heraldbulletin.com/sports/coming-up/article_ca7b0a12-da81-11ef-a0b6-f7d5b7403ff9.html")</f>
        <v>https://www.heraldbulletin.com/sports/coming-up/article_ca7b0a12-da81-11ef-a0b6-f7d5b7403ff9.html</v>
      </c>
      <c r="C11" s="1"/>
      <c r="D11" s="1" t="s">
        <v>38</v>
      </c>
      <c r="E11" s="2">
        <v>45681.583645833343</v>
      </c>
      <c r="F11" s="1" t="s">
        <v>39</v>
      </c>
      <c r="G11" s="1">
        <f t="shared" si="0"/>
        <v>439.77499999999998</v>
      </c>
      <c r="H11" s="1">
        <v>50260</v>
      </c>
      <c r="I11" s="1">
        <v>0</v>
      </c>
      <c r="J11" s="1">
        <v>0</v>
      </c>
      <c r="K11" s="1">
        <v>0</v>
      </c>
      <c r="L11" s="1" t="s">
        <v>7</v>
      </c>
      <c r="M11" s="1"/>
      <c r="N11" t="s">
        <v>214</v>
      </c>
    </row>
    <row r="12" spans="1:14" ht="184.8" x14ac:dyDescent="0.3">
      <c r="A12" s="1" t="s">
        <v>40</v>
      </c>
      <c r="B12" s="1" t="str">
        <f>HYPERLINK("https://indywithkids.com/february-events-activities/")</f>
        <v>https://indywithkids.com/february-events-activities/</v>
      </c>
      <c r="C12" s="1" t="s">
        <v>41</v>
      </c>
      <c r="D12" s="1" t="s">
        <v>42</v>
      </c>
      <c r="E12" s="2">
        <v>45680.712858796287</v>
      </c>
      <c r="F12" s="1" t="s">
        <v>43</v>
      </c>
      <c r="G12" s="1">
        <f t="shared" si="0"/>
        <v>293.76375000000002</v>
      </c>
      <c r="H12" s="1">
        <v>33573</v>
      </c>
      <c r="I12" s="1">
        <v>0</v>
      </c>
      <c r="J12" s="1">
        <v>0</v>
      </c>
      <c r="K12" s="1">
        <v>17</v>
      </c>
      <c r="L12" s="1" t="s">
        <v>7</v>
      </c>
      <c r="M12" s="1"/>
      <c r="N12" t="s">
        <v>214</v>
      </c>
    </row>
    <row r="13" spans="1:14" ht="184.8" x14ac:dyDescent="0.3">
      <c r="A13" s="1" t="s">
        <v>44</v>
      </c>
      <c r="B13" s="1" t="str">
        <f>HYPERLINK("https://pantagraph.com/sports/professional/hockey/minor/bloomington-bison-adam-morris-echl-grossinger-barski-indy-fuel-playoffs/article_6980004c-d9a9-11ef-88ae-5b566992cf69.html")</f>
        <v>https://pantagraph.com/sports/professional/hockey/minor/bloomington-bison-adam-morris-echl-grossinger-barski-indy-fuel-playoffs/article_6980004c-d9a9-11ef-88ae-5b566992cf69.html</v>
      </c>
      <c r="C13" s="1" t="s">
        <v>20</v>
      </c>
      <c r="D13" s="1" t="s">
        <v>21</v>
      </c>
      <c r="E13" s="2">
        <v>45680.621874999997</v>
      </c>
      <c r="F13" s="1" t="s">
        <v>45</v>
      </c>
      <c r="G13" s="1">
        <f t="shared" si="0"/>
        <v>761.38124999999991</v>
      </c>
      <c r="H13" s="1">
        <v>87015</v>
      </c>
      <c r="I13" s="1">
        <v>0</v>
      </c>
      <c r="J13" s="1">
        <v>0</v>
      </c>
      <c r="K13" s="1">
        <v>53</v>
      </c>
      <c r="L13" s="1" t="s">
        <v>5</v>
      </c>
      <c r="M13" s="1"/>
      <c r="N13" t="s">
        <v>215</v>
      </c>
    </row>
    <row r="14" spans="1:14" ht="158.4" x14ac:dyDescent="0.3">
      <c r="A14" s="1" t="s">
        <v>37</v>
      </c>
      <c r="B14" s="1" t="str">
        <f>HYPERLINK("https://www.heraldbulletin.com/sports/coming-up/article_1fc80224-d9b3-11ef-87de-871194bad651.html")</f>
        <v>https://www.heraldbulletin.com/sports/coming-up/article_1fc80224-d9b3-11ef-87de-871194bad651.html</v>
      </c>
      <c r="C14" s="1"/>
      <c r="D14" s="1" t="s">
        <v>38</v>
      </c>
      <c r="E14" s="2">
        <v>45680.556620370371</v>
      </c>
      <c r="F14" s="1" t="s">
        <v>46</v>
      </c>
      <c r="G14" s="1">
        <f t="shared" si="0"/>
        <v>439.77499999999998</v>
      </c>
      <c r="H14" s="1">
        <v>50260</v>
      </c>
      <c r="I14" s="1">
        <v>0</v>
      </c>
      <c r="J14" s="1">
        <v>0</v>
      </c>
      <c r="K14" s="1">
        <v>0</v>
      </c>
      <c r="L14" s="1" t="s">
        <v>3</v>
      </c>
      <c r="M14" s="1"/>
      <c r="N14" t="s">
        <v>214</v>
      </c>
    </row>
    <row r="15" spans="1:14" ht="158.4" x14ac:dyDescent="0.3">
      <c r="A15" s="1" t="s">
        <v>37</v>
      </c>
      <c r="B15" s="1" t="str">
        <f>HYPERLINK("https://www.heraldbulletin.com/coming-up/article_f22f7ee4-d8f1-11ef-a748-cb6894200609.html")</f>
        <v>https://www.heraldbulletin.com/coming-up/article_f22f7ee4-d8f1-11ef-a748-cb6894200609.html</v>
      </c>
      <c r="C15" s="1"/>
      <c r="D15" s="1" t="s">
        <v>38</v>
      </c>
      <c r="E15" s="2">
        <v>45679.642592592587</v>
      </c>
      <c r="F15" s="1" t="s">
        <v>46</v>
      </c>
      <c r="G15" s="1">
        <f t="shared" si="0"/>
        <v>439.77499999999998</v>
      </c>
      <c r="H15" s="1">
        <v>50260</v>
      </c>
      <c r="I15" s="1">
        <v>0</v>
      </c>
      <c r="J15" s="1">
        <v>0</v>
      </c>
      <c r="K15" s="1">
        <v>0</v>
      </c>
      <c r="L15" s="1" t="s">
        <v>3</v>
      </c>
      <c r="M15" s="1"/>
      <c r="N15" t="s">
        <v>214</v>
      </c>
    </row>
    <row r="16" spans="1:14" ht="330" x14ac:dyDescent="0.3">
      <c r="A16" s="1" t="s">
        <v>47</v>
      </c>
      <c r="B16" s="1" t="str">
        <f>HYPERLINK("https://fox59.com/indiana-news/red-cross-hosts-indiana-mascot-celebration-to-encourage-blood-donations/")</f>
        <v>https://fox59.com/indiana-news/red-cross-hosts-indiana-mascot-celebration-to-encourage-blood-donations/</v>
      </c>
      <c r="C16" s="1" t="s">
        <v>48</v>
      </c>
      <c r="D16" s="1" t="s">
        <v>49</v>
      </c>
      <c r="E16" s="2">
        <v>45678.651076388887</v>
      </c>
      <c r="F16" s="1" t="s">
        <v>50</v>
      </c>
      <c r="G16" s="1">
        <f t="shared" si="0"/>
        <v>11829.34375</v>
      </c>
      <c r="H16" s="1">
        <v>1351925</v>
      </c>
      <c r="I16" s="1">
        <v>0</v>
      </c>
      <c r="J16" s="1">
        <v>0</v>
      </c>
      <c r="K16" s="1">
        <v>0</v>
      </c>
      <c r="L16" s="1" t="s">
        <v>7</v>
      </c>
      <c r="M16" s="1"/>
      <c r="N16" t="s">
        <v>214</v>
      </c>
    </row>
    <row r="17" spans="1:14" ht="105.6" x14ac:dyDescent="0.3">
      <c r="A17" s="1" t="s">
        <v>51</v>
      </c>
      <c r="B17" s="1" t="str">
        <f>HYPERLINK("https://www.youarecurrent.com/2025/01/21/icy-hot-fuel-games-selling-out-at-new-fishers-event-center/")</f>
        <v>https://www.youarecurrent.com/2025/01/21/icy-hot-fuel-games-selling-out-at-new-fishers-event-center/</v>
      </c>
      <c r="C17" s="1" t="s">
        <v>52</v>
      </c>
      <c r="D17" s="1" t="s">
        <v>53</v>
      </c>
      <c r="E17" s="2">
        <v>45678.636562500003</v>
      </c>
      <c r="F17" s="1" t="s">
        <v>54</v>
      </c>
      <c r="G17" s="1">
        <f t="shared" si="0"/>
        <v>371.91874999999999</v>
      </c>
      <c r="H17" s="1">
        <v>42505</v>
      </c>
      <c r="I17" s="1">
        <v>0</v>
      </c>
      <c r="J17" s="1">
        <v>0</v>
      </c>
      <c r="K17" s="1">
        <v>37</v>
      </c>
      <c r="L17" s="1" t="s">
        <v>7</v>
      </c>
      <c r="M17" s="1"/>
      <c r="N17" t="s">
        <v>214</v>
      </c>
    </row>
    <row r="18" spans="1:14" ht="79.2" x14ac:dyDescent="0.3">
      <c r="A18" s="1" t="s">
        <v>37</v>
      </c>
      <c r="B18" s="1" t="str">
        <f>HYPERLINK("https://www.heraldbulletin.com/sports/coming-up/article_2a0b0f66-d822-11ef-94e5-eb599d09fcee.html")</f>
        <v>https://www.heraldbulletin.com/sports/coming-up/article_2a0b0f66-d822-11ef-94e5-eb599d09fcee.html</v>
      </c>
      <c r="C18" s="1"/>
      <c r="D18" s="1" t="s">
        <v>38</v>
      </c>
      <c r="E18" s="2">
        <v>45678.59579861111</v>
      </c>
      <c r="F18" s="1" t="s">
        <v>55</v>
      </c>
      <c r="G18" s="1">
        <f t="shared" si="0"/>
        <v>439.77499999999998</v>
      </c>
      <c r="H18" s="1">
        <v>50260</v>
      </c>
      <c r="I18" s="1">
        <v>0</v>
      </c>
      <c r="J18" s="1">
        <v>0</v>
      </c>
      <c r="K18" s="1">
        <v>0</v>
      </c>
      <c r="L18" s="1" t="s">
        <v>3</v>
      </c>
      <c r="M18" s="1"/>
      <c r="N18" t="s">
        <v>214</v>
      </c>
    </row>
    <row r="19" spans="1:14" ht="105.6" x14ac:dyDescent="0.3">
      <c r="A19" s="1" t="s">
        <v>56</v>
      </c>
      <c r="B19" s="1" t="str">
        <f>HYPERLINK("https://www.larryinfishers.com/2025/01/18/fuel-win-4-3-in-overtime-over-cincy-cyclones/")</f>
        <v>https://www.larryinfishers.com/2025/01/18/fuel-win-4-3-in-overtime-over-cincy-cyclones/</v>
      </c>
      <c r="C19" s="1"/>
      <c r="D19" s="1" t="s">
        <v>1</v>
      </c>
      <c r="E19" s="2">
        <v>45675.919872685183</v>
      </c>
      <c r="F19" s="1" t="s">
        <v>57</v>
      </c>
      <c r="G19" s="1">
        <f t="shared" si="0"/>
        <v>30.703749999999999</v>
      </c>
      <c r="H19" s="1">
        <v>3509</v>
      </c>
      <c r="I19" s="1">
        <v>0</v>
      </c>
      <c r="J19" s="1">
        <v>0</v>
      </c>
      <c r="K19" s="1">
        <v>1</v>
      </c>
      <c r="L19" s="1" t="s">
        <v>7</v>
      </c>
      <c r="M19" s="1"/>
      <c r="N19" t="s">
        <v>214</v>
      </c>
    </row>
    <row r="20" spans="1:14" ht="132" x14ac:dyDescent="0.3">
      <c r="A20" s="1" t="s">
        <v>58</v>
      </c>
      <c r="B20" s="1" t="str">
        <f>HYPERLINK("https://www.oursportscentral.com/services/releases/fuel-defeat-cyclones-4-3-in-overtime/n-6182791")</f>
        <v>https://www.oursportscentral.com/services/releases/fuel-defeat-cyclones-4-3-in-overtime/n-6182791</v>
      </c>
      <c r="C20" s="1"/>
      <c r="D20" s="1" t="s">
        <v>6</v>
      </c>
      <c r="E20" s="2">
        <v>45675.804861111108</v>
      </c>
      <c r="F20" s="1" t="s">
        <v>59</v>
      </c>
      <c r="G20" s="1">
        <f t="shared" si="0"/>
        <v>353.51749999999998</v>
      </c>
      <c r="H20" s="1">
        <v>40402</v>
      </c>
      <c r="I20" s="1">
        <v>0</v>
      </c>
      <c r="J20" s="1">
        <v>0</v>
      </c>
      <c r="K20" s="1">
        <v>0</v>
      </c>
      <c r="L20" s="1" t="s">
        <v>3</v>
      </c>
      <c r="M20" s="1"/>
      <c r="N20" t="s">
        <v>215</v>
      </c>
    </row>
    <row r="21" spans="1:14" ht="264" x14ac:dyDescent="0.3">
      <c r="A21" s="1" t="s">
        <v>62</v>
      </c>
      <c r="B21" s="1" t="str">
        <f>HYPERLINK("https://insidetherink.com/echl-game-preview-cincinnati-cyclones-at-indy-fuel-1-18-2025/")</f>
        <v>https://insidetherink.com/echl-game-preview-cincinnati-cyclones-at-indy-fuel-1-18-2025/</v>
      </c>
      <c r="C21" s="1" t="s">
        <v>18</v>
      </c>
      <c r="D21" s="1" t="s">
        <v>19</v>
      </c>
      <c r="E21" s="2">
        <v>45675.522534722222</v>
      </c>
      <c r="F21" s="1" t="s">
        <v>63</v>
      </c>
      <c r="G21" s="1">
        <f t="shared" si="0"/>
        <v>425.85375000000005</v>
      </c>
      <c r="H21" s="1">
        <v>48669</v>
      </c>
      <c r="I21" s="1">
        <v>0</v>
      </c>
      <c r="J21" s="1">
        <v>0</v>
      </c>
      <c r="K21" s="1">
        <v>24</v>
      </c>
      <c r="L21" s="1" t="s">
        <v>7</v>
      </c>
      <c r="M21" s="1"/>
      <c r="N21" t="s">
        <v>215</v>
      </c>
    </row>
    <row r="22" spans="1:14" ht="66" x14ac:dyDescent="0.3">
      <c r="A22" s="1" t="s">
        <v>64</v>
      </c>
      <c r="B22" s="1" t="str">
        <f>HYPERLINK("https://cycloneshockey.com/news/2025/01/cyclones-earn-road-point-fall-to-indy-in-ot")</f>
        <v>https://cycloneshockey.com/news/2025/01/cyclones-earn-road-point-fall-to-indy-in-ot</v>
      </c>
      <c r="C22" s="1"/>
      <c r="D22" s="1" t="s">
        <v>65</v>
      </c>
      <c r="E22" s="2">
        <v>45675</v>
      </c>
      <c r="F22" s="1" t="s">
        <v>66</v>
      </c>
      <c r="G22" s="1">
        <f t="shared" si="0"/>
        <v>395.24625000000003</v>
      </c>
      <c r="H22" s="1">
        <v>45171</v>
      </c>
      <c r="I22" s="1">
        <v>0</v>
      </c>
      <c r="J22" s="1">
        <v>0</v>
      </c>
      <c r="K22" s="1">
        <v>0</v>
      </c>
      <c r="L22" s="1" t="s">
        <v>5</v>
      </c>
      <c r="M22" s="1"/>
      <c r="N22" t="s">
        <v>215</v>
      </c>
    </row>
    <row r="23" spans="1:14" ht="184.8" x14ac:dyDescent="0.3">
      <c r="A23" s="1" t="s">
        <v>67</v>
      </c>
      <c r="B23" s="1" t="str">
        <f>HYPERLINK("https://sports.yahoo.com/wideman-sets-indy-record-win-034818651.html")</f>
        <v>https://sports.yahoo.com/wideman-sets-indy-record-win-034818651.html</v>
      </c>
      <c r="C23" s="1" t="s">
        <v>17</v>
      </c>
      <c r="D23" s="1" t="s">
        <v>14</v>
      </c>
      <c r="E23" s="2">
        <v>45674.950208333343</v>
      </c>
      <c r="F23" s="1" t="s">
        <v>68</v>
      </c>
      <c r="G23" s="1">
        <f t="shared" si="0"/>
        <v>202758.57874999999</v>
      </c>
      <c r="H23" s="1">
        <v>23172409</v>
      </c>
      <c r="I23" s="1">
        <v>0</v>
      </c>
      <c r="J23" s="1">
        <v>0</v>
      </c>
      <c r="K23" s="1">
        <v>0</v>
      </c>
      <c r="L23" s="1" t="s">
        <v>7</v>
      </c>
      <c r="M23" s="1"/>
      <c r="N23" t="s">
        <v>215</v>
      </c>
    </row>
    <row r="24" spans="1:14" ht="132" x14ac:dyDescent="0.3">
      <c r="A24" s="1" t="s">
        <v>69</v>
      </c>
      <c r="B24" s="1" t="str">
        <f>HYPERLINK("https://www.larryinfishers.com/2025/01/17/goalie-gaudreau-pitches-a-shoutout-in-fuel-4-0-win/")</f>
        <v>https://www.larryinfishers.com/2025/01/17/goalie-gaudreau-pitches-a-shoutout-in-fuel-4-0-win/</v>
      </c>
      <c r="C24" s="1"/>
      <c r="D24" s="1" t="s">
        <v>1</v>
      </c>
      <c r="E24" s="2">
        <v>45674.90384259259</v>
      </c>
      <c r="F24" s="1" t="s">
        <v>70</v>
      </c>
      <c r="G24" s="1">
        <f t="shared" si="0"/>
        <v>30.703749999999999</v>
      </c>
      <c r="H24" s="1">
        <v>3509</v>
      </c>
      <c r="I24" s="1">
        <v>0</v>
      </c>
      <c r="J24" s="1">
        <v>0</v>
      </c>
      <c r="K24" s="1">
        <v>9</v>
      </c>
      <c r="L24" s="1" t="s">
        <v>5</v>
      </c>
      <c r="M24" s="1"/>
      <c r="N24" t="s">
        <v>214</v>
      </c>
    </row>
    <row r="25" spans="1:14" ht="145.19999999999999" x14ac:dyDescent="0.3">
      <c r="A25" s="1" t="s">
        <v>71</v>
      </c>
      <c r="B25" s="1" t="str">
        <f>HYPERLINK("https://indyfuelhockey.com/news/2025/01/fuel-shut-out-kalamazoo-as-wideman-breaks-record")</f>
        <v>https://indyfuelhockey.com/news/2025/01/fuel-shut-out-kalamazoo-as-wideman-breaks-record</v>
      </c>
      <c r="C25" s="1"/>
      <c r="D25" s="1" t="s">
        <v>72</v>
      </c>
      <c r="E25" s="2">
        <v>45674.885347222233</v>
      </c>
      <c r="F25" s="1" t="s">
        <v>73</v>
      </c>
      <c r="G25" s="1">
        <f t="shared" si="0"/>
        <v>0</v>
      </c>
      <c r="H25" s="1"/>
      <c r="I25" s="1">
        <v>1</v>
      </c>
      <c r="J25" s="1">
        <v>594</v>
      </c>
      <c r="K25" s="1">
        <v>1</v>
      </c>
      <c r="L25" s="1" t="s">
        <v>3</v>
      </c>
      <c r="M25" s="1"/>
      <c r="N25" t="s">
        <v>214</v>
      </c>
    </row>
    <row r="26" spans="1:14" ht="118.8" x14ac:dyDescent="0.3">
      <c r="A26" s="1" t="s">
        <v>74</v>
      </c>
      <c r="B26" s="1" t="str">
        <f>HYPERLINK("https://www.oursportscentral.com/services/releases/fuel-shut-out-kalamazoo-as-wideman-breaks-record/n-6182471")</f>
        <v>https://www.oursportscentral.com/services/releases/fuel-shut-out-kalamazoo-as-wideman-breaks-record/n-6182471</v>
      </c>
      <c r="C26" s="1"/>
      <c r="D26" s="1" t="s">
        <v>6</v>
      </c>
      <c r="E26" s="2">
        <v>45674.800694444442</v>
      </c>
      <c r="F26" s="1" t="s">
        <v>75</v>
      </c>
      <c r="G26" s="1">
        <f t="shared" si="0"/>
        <v>353.51749999999998</v>
      </c>
      <c r="H26" s="1">
        <v>40402</v>
      </c>
      <c r="I26" s="1">
        <v>0</v>
      </c>
      <c r="J26" s="1">
        <v>0</v>
      </c>
      <c r="K26" s="1">
        <v>0</v>
      </c>
      <c r="L26" s="1" t="s">
        <v>3</v>
      </c>
      <c r="M26" s="1"/>
      <c r="N26" t="s">
        <v>215</v>
      </c>
    </row>
    <row r="27" spans="1:14" ht="184.8" x14ac:dyDescent="0.3">
      <c r="A27" s="1" t="s">
        <v>76</v>
      </c>
      <c r="B27" s="1" t="str">
        <f>HYPERLINK("https://www.oursportscentral.com/services/releases/k-wings-drop-road-matchup-to-fuel/n-6182467")</f>
        <v>https://www.oursportscentral.com/services/releases/k-wings-drop-road-matchup-to-fuel/n-6182467</v>
      </c>
      <c r="C27" s="1"/>
      <c r="D27" s="1" t="s">
        <v>6</v>
      </c>
      <c r="E27" s="2">
        <v>45674.8</v>
      </c>
      <c r="F27" s="1" t="s">
        <v>77</v>
      </c>
      <c r="G27" s="1">
        <f t="shared" si="0"/>
        <v>353.51749999999998</v>
      </c>
      <c r="H27" s="1">
        <v>40402</v>
      </c>
      <c r="I27" s="1">
        <v>0</v>
      </c>
      <c r="J27" s="1">
        <v>0</v>
      </c>
      <c r="K27" s="1">
        <v>0</v>
      </c>
      <c r="L27" s="1" t="s">
        <v>3</v>
      </c>
      <c r="M27" s="1"/>
      <c r="N27" t="s">
        <v>215</v>
      </c>
    </row>
    <row r="28" spans="1:14" ht="118.8" x14ac:dyDescent="0.3">
      <c r="A28" s="1" t="s">
        <v>37</v>
      </c>
      <c r="B28" s="1" t="str">
        <f>HYPERLINK("https://www.heraldbulletin.com/sports/coming-up/article_ff58fab4-d4dc-11ef-992b-9346fb99c7b0.html")</f>
        <v>https://www.heraldbulletin.com/sports/coming-up/article_ff58fab4-d4dc-11ef-992b-9346fb99c7b0.html</v>
      </c>
      <c r="C28" s="1"/>
      <c r="D28" s="1" t="s">
        <v>38</v>
      </c>
      <c r="E28" s="2">
        <v>45674.415972222218</v>
      </c>
      <c r="F28" s="1" t="s">
        <v>78</v>
      </c>
      <c r="G28" s="1">
        <f t="shared" si="0"/>
        <v>439.77499999999998</v>
      </c>
      <c r="H28" s="1">
        <v>50260</v>
      </c>
      <c r="I28" s="1">
        <v>0</v>
      </c>
      <c r="J28" s="1">
        <v>0</v>
      </c>
      <c r="K28" s="1">
        <v>0</v>
      </c>
      <c r="L28" s="1" t="s">
        <v>7</v>
      </c>
      <c r="M28" s="1"/>
      <c r="N28" t="s">
        <v>214</v>
      </c>
    </row>
    <row r="29" spans="1:14" ht="118.8" x14ac:dyDescent="0.3">
      <c r="A29" s="1" t="s">
        <v>79</v>
      </c>
      <c r="B29" s="1" t="str">
        <f>HYPERLINK("https://www.axios.com/local/indianapolis/2025/01/17/indianapolis-weekend-events-mlk-day-home-show-globetrotters")</f>
        <v>https://www.axios.com/local/indianapolis/2025/01/17/indianapolis-weekend-events-mlk-day-home-show-globetrotters</v>
      </c>
      <c r="C29" s="1" t="s">
        <v>80</v>
      </c>
      <c r="D29" s="1" t="s">
        <v>81</v>
      </c>
      <c r="E29" s="2">
        <v>45674.269328703696</v>
      </c>
      <c r="F29" s="1" t="s">
        <v>82</v>
      </c>
      <c r="G29" s="1">
        <f t="shared" si="0"/>
        <v>126441.72624999999</v>
      </c>
      <c r="H29" s="1">
        <v>14450483</v>
      </c>
      <c r="I29" s="1">
        <v>0</v>
      </c>
      <c r="J29" s="1">
        <v>0</v>
      </c>
      <c r="K29" s="1">
        <v>0</v>
      </c>
      <c r="L29" s="1" t="s">
        <v>7</v>
      </c>
      <c r="M29" s="1"/>
      <c r="N29" t="s">
        <v>214</v>
      </c>
    </row>
    <row r="30" spans="1:14" ht="132" x14ac:dyDescent="0.3">
      <c r="A30" s="1" t="s">
        <v>37</v>
      </c>
      <c r="B30" s="1" t="str">
        <f>HYPERLINK("https://www.heraldbulletin.com/coming-up/article_0c286564-d419-11ef-bdf8-431e64a2d4dd.html")</f>
        <v>https://www.heraldbulletin.com/coming-up/article_0c286564-d419-11ef-bdf8-431e64a2d4dd.html</v>
      </c>
      <c r="C30" s="1"/>
      <c r="D30" s="1" t="s">
        <v>38</v>
      </c>
      <c r="E30" s="2">
        <v>45673.47892361111</v>
      </c>
      <c r="F30" s="1" t="s">
        <v>83</v>
      </c>
      <c r="G30" s="1">
        <f t="shared" si="0"/>
        <v>439.77499999999998</v>
      </c>
      <c r="H30" s="1">
        <v>50260</v>
      </c>
      <c r="I30" s="1">
        <v>0</v>
      </c>
      <c r="J30" s="1">
        <v>0</v>
      </c>
      <c r="K30" s="1">
        <v>0</v>
      </c>
      <c r="L30" s="1" t="s">
        <v>3</v>
      </c>
      <c r="M30" s="1"/>
      <c r="N30" t="s">
        <v>214</v>
      </c>
    </row>
    <row r="31" spans="1:14" ht="118.8" x14ac:dyDescent="0.3">
      <c r="A31" s="1" t="s">
        <v>84</v>
      </c>
      <c r="B31" s="1" t="str">
        <f>HYPERLINK("https://www.therinklive.com/sports/pro/maine-mariners-beat-indy-fuel-in-overtime-20250116000541")</f>
        <v>https://www.therinklive.com/sports/pro/maine-mariners-beat-indy-fuel-in-overtime-20250116000541</v>
      </c>
      <c r="C31" s="1"/>
      <c r="D31" s="1" t="s">
        <v>27</v>
      </c>
      <c r="E31" s="2">
        <v>45673.212291666663</v>
      </c>
      <c r="F31" s="1" t="s">
        <v>85</v>
      </c>
      <c r="G31" s="1">
        <f t="shared" si="0"/>
        <v>146.47499999999999</v>
      </c>
      <c r="H31" s="1">
        <v>16740</v>
      </c>
      <c r="I31" s="1">
        <v>0</v>
      </c>
      <c r="J31" s="1">
        <v>0</v>
      </c>
      <c r="K31" s="1">
        <v>0</v>
      </c>
      <c r="L31" s="1" t="s">
        <v>5</v>
      </c>
      <c r="M31" s="1"/>
      <c r="N31" t="s">
        <v>215</v>
      </c>
    </row>
    <row r="32" spans="1:14" ht="171.6" x14ac:dyDescent="0.3">
      <c r="A32" s="1" t="s">
        <v>86</v>
      </c>
      <c r="B32" s="1" t="str">
        <f>HYPERLINK("https://fox23maine.com/sports/content/maine-mariners-rally-to-defeat-indy-fuel-in-overtime-thriller")</f>
        <v>https://fox23maine.com/sports/content/maine-mariners-rally-to-defeat-indy-fuel-in-overtime-thriller</v>
      </c>
      <c r="C32" s="1"/>
      <c r="D32" s="1" t="s">
        <v>87</v>
      </c>
      <c r="E32" s="2">
        <v>45673.116180555553</v>
      </c>
      <c r="F32" s="1" t="s">
        <v>88</v>
      </c>
      <c r="G32" s="1">
        <f t="shared" si="0"/>
        <v>222.99374999999998</v>
      </c>
      <c r="H32" s="1">
        <v>25485</v>
      </c>
      <c r="I32" s="1">
        <v>0</v>
      </c>
      <c r="J32" s="1">
        <v>0</v>
      </c>
      <c r="K32" s="1">
        <v>0</v>
      </c>
      <c r="L32" s="1" t="s">
        <v>3</v>
      </c>
      <c r="M32" s="1"/>
      <c r="N32" t="s">
        <v>215</v>
      </c>
    </row>
    <row r="33" spans="1:14" ht="171.6" x14ac:dyDescent="0.3">
      <c r="A33" s="1" t="s">
        <v>86</v>
      </c>
      <c r="B33" s="1" t="str">
        <f>HYPERLINK("https://wgme.com/sports/content/maine-mariners-rally-to-defeat-indy-fuel-in-overtime-thriller")</f>
        <v>https://wgme.com/sports/content/maine-mariners-rally-to-defeat-indy-fuel-in-overtime-thriller</v>
      </c>
      <c r="C33" s="1"/>
      <c r="D33" s="1" t="s">
        <v>89</v>
      </c>
      <c r="E33" s="2">
        <v>45673.116180555553</v>
      </c>
      <c r="F33" s="1" t="s">
        <v>88</v>
      </c>
      <c r="G33" s="1">
        <f t="shared" si="0"/>
        <v>6406.6887500000003</v>
      </c>
      <c r="H33" s="1">
        <v>732193</v>
      </c>
      <c r="I33" s="1">
        <v>1</v>
      </c>
      <c r="J33" s="1">
        <v>9556</v>
      </c>
      <c r="K33" s="1">
        <v>1</v>
      </c>
      <c r="L33" s="1" t="s">
        <v>3</v>
      </c>
      <c r="M33" s="1"/>
      <c r="N33" t="s">
        <v>215</v>
      </c>
    </row>
    <row r="34" spans="1:14" ht="145.19999999999999" x14ac:dyDescent="0.3">
      <c r="A34" s="1" t="s">
        <v>90</v>
      </c>
      <c r="B34" s="1" t="str">
        <f>HYPERLINK("https://newsminimalist.com/articles/mariners-secure-overtime-victory-over-indy-with-hudsons-game-winning-goal-1dfeb41d")</f>
        <v>https://newsminimalist.com/articles/mariners-secure-overtime-victory-over-indy-with-hudsons-game-winning-goal-1dfeb41d</v>
      </c>
      <c r="C34" s="1"/>
      <c r="D34" s="1" t="s">
        <v>91</v>
      </c>
      <c r="E34" s="2">
        <v>45672.961423611108</v>
      </c>
      <c r="F34" s="1" t="s">
        <v>92</v>
      </c>
      <c r="G34" s="1">
        <f t="shared" si="0"/>
        <v>678.54499999999996</v>
      </c>
      <c r="H34" s="1">
        <v>77548</v>
      </c>
      <c r="I34" s="1">
        <v>0</v>
      </c>
      <c r="J34" s="1">
        <v>0</v>
      </c>
      <c r="K34" s="1">
        <v>0</v>
      </c>
      <c r="L34" s="1" t="s">
        <v>7</v>
      </c>
      <c r="M34" s="1"/>
      <c r="N34" t="s">
        <v>216</v>
      </c>
    </row>
    <row r="35" spans="1:14" ht="105.6" x14ac:dyDescent="0.3">
      <c r="A35" s="1" t="s">
        <v>93</v>
      </c>
      <c r="B35" s="1" t="str">
        <f>HYPERLINK("https://www.larryinfishers.com/2025/01/15/fuel-suffer-ot-loss-to-main/")</f>
        <v>https://www.larryinfishers.com/2025/01/15/fuel-suffer-ot-loss-to-main/</v>
      </c>
      <c r="C35" s="1"/>
      <c r="D35" s="1" t="s">
        <v>1</v>
      </c>
      <c r="E35" s="2">
        <v>45672.916435185187</v>
      </c>
      <c r="F35" s="1" t="s">
        <v>94</v>
      </c>
      <c r="G35" s="1">
        <f t="shared" si="0"/>
        <v>30.703749999999999</v>
      </c>
      <c r="H35" s="1">
        <v>3509</v>
      </c>
      <c r="I35" s="1">
        <v>0</v>
      </c>
      <c r="J35" s="1">
        <v>0</v>
      </c>
      <c r="K35" s="1">
        <v>19</v>
      </c>
      <c r="L35" s="1" t="s">
        <v>3</v>
      </c>
      <c r="M35" s="1"/>
      <c r="N35" t="s">
        <v>214</v>
      </c>
    </row>
    <row r="36" spans="1:14" ht="158.4" x14ac:dyDescent="0.3">
      <c r="A36" s="1" t="s">
        <v>95</v>
      </c>
      <c r="B36" s="1" t="str">
        <f>HYPERLINK("https://www.pressherald.com/2025/01/15/mariners-rally-for-4-3-echl-win-over-indy-in-ot/")</f>
        <v>https://www.pressherald.com/2025/01/15/mariners-rally-for-4-3-echl-win-over-indy-in-ot/</v>
      </c>
      <c r="C36" s="1" t="s">
        <v>96</v>
      </c>
      <c r="D36" s="1" t="s">
        <v>97</v>
      </c>
      <c r="E36" s="2">
        <v>45672.904050925928</v>
      </c>
      <c r="F36" s="1" t="s">
        <v>98</v>
      </c>
      <c r="G36" s="1">
        <f t="shared" si="0"/>
        <v>8587.9675000000007</v>
      </c>
      <c r="H36" s="1">
        <v>981482</v>
      </c>
      <c r="I36" s="1">
        <v>0</v>
      </c>
      <c r="J36" s="1">
        <v>0</v>
      </c>
      <c r="K36" s="1">
        <v>0</v>
      </c>
      <c r="L36" s="1" t="s">
        <v>7</v>
      </c>
      <c r="M36" s="1"/>
      <c r="N36" t="s">
        <v>215</v>
      </c>
    </row>
    <row r="37" spans="1:14" ht="118.8" x14ac:dyDescent="0.3">
      <c r="A37" s="1" t="s">
        <v>99</v>
      </c>
      <c r="B37" s="1" t="str">
        <f>HYPERLINK("https://www.oursportscentral.com/services/releases/fuel-earn-point-in-overtime-loss-to-maine-on-wednesday/n-6181836")</f>
        <v>https://www.oursportscentral.com/services/releases/fuel-earn-point-in-overtime-loss-to-maine-on-wednesday/n-6181836</v>
      </c>
      <c r="C37" s="1"/>
      <c r="D37" s="1" t="s">
        <v>6</v>
      </c>
      <c r="E37" s="2">
        <v>45672.810416666667</v>
      </c>
      <c r="F37" s="1" t="s">
        <v>100</v>
      </c>
      <c r="G37" s="1">
        <f t="shared" si="0"/>
        <v>353.51749999999998</v>
      </c>
      <c r="H37" s="1">
        <v>40402</v>
      </c>
      <c r="I37" s="1">
        <v>0</v>
      </c>
      <c r="J37" s="1">
        <v>0</v>
      </c>
      <c r="K37" s="1">
        <v>0</v>
      </c>
      <c r="L37" s="1" t="s">
        <v>3</v>
      </c>
      <c r="M37" s="1"/>
      <c r="N37" t="s">
        <v>215</v>
      </c>
    </row>
    <row r="38" spans="1:14" ht="158.4" x14ac:dyDescent="0.3">
      <c r="A38" s="1" t="s">
        <v>101</v>
      </c>
      <c r="B38" s="1" t="str">
        <f>HYPERLINK("https://www.oursportscentral.com/services/releases/mariners-rally-to-stun-fuel-in-overtime/n-6181832")</f>
        <v>https://www.oursportscentral.com/services/releases/mariners-rally-to-stun-fuel-in-overtime/n-6181832</v>
      </c>
      <c r="C38" s="1"/>
      <c r="D38" s="1" t="s">
        <v>6</v>
      </c>
      <c r="E38" s="2">
        <v>45672.80972222222</v>
      </c>
      <c r="F38" s="1" t="s">
        <v>102</v>
      </c>
      <c r="G38" s="1">
        <f t="shared" si="0"/>
        <v>353.51749999999998</v>
      </c>
      <c r="H38" s="1">
        <v>40402</v>
      </c>
      <c r="I38" s="1">
        <v>0</v>
      </c>
      <c r="J38" s="1">
        <v>0</v>
      </c>
      <c r="K38" s="1">
        <v>0</v>
      </c>
      <c r="L38" s="1" t="s">
        <v>5</v>
      </c>
      <c r="M38" s="1"/>
      <c r="N38" t="s">
        <v>215</v>
      </c>
    </row>
    <row r="39" spans="1:14" ht="132" x14ac:dyDescent="0.3">
      <c r="A39" s="1" t="s">
        <v>37</v>
      </c>
      <c r="B39" s="1" t="str">
        <f>HYPERLINK("https://www.heraldbulletin.com/sports/coming-up/article_dba5ebbc-d393-11ef-bce0-97482ac829f1.html")</f>
        <v>https://www.heraldbulletin.com/sports/coming-up/article_dba5ebbc-d393-11ef-bce0-97482ac829f1.html</v>
      </c>
      <c r="C39" s="1"/>
      <c r="D39" s="1" t="s">
        <v>38</v>
      </c>
      <c r="E39" s="2">
        <v>45672.764398148152</v>
      </c>
      <c r="F39" s="1" t="s">
        <v>83</v>
      </c>
      <c r="G39" s="1">
        <f t="shared" si="0"/>
        <v>439.77499999999998</v>
      </c>
      <c r="H39" s="1">
        <v>50260</v>
      </c>
      <c r="I39" s="1">
        <v>0</v>
      </c>
      <c r="J39" s="1">
        <v>0</v>
      </c>
      <c r="K39" s="1">
        <v>0</v>
      </c>
      <c r="L39" s="1" t="s">
        <v>7</v>
      </c>
      <c r="M39" s="1"/>
      <c r="N39" t="s">
        <v>214</v>
      </c>
    </row>
    <row r="40" spans="1:14" ht="158.4" x14ac:dyDescent="0.3">
      <c r="A40" s="1" t="s">
        <v>103</v>
      </c>
      <c r="B40" s="1" t="str">
        <f>HYPERLINK("https://www.flohockey.tv/events/12620547-2025-maine-mariners-vs-indy-fuel")</f>
        <v>https://www.flohockey.tv/events/12620547-2025-maine-mariners-vs-indy-fuel</v>
      </c>
      <c r="C40" s="1"/>
      <c r="D40" s="1" t="s">
        <v>104</v>
      </c>
      <c r="E40" s="2">
        <v>45672</v>
      </c>
      <c r="F40" s="1" t="s">
        <v>105</v>
      </c>
      <c r="G40" s="1">
        <f t="shared" si="0"/>
        <v>2807.7787499999999</v>
      </c>
      <c r="H40" s="1">
        <v>320889</v>
      </c>
      <c r="I40" s="1">
        <v>0</v>
      </c>
      <c r="J40" s="1">
        <v>0</v>
      </c>
      <c r="K40" s="1">
        <v>0</v>
      </c>
      <c r="L40" s="1" t="s">
        <v>3</v>
      </c>
      <c r="M40" s="1"/>
      <c r="N40" t="s">
        <v>216</v>
      </c>
    </row>
    <row r="41" spans="1:14" ht="211.2" x14ac:dyDescent="0.3">
      <c r="A41" s="1" t="s">
        <v>37</v>
      </c>
      <c r="B41" s="1" t="str">
        <f>HYPERLINK("https://www.heraldbulletin.com/sports/coming-up/article_a0b2db8c-d2a8-11ef-96cb-c34f0d3e37f8.html")</f>
        <v>https://www.heraldbulletin.com/sports/coming-up/article_a0b2db8c-d2a8-11ef-96cb-c34f0d3e37f8.html</v>
      </c>
      <c r="C41" s="1"/>
      <c r="D41" s="1" t="s">
        <v>38</v>
      </c>
      <c r="E41" s="2">
        <v>45671.599340277768</v>
      </c>
      <c r="F41" s="1" t="s">
        <v>106</v>
      </c>
      <c r="G41" s="1">
        <f t="shared" si="0"/>
        <v>439.77499999999998</v>
      </c>
      <c r="H41" s="1">
        <v>50260</v>
      </c>
      <c r="I41" s="1">
        <v>0</v>
      </c>
      <c r="J41" s="1">
        <v>0</v>
      </c>
      <c r="K41" s="1">
        <v>0</v>
      </c>
      <c r="L41" s="1" t="s">
        <v>3</v>
      </c>
      <c r="M41" s="1"/>
      <c r="N41" t="s">
        <v>214</v>
      </c>
    </row>
    <row r="42" spans="1:14" ht="132" x14ac:dyDescent="0.3">
      <c r="A42" s="1" t="s">
        <v>37</v>
      </c>
      <c r="B42" s="1" t="str">
        <f>HYPERLINK("https://www.heraldbulletin.com/sports/coming-up/article_11333a92-d1b3-11ef-9a55-931c886e4b42.html")</f>
        <v>https://www.heraldbulletin.com/sports/coming-up/article_11333a92-d1b3-11ef-9a55-931c886e4b42.html</v>
      </c>
      <c r="C42" s="1"/>
      <c r="D42" s="1" t="s">
        <v>38</v>
      </c>
      <c r="E42" s="2">
        <v>45670.380798611113</v>
      </c>
      <c r="F42" s="1" t="s">
        <v>107</v>
      </c>
      <c r="G42" s="1">
        <f t="shared" si="0"/>
        <v>439.77499999999998</v>
      </c>
      <c r="H42" s="1">
        <v>50260</v>
      </c>
      <c r="I42" s="1">
        <v>0</v>
      </c>
      <c r="J42" s="1">
        <v>0</v>
      </c>
      <c r="K42" s="1">
        <v>0</v>
      </c>
      <c r="L42" s="1" t="s">
        <v>7</v>
      </c>
      <c r="M42" s="1"/>
      <c r="N42" t="s">
        <v>214</v>
      </c>
    </row>
    <row r="43" spans="1:14" ht="145.19999999999999" x14ac:dyDescent="0.3">
      <c r="A43" s="1" t="s">
        <v>108</v>
      </c>
      <c r="B43" s="1" t="str">
        <f>HYPERLINK("https://www.1630kcjj.com/2025/01/12/heartlanders-sweep-fuel-for-fifth-straight-victory-2-1/")</f>
        <v>https://www.1630kcjj.com/2025/01/12/heartlanders-sweep-fuel-for-fifth-straight-victory-2-1/</v>
      </c>
      <c r="C43" s="1" t="s">
        <v>109</v>
      </c>
      <c r="D43" s="1" t="s">
        <v>110</v>
      </c>
      <c r="E43" s="2">
        <v>45670.048159722217</v>
      </c>
      <c r="F43" s="1" t="s">
        <v>111</v>
      </c>
      <c r="G43" s="1">
        <f t="shared" si="0"/>
        <v>105.34125</v>
      </c>
      <c r="H43" s="1">
        <v>12039</v>
      </c>
      <c r="I43" s="1">
        <v>0</v>
      </c>
      <c r="J43" s="1">
        <v>0</v>
      </c>
      <c r="K43" s="1">
        <v>18</v>
      </c>
      <c r="L43" s="1" t="s">
        <v>7</v>
      </c>
      <c r="M43" s="1"/>
      <c r="N43" t="s">
        <v>215</v>
      </c>
    </row>
    <row r="44" spans="1:14" ht="105.6" x14ac:dyDescent="0.3">
      <c r="A44" s="1" t="s">
        <v>112</v>
      </c>
      <c r="B44" s="1" t="str">
        <f>HYPERLINK("https://www.larryinfishers.com/2025/01/12/heartlanders-edge-fuel-in-hard-fought-2-1-battle/")</f>
        <v>https://www.larryinfishers.com/2025/01/12/heartlanders-edge-fuel-in-hard-fought-2-1-battle/</v>
      </c>
      <c r="C44" s="1"/>
      <c r="D44" s="1" t="s">
        <v>1</v>
      </c>
      <c r="E44" s="2">
        <v>45669.908854166657</v>
      </c>
      <c r="F44" s="1" t="s">
        <v>113</v>
      </c>
      <c r="G44" s="1">
        <f t="shared" si="0"/>
        <v>30.703749999999999</v>
      </c>
      <c r="H44" s="1">
        <v>3509</v>
      </c>
      <c r="I44" s="1">
        <v>0</v>
      </c>
      <c r="J44" s="1">
        <v>0</v>
      </c>
      <c r="K44" s="1">
        <v>1</v>
      </c>
      <c r="L44" s="1" t="s">
        <v>3</v>
      </c>
      <c r="M44" s="1"/>
      <c r="N44" t="s">
        <v>214</v>
      </c>
    </row>
    <row r="45" spans="1:14" ht="250.8" x14ac:dyDescent="0.3">
      <c r="A45" s="1" t="s">
        <v>114</v>
      </c>
      <c r="B45" s="1" t="str">
        <f>HYPERLINK("https://www.oursportscentral.com/services/releases/fuel-give-up-two-to-iowa-on-sunday/n-6180907")</f>
        <v>https://www.oursportscentral.com/services/releases/fuel-give-up-two-to-iowa-on-sunday/n-6180907</v>
      </c>
      <c r="C45" s="1"/>
      <c r="D45" s="1" t="s">
        <v>6</v>
      </c>
      <c r="E45" s="2">
        <v>45669.716666666667</v>
      </c>
      <c r="F45" s="1" t="s">
        <v>115</v>
      </c>
      <c r="G45" s="1">
        <f t="shared" si="0"/>
        <v>353.51749999999998</v>
      </c>
      <c r="H45" s="1">
        <v>40402</v>
      </c>
      <c r="I45" s="1">
        <v>0</v>
      </c>
      <c r="J45" s="1">
        <v>0</v>
      </c>
      <c r="K45" s="1">
        <v>0</v>
      </c>
      <c r="L45" s="1" t="s">
        <v>3</v>
      </c>
      <c r="M45" s="1"/>
      <c r="N45" t="s">
        <v>215</v>
      </c>
    </row>
    <row r="46" spans="1:14" ht="145.19999999999999" x14ac:dyDescent="0.3">
      <c r="A46" s="1" t="s">
        <v>116</v>
      </c>
      <c r="B46" s="1" t="str">
        <f>HYPERLINK("https://www.oursportscentral.com/services/releases/heartlanders-sweep-fuel-for-fifth-straight-victory-2-1/n-6180899")</f>
        <v>https://www.oursportscentral.com/services/releases/heartlanders-sweep-fuel-for-fifth-straight-victory-2-1/n-6180899</v>
      </c>
      <c r="C46" s="1"/>
      <c r="D46" s="1" t="s">
        <v>6</v>
      </c>
      <c r="E46" s="2">
        <v>45669.703472222223</v>
      </c>
      <c r="F46" s="1" t="s">
        <v>117</v>
      </c>
      <c r="G46" s="1">
        <f t="shared" si="0"/>
        <v>353.51749999999998</v>
      </c>
      <c r="H46" s="1">
        <v>40402</v>
      </c>
      <c r="I46" s="1">
        <v>0</v>
      </c>
      <c r="J46" s="1">
        <v>0</v>
      </c>
      <c r="K46" s="1">
        <v>0</v>
      </c>
      <c r="L46" s="1" t="s">
        <v>7</v>
      </c>
      <c r="M46" s="1"/>
      <c r="N46" t="s">
        <v>215</v>
      </c>
    </row>
    <row r="47" spans="1:14" ht="79.2" x14ac:dyDescent="0.3">
      <c r="A47" s="1" t="s">
        <v>118</v>
      </c>
      <c r="B47" s="1" t="str">
        <f>HYPERLINK("https://www.larryinfishers.com/2025/01/11/fuel-fall-to-heartlanders-4-1-despite-third-period-push/")</f>
        <v>https://www.larryinfishers.com/2025/01/11/fuel-fall-to-heartlanders-4-1-despite-third-period-push/</v>
      </c>
      <c r="C47" s="1"/>
      <c r="D47" s="1" t="s">
        <v>1</v>
      </c>
      <c r="E47" s="2">
        <v>45668.999641203707</v>
      </c>
      <c r="F47" s="1" t="s">
        <v>119</v>
      </c>
      <c r="G47" s="1">
        <f t="shared" si="0"/>
        <v>30.703749999999999</v>
      </c>
      <c r="H47" s="1">
        <v>3509</v>
      </c>
      <c r="I47" s="1">
        <v>0</v>
      </c>
      <c r="J47" s="1">
        <v>0</v>
      </c>
      <c r="K47" s="1">
        <v>2</v>
      </c>
      <c r="L47" s="1" t="s">
        <v>3</v>
      </c>
      <c r="M47" s="1"/>
      <c r="N47" t="s">
        <v>214</v>
      </c>
    </row>
    <row r="48" spans="1:14" ht="198" x14ac:dyDescent="0.3">
      <c r="A48" s="1" t="s">
        <v>120</v>
      </c>
      <c r="B48" s="1" t="str">
        <f>HYPERLINK("https://www.1630kcjj.com/2025/01/11/heartlanders-celebrate-another-home-win-beat-the-fuel-4-1/")</f>
        <v>https://www.1630kcjj.com/2025/01/11/heartlanders-celebrate-another-home-win-beat-the-fuel-4-1/</v>
      </c>
      <c r="C48" s="1" t="s">
        <v>109</v>
      </c>
      <c r="D48" s="1" t="s">
        <v>110</v>
      </c>
      <c r="E48" s="2">
        <v>45668.981342592589</v>
      </c>
      <c r="F48" s="1" t="s">
        <v>121</v>
      </c>
      <c r="G48" s="1">
        <f t="shared" si="0"/>
        <v>105.34125</v>
      </c>
      <c r="H48" s="1">
        <v>12039</v>
      </c>
      <c r="I48" s="1">
        <v>0</v>
      </c>
      <c r="J48" s="1">
        <v>0</v>
      </c>
      <c r="K48" s="1">
        <v>11</v>
      </c>
      <c r="L48" s="1" t="s">
        <v>7</v>
      </c>
      <c r="M48" s="1"/>
      <c r="N48" t="s">
        <v>215</v>
      </c>
    </row>
    <row r="49" spans="1:14" ht="118.8" x14ac:dyDescent="0.3">
      <c r="A49" s="1" t="s">
        <v>122</v>
      </c>
      <c r="B49" s="1" t="str">
        <f>HYPERLINK("https://www.oursportscentral.com/services/releases/fuel-fall-to-iowa-for-third-time-this-season/n-6180691")</f>
        <v>https://www.oursportscentral.com/services/releases/fuel-fall-to-iowa-for-third-time-this-season/n-6180691</v>
      </c>
      <c r="C49" s="1"/>
      <c r="D49" s="1" t="s">
        <v>6</v>
      </c>
      <c r="E49" s="2">
        <v>45668.86041666667</v>
      </c>
      <c r="F49" s="1" t="s">
        <v>123</v>
      </c>
      <c r="G49" s="1">
        <f t="shared" si="0"/>
        <v>353.51749999999998</v>
      </c>
      <c r="H49" s="1">
        <v>40402</v>
      </c>
      <c r="I49" s="1">
        <v>0</v>
      </c>
      <c r="J49" s="1">
        <v>0</v>
      </c>
      <c r="K49" s="1">
        <v>0</v>
      </c>
      <c r="L49" s="1" t="s">
        <v>3</v>
      </c>
      <c r="M49" s="1"/>
      <c r="N49" t="s">
        <v>215</v>
      </c>
    </row>
    <row r="50" spans="1:14" ht="92.4" x14ac:dyDescent="0.3">
      <c r="A50" s="1" t="s">
        <v>124</v>
      </c>
      <c r="B50" s="1" t="str">
        <f>HYPERLINK("https://www.theintelligencer.net/sports/top-sports/2025/01/nailers-fire-past-fuel-4-1/")</f>
        <v>https://www.theintelligencer.net/sports/top-sports/2025/01/nailers-fire-past-fuel-4-1/</v>
      </c>
      <c r="C50" s="1"/>
      <c r="D50" s="1" t="s">
        <v>125</v>
      </c>
      <c r="E50" s="2">
        <v>45668.855416666673</v>
      </c>
      <c r="F50" s="1" t="s">
        <v>126</v>
      </c>
      <c r="G50" s="1">
        <f t="shared" si="0"/>
        <v>418.75749999999999</v>
      </c>
      <c r="H50" s="1">
        <v>47858</v>
      </c>
      <c r="I50" s="1">
        <v>0</v>
      </c>
      <c r="J50" s="1">
        <v>0</v>
      </c>
      <c r="K50" s="1">
        <v>0</v>
      </c>
      <c r="L50" s="1" t="s">
        <v>3</v>
      </c>
      <c r="M50" s="1"/>
      <c r="N50" t="s">
        <v>215</v>
      </c>
    </row>
    <row r="51" spans="1:14" ht="184.8" x14ac:dyDescent="0.3">
      <c r="A51" s="1" t="s">
        <v>127</v>
      </c>
      <c r="B51" s="1" t="str">
        <f>HYPERLINK("https://www.oursportscentral.com/services/releases/heartlanders-celebrate-another-home-win-beat-the-fuel-4-1/n-6180591")</f>
        <v>https://www.oursportscentral.com/services/releases/heartlanders-celebrate-another-home-win-beat-the-fuel-4-1/n-6180591</v>
      </c>
      <c r="C51" s="1"/>
      <c r="D51" s="1" t="s">
        <v>6</v>
      </c>
      <c r="E51" s="2">
        <v>45668.804861111108</v>
      </c>
      <c r="F51" s="1" t="s">
        <v>128</v>
      </c>
      <c r="G51" s="1">
        <f t="shared" si="0"/>
        <v>353.51749999999998</v>
      </c>
      <c r="H51" s="1">
        <v>40402</v>
      </c>
      <c r="I51" s="1">
        <v>0</v>
      </c>
      <c r="J51" s="1">
        <v>0</v>
      </c>
      <c r="K51" s="1">
        <v>0</v>
      </c>
      <c r="L51" s="1" t="s">
        <v>7</v>
      </c>
      <c r="M51" s="1"/>
      <c r="N51" t="s">
        <v>215</v>
      </c>
    </row>
    <row r="52" spans="1:14" ht="171.6" x14ac:dyDescent="0.3">
      <c r="A52" s="1" t="s">
        <v>124</v>
      </c>
      <c r="B52" s="1" t="str">
        <f>HYPERLINK("https://www.oursportscentral.com/services/releases/nailers-fire-past-fuel-4-1/n-6180426")</f>
        <v>https://www.oursportscentral.com/services/releases/nailers-fire-past-fuel-4-1/n-6180426</v>
      </c>
      <c r="C52" s="1"/>
      <c r="D52" s="1" t="s">
        <v>6</v>
      </c>
      <c r="E52" s="2">
        <v>45668.171527777777</v>
      </c>
      <c r="F52" s="1" t="s">
        <v>129</v>
      </c>
      <c r="G52" s="1">
        <f t="shared" si="0"/>
        <v>353.51749999999998</v>
      </c>
      <c r="H52" s="1">
        <v>40402</v>
      </c>
      <c r="I52" s="1">
        <v>0</v>
      </c>
      <c r="J52" s="1">
        <v>0</v>
      </c>
      <c r="K52" s="1">
        <v>0</v>
      </c>
      <c r="L52" s="1" t="s">
        <v>3</v>
      </c>
      <c r="M52" s="1"/>
      <c r="N52" t="s">
        <v>215</v>
      </c>
    </row>
    <row r="53" spans="1:14" ht="105.6" x14ac:dyDescent="0.3">
      <c r="A53" s="1" t="s">
        <v>130</v>
      </c>
      <c r="B53" s="1" t="str">
        <f>HYPERLINK("https://www.larryinfishers.com/2025/01/10/fuel-fall-to-nailers-in-friday-night-showdown-4-1/")</f>
        <v>https://www.larryinfishers.com/2025/01/10/fuel-fall-to-nailers-in-friday-night-showdown-4-1/</v>
      </c>
      <c r="C53" s="1"/>
      <c r="D53" s="1" t="s">
        <v>1</v>
      </c>
      <c r="E53" s="2">
        <v>45667.922939814824</v>
      </c>
      <c r="F53" s="1" t="s">
        <v>131</v>
      </c>
      <c r="G53" s="1">
        <f t="shared" si="0"/>
        <v>30.703749999999999</v>
      </c>
      <c r="H53" s="1">
        <v>3509</v>
      </c>
      <c r="I53" s="1">
        <v>0</v>
      </c>
      <c r="J53" s="1">
        <v>0</v>
      </c>
      <c r="K53" s="1">
        <v>1</v>
      </c>
      <c r="L53" s="1" t="s">
        <v>3</v>
      </c>
      <c r="M53" s="1"/>
      <c r="N53" t="s">
        <v>214</v>
      </c>
    </row>
    <row r="54" spans="1:14" ht="92.4" x14ac:dyDescent="0.3">
      <c r="A54" s="1" t="s">
        <v>132</v>
      </c>
      <c r="B54" s="1" t="str">
        <f>HYPERLINK("https://www.wtrf.com/sports/wheeling-snaps-losing-skid-with-win-over-indy/")</f>
        <v>https://www.wtrf.com/sports/wheeling-snaps-losing-skid-with-win-over-indy/</v>
      </c>
      <c r="C54" s="1" t="s">
        <v>133</v>
      </c>
      <c r="D54" s="1" t="s">
        <v>134</v>
      </c>
      <c r="E54" s="2">
        <v>45667.900902777779</v>
      </c>
      <c r="F54" s="1" t="s">
        <v>135</v>
      </c>
      <c r="G54" s="1">
        <f t="shared" si="0"/>
        <v>3944.9812499999998</v>
      </c>
      <c r="H54" s="1">
        <v>450855</v>
      </c>
      <c r="I54" s="1">
        <v>0</v>
      </c>
      <c r="J54" s="1">
        <v>0</v>
      </c>
      <c r="K54" s="1">
        <v>0</v>
      </c>
      <c r="L54" s="1" t="s">
        <v>7</v>
      </c>
      <c r="M54" s="1"/>
      <c r="N54" t="s">
        <v>215</v>
      </c>
    </row>
    <row r="55" spans="1:14" ht="132" x14ac:dyDescent="0.3">
      <c r="A55" s="1" t="s">
        <v>136</v>
      </c>
      <c r="B55" s="1" t="str">
        <f>HYPERLINK("https://www.oursportscentral.com/services/releases/fuel-fall-to-nailers-on-friday/n-6180256")</f>
        <v>https://www.oursportscentral.com/services/releases/fuel-fall-to-nailers-on-friday/n-6180256</v>
      </c>
      <c r="C55" s="1"/>
      <c r="D55" s="1" t="s">
        <v>6</v>
      </c>
      <c r="E55" s="2">
        <v>45667.793749999997</v>
      </c>
      <c r="F55" s="1" t="s">
        <v>137</v>
      </c>
      <c r="G55" s="1">
        <f t="shared" si="0"/>
        <v>353.51749999999998</v>
      </c>
      <c r="H55" s="1">
        <v>40402</v>
      </c>
      <c r="I55" s="1">
        <v>0</v>
      </c>
      <c r="J55" s="1">
        <v>0</v>
      </c>
      <c r="K55" s="1">
        <v>0</v>
      </c>
      <c r="L55" s="1" t="s">
        <v>3</v>
      </c>
      <c r="M55" s="1"/>
      <c r="N55" t="s">
        <v>215</v>
      </c>
    </row>
    <row r="56" spans="1:14" ht="171.6" x14ac:dyDescent="0.3">
      <c r="A56" s="1" t="s">
        <v>138</v>
      </c>
      <c r="B56" s="1" t="str">
        <f>HYPERLINK("https://www.keepingupincarmel.com/post/the-in-list-2024-1-13-1-19")</f>
        <v>https://www.keepingupincarmel.com/post/the-in-list-2024-1-13-1-19</v>
      </c>
      <c r="C56" s="1" t="s">
        <v>23</v>
      </c>
      <c r="D56" s="1" t="s">
        <v>24</v>
      </c>
      <c r="E56" s="2">
        <v>45667.489814814813</v>
      </c>
      <c r="F56" s="1" t="s">
        <v>139</v>
      </c>
      <c r="G56" s="1">
        <f t="shared" si="0"/>
        <v>6.0025000000000004</v>
      </c>
      <c r="H56" s="1">
        <v>686</v>
      </c>
      <c r="I56" s="1">
        <v>0</v>
      </c>
      <c r="J56" s="1">
        <v>0</v>
      </c>
      <c r="K56" s="1">
        <v>0</v>
      </c>
      <c r="L56" s="1" t="s">
        <v>5</v>
      </c>
      <c r="M56" s="1"/>
      <c r="N56" t="s">
        <v>214</v>
      </c>
    </row>
    <row r="57" spans="1:14" ht="158.4" x14ac:dyDescent="0.3">
      <c r="A57" s="1" t="s">
        <v>140</v>
      </c>
      <c r="B57" s="1" t="str">
        <f>HYPERLINK("https://www.axios.com/local/indianapolis/2025/01/10/indianapolis-weekend-events-pacers-stand-up-glass-blowing")</f>
        <v>https://www.axios.com/local/indianapolis/2025/01/10/indianapolis-weekend-events-pacers-stand-up-glass-blowing</v>
      </c>
      <c r="C57" s="1" t="s">
        <v>141</v>
      </c>
      <c r="D57" s="1" t="s">
        <v>81</v>
      </c>
      <c r="E57" s="2">
        <v>45667.288865740738</v>
      </c>
      <c r="F57" s="1" t="s">
        <v>142</v>
      </c>
      <c r="G57" s="1">
        <f t="shared" si="0"/>
        <v>126441.72624999999</v>
      </c>
      <c r="H57" s="1">
        <v>14450483</v>
      </c>
      <c r="I57" s="1">
        <v>0</v>
      </c>
      <c r="J57" s="1">
        <v>0</v>
      </c>
      <c r="K57" s="1">
        <v>0</v>
      </c>
      <c r="L57" s="1" t="s">
        <v>7</v>
      </c>
      <c r="M57" s="1"/>
      <c r="N57" t="s">
        <v>214</v>
      </c>
    </row>
    <row r="58" spans="1:14" ht="290.39999999999998" x14ac:dyDescent="0.3">
      <c r="A58" s="1" t="s">
        <v>143</v>
      </c>
      <c r="B58" s="1" t="str">
        <f>HYPERLINK("https://www.nuvo.net/sports/slideshow-indy-fuel-vs-wheeling-nailers/collection_b5775c3e-cf4f-11ef-9bf1-83b34ba9f72e.html")</f>
        <v>https://www.nuvo.net/sports/slideshow-indy-fuel-vs-wheeling-nailers/collection_b5775c3e-cf4f-11ef-9bf1-83b34ba9f72e.html</v>
      </c>
      <c r="C58" s="1" t="s">
        <v>144</v>
      </c>
      <c r="D58" s="1" t="s">
        <v>33</v>
      </c>
      <c r="E58" s="2">
        <v>45667</v>
      </c>
      <c r="F58" s="1" t="s">
        <v>145</v>
      </c>
      <c r="G58" s="1">
        <f t="shared" si="0"/>
        <v>76.614999999999995</v>
      </c>
      <c r="H58" s="1">
        <v>8756</v>
      </c>
      <c r="I58" s="1">
        <v>0</v>
      </c>
      <c r="J58" s="1">
        <v>0</v>
      </c>
      <c r="K58" s="1">
        <v>0</v>
      </c>
      <c r="L58" s="1" t="s">
        <v>7</v>
      </c>
      <c r="M58" s="1"/>
      <c r="N58" t="s">
        <v>214</v>
      </c>
    </row>
    <row r="59" spans="1:14" ht="158.4" x14ac:dyDescent="0.3">
      <c r="A59" s="1" t="s">
        <v>37</v>
      </c>
      <c r="B59" s="1" t="str">
        <f>HYPERLINK("https://www.heraldbulletin.com/sports/coming-up/article_2ba98938-ceb8-11ef-99b0-47a27701ef93.html")</f>
        <v>https://www.heraldbulletin.com/sports/coming-up/article_2ba98938-ceb8-11ef-99b0-47a27701ef93.html</v>
      </c>
      <c r="C59" s="1"/>
      <c r="D59" s="1" t="s">
        <v>38</v>
      </c>
      <c r="E59" s="2">
        <v>45666.591932870368</v>
      </c>
      <c r="F59" s="1" t="s">
        <v>146</v>
      </c>
      <c r="G59" s="1">
        <f t="shared" si="0"/>
        <v>439.77499999999998</v>
      </c>
      <c r="H59" s="1">
        <v>50260</v>
      </c>
      <c r="I59" s="1">
        <v>0</v>
      </c>
      <c r="J59" s="1">
        <v>0</v>
      </c>
      <c r="K59" s="1">
        <v>0</v>
      </c>
      <c r="L59" s="1" t="s">
        <v>7</v>
      </c>
      <c r="M59" s="1"/>
      <c r="N59" t="s">
        <v>214</v>
      </c>
    </row>
    <row r="60" spans="1:14" ht="52.8" x14ac:dyDescent="0.3">
      <c r="A60" s="1" t="s">
        <v>147</v>
      </c>
      <c r="B60" s="1" t="str">
        <f>HYPERLINK("https://praiseindy.com/playlist/indianas-professional-sports-team-mascots/")</f>
        <v>https://praiseindy.com/playlist/indianas-professional-sports-team-mascots/</v>
      </c>
      <c r="C60" s="1" t="s">
        <v>148</v>
      </c>
      <c r="D60" s="1" t="s">
        <v>149</v>
      </c>
      <c r="E60" s="2">
        <v>45666.40215277778</v>
      </c>
      <c r="F60" s="1" t="s">
        <v>150</v>
      </c>
      <c r="G60" s="1">
        <f t="shared" si="0"/>
        <v>45.771250000000002</v>
      </c>
      <c r="H60" s="1">
        <v>5231</v>
      </c>
      <c r="I60" s="1">
        <v>0</v>
      </c>
      <c r="J60" s="1">
        <v>0</v>
      </c>
      <c r="K60" s="1">
        <v>16</v>
      </c>
      <c r="L60" s="1" t="s">
        <v>7</v>
      </c>
      <c r="M60" s="1"/>
      <c r="N60" t="s">
        <v>214</v>
      </c>
    </row>
    <row r="61" spans="1:14" ht="52.8" x14ac:dyDescent="0.3">
      <c r="A61" s="1" t="s">
        <v>147</v>
      </c>
      <c r="B61" s="1" t="str">
        <f>HYPERLINK("https://wtlcfm.com/playlist/indianas-professional-sports-team-mascots/")</f>
        <v>https://wtlcfm.com/playlist/indianas-professional-sports-team-mascots/</v>
      </c>
      <c r="C61" s="1" t="s">
        <v>148</v>
      </c>
      <c r="D61" s="1" t="s">
        <v>151</v>
      </c>
      <c r="E61" s="2">
        <v>45666.370162037027</v>
      </c>
      <c r="F61" s="1" t="s">
        <v>150</v>
      </c>
      <c r="G61" s="1">
        <f t="shared" si="0"/>
        <v>68.197500000000005</v>
      </c>
      <c r="H61" s="1">
        <v>7794</v>
      </c>
      <c r="I61" s="1">
        <v>0</v>
      </c>
      <c r="J61" s="1">
        <v>0</v>
      </c>
      <c r="K61" s="1">
        <v>3</v>
      </c>
      <c r="L61" s="1" t="s">
        <v>7</v>
      </c>
      <c r="M61" s="1"/>
      <c r="N61" t="s">
        <v>214</v>
      </c>
    </row>
    <row r="62" spans="1:14" ht="250.8" x14ac:dyDescent="0.3">
      <c r="A62" s="1" t="s">
        <v>152</v>
      </c>
      <c r="B62" s="1" t="str">
        <f>HYPERLINK("https://www.stadiumjourney.com/stadiums/fishers-event-center-indy-fuel")</f>
        <v>https://www.stadiumjourney.com/stadiums/fishers-event-center-indy-fuel</v>
      </c>
      <c r="C62" s="1" t="s">
        <v>60</v>
      </c>
      <c r="D62" s="1" t="s">
        <v>61</v>
      </c>
      <c r="E62" s="2">
        <v>45666.351678240739</v>
      </c>
      <c r="F62" s="1" t="s">
        <v>153</v>
      </c>
      <c r="G62" s="1">
        <f t="shared" si="0"/>
        <v>265.45749999999998</v>
      </c>
      <c r="H62" s="1">
        <v>30338</v>
      </c>
      <c r="I62" s="1">
        <v>0</v>
      </c>
      <c r="J62" s="1">
        <v>0</v>
      </c>
      <c r="K62" s="1">
        <v>33</v>
      </c>
      <c r="L62" s="1" t="s">
        <v>5</v>
      </c>
      <c r="M62" s="1"/>
      <c r="N62" t="s">
        <v>216</v>
      </c>
    </row>
    <row r="63" spans="1:14" ht="118.8" x14ac:dyDescent="0.3">
      <c r="A63" s="1" t="s">
        <v>154</v>
      </c>
      <c r="B63" s="1" t="str">
        <f>HYPERLINK("https://www.larryinfishers.com/2025/01/08/fuel-edge-nailers-in-overtime-with-gagniers-heroics/")</f>
        <v>https://www.larryinfishers.com/2025/01/08/fuel-edge-nailers-in-overtime-with-gagniers-heroics/</v>
      </c>
      <c r="C63" s="1"/>
      <c r="D63" s="1" t="s">
        <v>1</v>
      </c>
      <c r="E63" s="2">
        <v>45665.947766203702</v>
      </c>
      <c r="F63" s="1" t="s">
        <v>155</v>
      </c>
      <c r="G63" s="1">
        <f t="shared" si="0"/>
        <v>30.703749999999999</v>
      </c>
      <c r="H63" s="1">
        <v>3509</v>
      </c>
      <c r="I63" s="1">
        <v>0</v>
      </c>
      <c r="J63" s="1">
        <v>0</v>
      </c>
      <c r="K63" s="1">
        <v>4</v>
      </c>
      <c r="L63" s="1" t="s">
        <v>7</v>
      </c>
      <c r="M63" s="1"/>
      <c r="N63" t="s">
        <v>214</v>
      </c>
    </row>
    <row r="64" spans="1:14" ht="132" x14ac:dyDescent="0.3">
      <c r="A64" s="1" t="s">
        <v>156</v>
      </c>
      <c r="B64" s="1" t="str">
        <f>HYPERLINK("https://www.oursportscentral.com/services/releases/fuel-win-at-home-on-wednesday-over-wheeling/n-6179513")</f>
        <v>https://www.oursportscentral.com/services/releases/fuel-win-at-home-on-wednesday-over-wheeling/n-6179513</v>
      </c>
      <c r="C64" s="1"/>
      <c r="D64" s="1" t="s">
        <v>6</v>
      </c>
      <c r="E64" s="2">
        <v>45665.593055555553</v>
      </c>
      <c r="F64" s="1" t="s">
        <v>157</v>
      </c>
      <c r="G64" s="1">
        <f t="shared" si="0"/>
        <v>353.51749999999998</v>
      </c>
      <c r="H64" s="1">
        <v>40402</v>
      </c>
      <c r="I64" s="1">
        <v>0</v>
      </c>
      <c r="J64" s="1">
        <v>0</v>
      </c>
      <c r="K64" s="1">
        <v>0</v>
      </c>
      <c r="L64" s="1" t="s">
        <v>7</v>
      </c>
      <c r="M64" s="1"/>
      <c r="N64" t="s">
        <v>215</v>
      </c>
    </row>
    <row r="65" spans="1:14" ht="158.4" x14ac:dyDescent="0.3">
      <c r="A65" s="1" t="s">
        <v>37</v>
      </c>
      <c r="B65" s="1" t="str">
        <f>HYPERLINK("https://www.heraldbulletin.com/sports/coming-up/article_323ba728-cdef-11ef-b966-f7ee0ae0ee7c.html")</f>
        <v>https://www.heraldbulletin.com/sports/coming-up/article_323ba728-cdef-11ef-b966-f7ee0ae0ee7c.html</v>
      </c>
      <c r="C65" s="1"/>
      <c r="D65" s="1" t="s">
        <v>38</v>
      </c>
      <c r="E65" s="2">
        <v>45665.587071759262</v>
      </c>
      <c r="F65" s="1" t="s">
        <v>146</v>
      </c>
      <c r="G65" s="1">
        <f t="shared" si="0"/>
        <v>439.77499999999998</v>
      </c>
      <c r="H65" s="1">
        <v>50260</v>
      </c>
      <c r="I65" s="1">
        <v>0</v>
      </c>
      <c r="J65" s="1">
        <v>0</v>
      </c>
      <c r="K65" s="1">
        <v>0</v>
      </c>
      <c r="L65" s="1" t="s">
        <v>7</v>
      </c>
      <c r="M65" s="1"/>
      <c r="N65" t="s">
        <v>214</v>
      </c>
    </row>
    <row r="66" spans="1:14" ht="145.19999999999999" x14ac:dyDescent="0.3">
      <c r="A66" s="1" t="s">
        <v>158</v>
      </c>
      <c r="B66" s="1" t="str">
        <f>HYPERLINK("https://www.oursportscentral.com/services/releases/fuel-win-goaltending-duel-in-overtime/n-6179491")</f>
        <v>https://www.oursportscentral.com/services/releases/fuel-win-goaltending-duel-in-overtime/n-6179491</v>
      </c>
      <c r="C66" s="1"/>
      <c r="D66" s="1" t="s">
        <v>6</v>
      </c>
      <c r="E66" s="2">
        <v>45665.584722222222</v>
      </c>
      <c r="F66" s="1" t="s">
        <v>159</v>
      </c>
      <c r="G66" s="1">
        <f t="shared" si="0"/>
        <v>353.51749999999998</v>
      </c>
      <c r="H66" s="1">
        <v>40402</v>
      </c>
      <c r="I66" s="1">
        <v>0</v>
      </c>
      <c r="J66" s="1">
        <v>0</v>
      </c>
      <c r="K66" s="1">
        <v>0</v>
      </c>
      <c r="L66" s="1" t="s">
        <v>7</v>
      </c>
      <c r="M66" s="1"/>
      <c r="N66" t="s">
        <v>215</v>
      </c>
    </row>
    <row r="67" spans="1:14" ht="52.8" x14ac:dyDescent="0.3">
      <c r="A67" s="1" t="s">
        <v>147</v>
      </c>
      <c r="B67" s="1" t="str">
        <f>HYPERLINK("https://1075thefan.com/playlist/indianas-professional-sports-team-mascots/")</f>
        <v>https://1075thefan.com/playlist/indianas-professional-sports-team-mascots/</v>
      </c>
      <c r="C67" s="1" t="s">
        <v>148</v>
      </c>
      <c r="D67" s="1" t="s">
        <v>160</v>
      </c>
      <c r="E67" s="2">
        <v>45665.581018518518</v>
      </c>
      <c r="F67" s="1" t="s">
        <v>150</v>
      </c>
      <c r="G67" s="1">
        <f t="shared" ref="G67:G90" si="1">H67*0.025*0.35</f>
        <v>1827.70875</v>
      </c>
      <c r="H67" s="1">
        <v>208881</v>
      </c>
      <c r="I67" s="1">
        <v>0</v>
      </c>
      <c r="J67" s="1">
        <v>0</v>
      </c>
      <c r="K67" s="1">
        <v>0</v>
      </c>
      <c r="L67" s="1" t="s">
        <v>7</v>
      </c>
      <c r="M67" s="1"/>
      <c r="N67" t="s">
        <v>214</v>
      </c>
    </row>
    <row r="68" spans="1:14" ht="158.4" x14ac:dyDescent="0.3">
      <c r="A68" s="1" t="s">
        <v>161</v>
      </c>
      <c r="B68" s="1" t="str">
        <f>HYPERLINK("https://insidetherink.com/echl-thomas-caron-suspended-by-indy-fuel-01-07-2025/")</f>
        <v>https://insidetherink.com/echl-thomas-caron-suspended-by-indy-fuel-01-07-2025/</v>
      </c>
      <c r="C68" s="1" t="s">
        <v>18</v>
      </c>
      <c r="D68" s="1" t="s">
        <v>19</v>
      </c>
      <c r="E68" s="2">
        <v>45665.320648148147</v>
      </c>
      <c r="F68" s="1" t="s">
        <v>162</v>
      </c>
      <c r="G68" s="1">
        <f t="shared" si="1"/>
        <v>425.85375000000005</v>
      </c>
      <c r="H68" s="1">
        <v>48669</v>
      </c>
      <c r="I68" s="1">
        <v>0</v>
      </c>
      <c r="J68" s="1">
        <v>0</v>
      </c>
      <c r="K68" s="1">
        <v>20</v>
      </c>
      <c r="L68" s="1" t="s">
        <v>3</v>
      </c>
      <c r="M68" s="1"/>
      <c r="N68" t="s">
        <v>215</v>
      </c>
    </row>
    <row r="69" spans="1:14" ht="250.8" x14ac:dyDescent="0.3">
      <c r="A69" s="1" t="s">
        <v>37</v>
      </c>
      <c r="B69" s="1" t="str">
        <f>HYPERLINK("https://www.heraldbulletin.com/sports/coming-up/article_4bf784d2-cd33-11ef-a375-d7ad98941b55.html")</f>
        <v>https://www.heraldbulletin.com/sports/coming-up/article_4bf784d2-cd33-11ef-a375-d7ad98941b55.html</v>
      </c>
      <c r="C69" s="1"/>
      <c r="D69" s="1" t="s">
        <v>38</v>
      </c>
      <c r="E69" s="2">
        <v>45664.65253472222</v>
      </c>
      <c r="F69" s="1" t="s">
        <v>163</v>
      </c>
      <c r="G69" s="1">
        <f t="shared" si="1"/>
        <v>439.77499999999998</v>
      </c>
      <c r="H69" s="1">
        <v>50260</v>
      </c>
      <c r="I69" s="1">
        <v>0</v>
      </c>
      <c r="J69" s="1">
        <v>0</v>
      </c>
      <c r="K69" s="1">
        <v>0</v>
      </c>
      <c r="L69" s="1" t="s">
        <v>7</v>
      </c>
      <c r="M69" s="1"/>
      <c r="N69" t="s">
        <v>214</v>
      </c>
    </row>
    <row r="70" spans="1:14" ht="171.6" x14ac:dyDescent="0.3">
      <c r="A70" s="1" t="s">
        <v>37</v>
      </c>
      <c r="B70" s="1" t="str">
        <f>HYPERLINK("https://www.heraldbulletin.com/sports/coming-up/article_dbdfe858-cc45-11ef-b46a-ab1d79104ce9.html")</f>
        <v>https://www.heraldbulletin.com/sports/coming-up/article_dbdfe858-cc45-11ef-b46a-ab1d79104ce9.html</v>
      </c>
      <c r="C70" s="1"/>
      <c r="D70" s="1" t="s">
        <v>38</v>
      </c>
      <c r="E70" s="2">
        <v>45663.49077546296</v>
      </c>
      <c r="F70" s="1" t="s">
        <v>164</v>
      </c>
      <c r="G70" s="1">
        <f t="shared" si="1"/>
        <v>439.77499999999998</v>
      </c>
      <c r="H70" s="1">
        <v>50260</v>
      </c>
      <c r="I70" s="1">
        <v>0</v>
      </c>
      <c r="J70" s="1">
        <v>0</v>
      </c>
      <c r="K70" s="1">
        <v>0</v>
      </c>
      <c r="L70" s="1" t="s">
        <v>7</v>
      </c>
      <c r="M70" s="1"/>
      <c r="N70" t="s">
        <v>214</v>
      </c>
    </row>
    <row r="71" spans="1:14" ht="237.6" x14ac:dyDescent="0.3">
      <c r="A71" s="1" t="s">
        <v>165</v>
      </c>
      <c r="B71" s="1" t="str">
        <f>HYPERLINK("https://www.oursportscentral.com/services/releases/steelheads-acquire-andrew-bellant-from-indy-in-exchange-for-thomas-caron/n-6178522")</f>
        <v>https://www.oursportscentral.com/services/releases/steelheads-acquire-andrew-bellant-from-indy-in-exchange-for-thomas-caron/n-6178522</v>
      </c>
      <c r="C71" s="1"/>
      <c r="D71" s="1" t="s">
        <v>6</v>
      </c>
      <c r="E71" s="2">
        <v>45662.353472222218</v>
      </c>
      <c r="F71" s="1" t="s">
        <v>166</v>
      </c>
      <c r="G71" s="1">
        <f t="shared" si="1"/>
        <v>353.51749999999998</v>
      </c>
      <c r="H71" s="1">
        <v>40402</v>
      </c>
      <c r="I71" s="1">
        <v>0</v>
      </c>
      <c r="J71" s="1">
        <v>0</v>
      </c>
      <c r="K71" s="1">
        <v>0</v>
      </c>
      <c r="L71" s="1" t="s">
        <v>5</v>
      </c>
      <c r="M71" s="1"/>
      <c r="N71" t="s">
        <v>215</v>
      </c>
    </row>
    <row r="72" spans="1:14" ht="409.6" x14ac:dyDescent="0.3">
      <c r="A72" s="1" t="s">
        <v>167</v>
      </c>
      <c r="B72" s="1" t="str">
        <f>HYPERLINK("https://www.therinklive.com/sports/pro/cincinnati-cyclones-beat-indy-fuel-20250105002941")</f>
        <v>https://www.therinklive.com/sports/pro/cincinnati-cyclones-beat-indy-fuel-20250105002941</v>
      </c>
      <c r="C72" s="1"/>
      <c r="D72" s="1" t="s">
        <v>27</v>
      </c>
      <c r="E72" s="2">
        <v>45662.020636574067</v>
      </c>
      <c r="F72" s="1" t="s">
        <v>168</v>
      </c>
      <c r="G72" s="1">
        <f t="shared" si="1"/>
        <v>146.47499999999999</v>
      </c>
      <c r="H72" s="1">
        <v>16740</v>
      </c>
      <c r="I72" s="1">
        <v>0</v>
      </c>
      <c r="J72" s="1">
        <v>0</v>
      </c>
      <c r="K72" s="1">
        <v>0</v>
      </c>
      <c r="L72" s="1" t="s">
        <v>5</v>
      </c>
      <c r="M72" s="1"/>
      <c r="N72" t="s">
        <v>215</v>
      </c>
    </row>
    <row r="73" spans="1:14" ht="118.8" x14ac:dyDescent="0.3">
      <c r="A73" s="1" t="s">
        <v>169</v>
      </c>
      <c r="B73" s="1" t="str">
        <f>HYPERLINK("https://www.larryinfishers.com/2025/01/04/cyclones-overpower-fuel-4-2-in-cincinnati-clash/")</f>
        <v>https://www.larryinfishers.com/2025/01/04/cyclones-overpower-fuel-4-2-in-cincinnati-clash/</v>
      </c>
      <c r="C73" s="1"/>
      <c r="D73" s="1" t="s">
        <v>1</v>
      </c>
      <c r="E73" s="2">
        <v>45661.977789351848</v>
      </c>
      <c r="F73" s="1" t="s">
        <v>170</v>
      </c>
      <c r="G73" s="1">
        <f t="shared" si="1"/>
        <v>30.703749999999999</v>
      </c>
      <c r="H73" s="1">
        <v>3509</v>
      </c>
      <c r="I73" s="1">
        <v>0</v>
      </c>
      <c r="J73" s="1">
        <v>0</v>
      </c>
      <c r="K73" s="1">
        <v>23</v>
      </c>
      <c r="L73" s="1" t="s">
        <v>3</v>
      </c>
      <c r="M73" s="1"/>
      <c r="N73" t="s">
        <v>214</v>
      </c>
    </row>
    <row r="74" spans="1:14" ht="158.4" x14ac:dyDescent="0.3">
      <c r="A74" s="1" t="s">
        <v>171</v>
      </c>
      <c r="B74" s="1" t="str">
        <f>HYPERLINK("https://www.oursportscentral.com/services/releases/cyclones-win-back-to-back-games-defeat-indy-4-2/n-6178334")</f>
        <v>https://www.oursportscentral.com/services/releases/cyclones-win-back-to-back-games-defeat-indy-4-2/n-6178334</v>
      </c>
      <c r="C74" s="1"/>
      <c r="D74" s="1" t="s">
        <v>6</v>
      </c>
      <c r="E74" s="2">
        <v>45661.612500000003</v>
      </c>
      <c r="F74" s="1" t="s">
        <v>172</v>
      </c>
      <c r="G74" s="1">
        <f t="shared" si="1"/>
        <v>353.51749999999998</v>
      </c>
      <c r="H74" s="1">
        <v>40402</v>
      </c>
      <c r="I74" s="1">
        <v>0</v>
      </c>
      <c r="J74" s="1">
        <v>0</v>
      </c>
      <c r="K74" s="1">
        <v>0</v>
      </c>
      <c r="L74" s="1" t="s">
        <v>7</v>
      </c>
      <c r="M74" s="1"/>
      <c r="N74" t="s">
        <v>215</v>
      </c>
    </row>
    <row r="75" spans="1:14" ht="105.6" x14ac:dyDescent="0.3">
      <c r="A75" s="1" t="s">
        <v>173</v>
      </c>
      <c r="B75" s="1" t="str">
        <f>HYPERLINK("https://www.oursportscentral.com/services/releases/fuel-fall-to-cyclones-4-2-in-cincy/n-6178280")</f>
        <v>https://www.oursportscentral.com/services/releases/fuel-fall-to-cyclones-4-2-in-cincy/n-6178280</v>
      </c>
      <c r="C75" s="1"/>
      <c r="D75" s="1" t="s">
        <v>6</v>
      </c>
      <c r="E75" s="2">
        <v>45661.586111111108</v>
      </c>
      <c r="F75" s="1" t="s">
        <v>174</v>
      </c>
      <c r="G75" s="1">
        <f t="shared" si="1"/>
        <v>353.51749999999998</v>
      </c>
      <c r="H75" s="1">
        <v>40402</v>
      </c>
      <c r="I75" s="1">
        <v>0</v>
      </c>
      <c r="J75" s="1">
        <v>0</v>
      </c>
      <c r="K75" s="1">
        <v>0</v>
      </c>
      <c r="L75" s="1" t="s">
        <v>5</v>
      </c>
      <c r="M75" s="1"/>
      <c r="N75" t="s">
        <v>215</v>
      </c>
    </row>
    <row r="76" spans="1:14" ht="171.6" x14ac:dyDescent="0.3">
      <c r="A76" s="1" t="s">
        <v>175</v>
      </c>
      <c r="B76" s="1" t="str">
        <f>HYPERLINK("https://www.larryinfishers.com/2025/01/03/fuel-shine-on-glow-night-with-4-1-win-over-kalamazoo/")</f>
        <v>https://www.larryinfishers.com/2025/01/03/fuel-shine-on-glow-night-with-4-1-win-over-kalamazoo/</v>
      </c>
      <c r="C76" s="1"/>
      <c r="D76" s="1" t="s">
        <v>1</v>
      </c>
      <c r="E76" s="2">
        <v>45660.894305555557</v>
      </c>
      <c r="F76" s="1" t="s">
        <v>176</v>
      </c>
      <c r="G76" s="1">
        <f t="shared" si="1"/>
        <v>30.703749999999999</v>
      </c>
      <c r="H76" s="1">
        <v>3509</v>
      </c>
      <c r="I76" s="1">
        <v>0</v>
      </c>
      <c r="J76" s="1">
        <v>0</v>
      </c>
      <c r="K76" s="1">
        <v>1</v>
      </c>
      <c r="L76" s="1" t="s">
        <v>3</v>
      </c>
      <c r="M76" s="1"/>
      <c r="N76" t="s">
        <v>214</v>
      </c>
    </row>
    <row r="77" spans="1:14" ht="145.19999999999999" x14ac:dyDescent="0.3">
      <c r="A77" s="1" t="s">
        <v>177</v>
      </c>
      <c r="B77" s="1" t="str">
        <f>HYPERLINK("https://cycloneshockey.com/news/2025/01/cyclones-win-back-to-back-games-defeat-indy-4-2")</f>
        <v>https://cycloneshockey.com/news/2025/01/cyclones-win-back-to-back-games-defeat-indy-4-2</v>
      </c>
      <c r="C77" s="1"/>
      <c r="D77" s="1" t="s">
        <v>65</v>
      </c>
      <c r="E77" s="2">
        <v>45660.791666666657</v>
      </c>
      <c r="F77" s="1" t="s">
        <v>178</v>
      </c>
      <c r="G77" s="1">
        <f t="shared" si="1"/>
        <v>395.24625000000003</v>
      </c>
      <c r="H77" s="1">
        <v>45171</v>
      </c>
      <c r="I77" s="1">
        <v>0</v>
      </c>
      <c r="J77" s="1">
        <v>0</v>
      </c>
      <c r="K77" s="1">
        <v>0</v>
      </c>
      <c r="L77" s="1" t="s">
        <v>7</v>
      </c>
      <c r="M77" s="1"/>
      <c r="N77" t="s">
        <v>215</v>
      </c>
    </row>
    <row r="78" spans="1:14" ht="171.6" x14ac:dyDescent="0.3">
      <c r="A78" s="1" t="s">
        <v>180</v>
      </c>
      <c r="B78" s="1" t="str">
        <f>HYPERLINK("https://www.keepingupincarmel.com/post/the-in-list-2025-1-6-1-12")</f>
        <v>https://www.keepingupincarmel.com/post/the-in-list-2025-1-6-1-12</v>
      </c>
      <c r="C78" s="1" t="s">
        <v>23</v>
      </c>
      <c r="D78" s="1" t="s">
        <v>24</v>
      </c>
      <c r="E78" s="2">
        <v>45660.636354166672</v>
      </c>
      <c r="F78" s="1" t="s">
        <v>181</v>
      </c>
      <c r="G78" s="1">
        <f t="shared" si="1"/>
        <v>6.0025000000000004</v>
      </c>
      <c r="H78" s="1">
        <v>686</v>
      </c>
      <c r="I78" s="1">
        <v>0</v>
      </c>
      <c r="J78" s="1">
        <v>0</v>
      </c>
      <c r="K78" s="1">
        <v>0</v>
      </c>
      <c r="L78" s="1" t="s">
        <v>5</v>
      </c>
      <c r="M78" s="1"/>
      <c r="N78" t="s">
        <v>214</v>
      </c>
    </row>
    <row r="79" spans="1:14" ht="118.8" x14ac:dyDescent="0.3">
      <c r="A79" s="1" t="s">
        <v>182</v>
      </c>
      <c r="B79" s="1" t="str">
        <f>HYPERLINK("https://insidetherink.com/echl-adirondack-thunder-trade-zach-bannister-to-indy-fuel/")</f>
        <v>https://insidetherink.com/echl-adirondack-thunder-trade-zach-bannister-to-indy-fuel/</v>
      </c>
      <c r="C79" s="1"/>
      <c r="D79" s="1" t="s">
        <v>19</v>
      </c>
      <c r="E79" s="2">
        <v>45660.631932870368</v>
      </c>
      <c r="F79" s="1" t="s">
        <v>183</v>
      </c>
      <c r="G79" s="1">
        <f t="shared" si="1"/>
        <v>425.85375000000005</v>
      </c>
      <c r="H79" s="1">
        <v>48669</v>
      </c>
      <c r="I79" s="1">
        <v>0</v>
      </c>
      <c r="J79" s="1">
        <v>0</v>
      </c>
      <c r="K79" s="1">
        <v>28</v>
      </c>
      <c r="L79" s="1" t="s">
        <v>7</v>
      </c>
      <c r="M79" s="1"/>
      <c r="N79" t="s">
        <v>215</v>
      </c>
    </row>
    <row r="80" spans="1:14" ht="158.4" x14ac:dyDescent="0.3">
      <c r="A80" s="1" t="s">
        <v>184</v>
      </c>
      <c r="B80" s="1" t="str">
        <f>HYPERLINK("https://www.oursportscentral.com/services/releases/fuel-sell-out-friday-and-defeat-k-wings-on-glow-night/n-6177977")</f>
        <v>https://www.oursportscentral.com/services/releases/fuel-sell-out-friday-and-defeat-k-wings-on-glow-night/n-6177977</v>
      </c>
      <c r="C80" s="1"/>
      <c r="D80" s="1" t="s">
        <v>6</v>
      </c>
      <c r="E80" s="2">
        <v>45660.592361111107</v>
      </c>
      <c r="F80" s="1" t="s">
        <v>185</v>
      </c>
      <c r="G80" s="1">
        <f t="shared" si="1"/>
        <v>353.51749999999998</v>
      </c>
      <c r="H80" s="1">
        <v>40402</v>
      </c>
      <c r="I80" s="1">
        <v>0</v>
      </c>
      <c r="J80" s="1">
        <v>0</v>
      </c>
      <c r="K80" s="1">
        <v>0</v>
      </c>
      <c r="L80" s="1" t="s">
        <v>3</v>
      </c>
      <c r="M80" s="1"/>
      <c r="N80" t="s">
        <v>215</v>
      </c>
    </row>
    <row r="81" spans="1:14" ht="184.8" x14ac:dyDescent="0.3">
      <c r="A81" s="1" t="s">
        <v>186</v>
      </c>
      <c r="B81" s="1" t="str">
        <f>HYPERLINK("https://www.oursportscentral.com/services/releases/k-wings-downed-by-indy-fuel/n-6177967")</f>
        <v>https://www.oursportscentral.com/services/releases/k-wings-downed-by-indy-fuel/n-6177967</v>
      </c>
      <c r="C81" s="1"/>
      <c r="D81" s="1" t="s">
        <v>6</v>
      </c>
      <c r="E81" s="2">
        <v>45660.588194444441</v>
      </c>
      <c r="F81" s="1" t="s">
        <v>187</v>
      </c>
      <c r="G81" s="1">
        <f t="shared" si="1"/>
        <v>353.51749999999998</v>
      </c>
      <c r="H81" s="1">
        <v>40402</v>
      </c>
      <c r="I81" s="1">
        <v>0</v>
      </c>
      <c r="J81" s="1">
        <v>0</v>
      </c>
      <c r="K81" s="1">
        <v>0</v>
      </c>
      <c r="L81" s="1" t="s">
        <v>5</v>
      </c>
      <c r="M81" s="1"/>
      <c r="N81" t="s">
        <v>215</v>
      </c>
    </row>
    <row r="82" spans="1:14" ht="198" x14ac:dyDescent="0.3">
      <c r="A82" s="1" t="s">
        <v>37</v>
      </c>
      <c r="B82" s="1" t="str">
        <f>HYPERLINK("https://www.heraldbulletin.com/sports/coming-up/article_a4e131a6-c94b-11ef-b603-cb6cb96ab950.html")</f>
        <v>https://www.heraldbulletin.com/sports/coming-up/article_a4e131a6-c94b-11ef-b603-cb6cb96ab950.html</v>
      </c>
      <c r="C82" s="1"/>
      <c r="D82" s="1" t="s">
        <v>38</v>
      </c>
      <c r="E82" s="2">
        <v>45660.310902777783</v>
      </c>
      <c r="F82" s="1" t="s">
        <v>179</v>
      </c>
      <c r="G82" s="1">
        <f t="shared" si="1"/>
        <v>439.77499999999998</v>
      </c>
      <c r="H82" s="1">
        <v>50260</v>
      </c>
      <c r="I82" s="1">
        <v>0</v>
      </c>
      <c r="J82" s="1">
        <v>0</v>
      </c>
      <c r="K82" s="1">
        <v>4</v>
      </c>
      <c r="L82" s="1" t="s">
        <v>7</v>
      </c>
      <c r="M82" s="1"/>
      <c r="N82" t="s">
        <v>214</v>
      </c>
    </row>
    <row r="83" spans="1:14" ht="145.19999999999999" x14ac:dyDescent="0.3">
      <c r="A83" s="1" t="s">
        <v>188</v>
      </c>
      <c r="B83" s="1" t="str">
        <f>HYPERLINK("https://www.heraldbulletin.com/community/entertainment/your-weekend-jan-3/article_0d0c041c-c92f-11ef-992e-4720e069c416.html")</f>
        <v>https://www.heraldbulletin.com/community/entertainment/your-weekend-jan-3/article_0d0c041c-c92f-11ef-992e-4720e069c416.html</v>
      </c>
      <c r="C83" s="1"/>
      <c r="D83" s="1" t="s">
        <v>38</v>
      </c>
      <c r="E83" s="2">
        <v>45660.293807870366</v>
      </c>
      <c r="F83" s="1" t="s">
        <v>189</v>
      </c>
      <c r="G83" s="1">
        <f t="shared" si="1"/>
        <v>439.77499999999998</v>
      </c>
      <c r="H83" s="1">
        <v>50260</v>
      </c>
      <c r="I83" s="1">
        <v>0</v>
      </c>
      <c r="J83" s="1">
        <v>0</v>
      </c>
      <c r="K83" s="1">
        <v>0</v>
      </c>
      <c r="L83" s="1" t="s">
        <v>5</v>
      </c>
      <c r="M83" s="1"/>
      <c r="N83" t="s">
        <v>214</v>
      </c>
    </row>
    <row r="84" spans="1:14" ht="171.6" x14ac:dyDescent="0.3">
      <c r="A84" s="1" t="s">
        <v>37</v>
      </c>
      <c r="B84" s="1" t="str">
        <f>HYPERLINK("https://www.heraldbulletin.com/sports/coming-up/article_e17ff160-c865-11ef-a47c-8fe9dec2df1a.html")</f>
        <v>https://www.heraldbulletin.com/sports/coming-up/article_e17ff160-c865-11ef-a47c-8fe9dec2df1a.html</v>
      </c>
      <c r="C84" s="1"/>
      <c r="D84" s="1" t="s">
        <v>38</v>
      </c>
      <c r="E84" s="2">
        <v>45659.303472222222</v>
      </c>
      <c r="F84" s="1" t="s">
        <v>190</v>
      </c>
      <c r="G84" s="1">
        <f t="shared" si="1"/>
        <v>439.77499999999998</v>
      </c>
      <c r="H84" s="1">
        <v>50260</v>
      </c>
      <c r="I84" s="1">
        <v>0</v>
      </c>
      <c r="J84" s="1">
        <v>0</v>
      </c>
      <c r="K84" s="1">
        <v>8</v>
      </c>
      <c r="L84" s="1" t="s">
        <v>3</v>
      </c>
      <c r="M84" s="1"/>
      <c r="N84" t="s">
        <v>214</v>
      </c>
    </row>
    <row r="85" spans="1:14" ht="158.4" x14ac:dyDescent="0.3">
      <c r="A85" s="1" t="s">
        <v>191</v>
      </c>
      <c r="B85" s="1" t="str">
        <f>HYPERLINK("https://indyfuelhockey.com/news/2025/01/fuel-sign-forward-william-provost")</f>
        <v>https://indyfuelhockey.com/news/2025/01/fuel-sign-forward-william-provost</v>
      </c>
      <c r="C85" s="1"/>
      <c r="D85" s="1" t="s">
        <v>72</v>
      </c>
      <c r="E85" s="2">
        <v>45659.231979166667</v>
      </c>
      <c r="F85" s="1" t="s">
        <v>192</v>
      </c>
      <c r="G85" s="1">
        <f t="shared" si="1"/>
        <v>0</v>
      </c>
      <c r="H85" s="1"/>
      <c r="I85" s="1">
        <v>1</v>
      </c>
      <c r="J85" s="1">
        <v>535</v>
      </c>
      <c r="K85" s="1">
        <v>1</v>
      </c>
      <c r="L85" s="1" t="s">
        <v>5</v>
      </c>
      <c r="M85" s="1"/>
      <c r="N85" t="s">
        <v>214</v>
      </c>
    </row>
    <row r="86" spans="1:14" ht="132" x14ac:dyDescent="0.3">
      <c r="A86" s="1" t="s">
        <v>193</v>
      </c>
      <c r="B86" s="1" t="str">
        <f>HYPERLINK("https://www.therinklive.com/sports/pro/penalty-shootout-decides-the-outcome-as-the-fort-wayne-komets-beat-indy-fuel-20250101080641")</f>
        <v>https://www.therinklive.com/sports/pro/penalty-shootout-decides-the-outcome-as-the-fort-wayne-komets-beat-indy-fuel-20250101080641</v>
      </c>
      <c r="C86" s="1"/>
      <c r="D86" s="1" t="s">
        <v>27</v>
      </c>
      <c r="E86" s="2">
        <v>45658.33798611111</v>
      </c>
      <c r="F86" s="1" t="s">
        <v>194</v>
      </c>
      <c r="G86" s="1">
        <f t="shared" si="1"/>
        <v>146.47499999999999</v>
      </c>
      <c r="H86" s="1">
        <v>16740</v>
      </c>
      <c r="I86" s="1">
        <v>0</v>
      </c>
      <c r="J86" s="1">
        <v>0</v>
      </c>
      <c r="K86" s="1">
        <v>0</v>
      </c>
      <c r="L86" s="1" t="s">
        <v>3</v>
      </c>
      <c r="M86" s="1"/>
      <c r="N86" t="s">
        <v>215</v>
      </c>
    </row>
    <row r="87" spans="1:14" ht="171.6" x14ac:dyDescent="0.3">
      <c r="A87" s="1" t="s">
        <v>37</v>
      </c>
      <c r="B87" s="1" t="str">
        <f>HYPERLINK("https://www.heraldbulletin.com/sports/coming-up/article_23a24a18-c7b5-11ef-ad3d-77be1927d6b7.html")</f>
        <v>https://www.heraldbulletin.com/sports/coming-up/article_23a24a18-c7b5-11ef-ad3d-77be1927d6b7.html</v>
      </c>
      <c r="C87" s="1"/>
      <c r="D87" s="1" t="s">
        <v>38</v>
      </c>
      <c r="E87" s="2">
        <v>45658.304224537038</v>
      </c>
      <c r="F87" s="1" t="s">
        <v>190</v>
      </c>
      <c r="G87" s="1">
        <f t="shared" si="1"/>
        <v>439.77499999999998</v>
      </c>
      <c r="H87" s="1">
        <v>50260</v>
      </c>
      <c r="I87" s="1">
        <v>0</v>
      </c>
      <c r="J87" s="1">
        <v>0</v>
      </c>
      <c r="K87" s="1">
        <v>0</v>
      </c>
      <c r="L87" s="1" t="s">
        <v>3</v>
      </c>
      <c r="M87" s="1"/>
      <c r="N87" t="s">
        <v>214</v>
      </c>
    </row>
    <row r="88" spans="1:14" ht="118.8" x14ac:dyDescent="0.3">
      <c r="A88" s="1" t="s">
        <v>195</v>
      </c>
      <c r="B88" s="1" t="str">
        <f>HYPERLINK("https://www.larryinfishers.com/2025/01/01/fuel-edge-out-k-wings-in-thrilling-new-years-eve-matchup/")</f>
        <v>https://www.larryinfishers.com/2025/01/01/fuel-edge-out-k-wings-in-thrilling-new-years-eve-matchup/</v>
      </c>
      <c r="C88" s="1"/>
      <c r="D88" s="1" t="s">
        <v>1</v>
      </c>
      <c r="E88" s="2">
        <v>45658.302673611113</v>
      </c>
      <c r="F88" s="1" t="s">
        <v>196</v>
      </c>
      <c r="G88" s="1">
        <f t="shared" si="1"/>
        <v>30.703749999999999</v>
      </c>
      <c r="H88" s="1">
        <v>3509</v>
      </c>
      <c r="I88" s="1">
        <v>0</v>
      </c>
      <c r="J88" s="1">
        <v>0</v>
      </c>
      <c r="K88" s="1">
        <v>1</v>
      </c>
      <c r="L88" s="1" t="s">
        <v>5</v>
      </c>
      <c r="M88" s="1"/>
      <c r="N88" t="s">
        <v>214</v>
      </c>
    </row>
    <row r="89" spans="1:14" ht="79.2" x14ac:dyDescent="0.3">
      <c r="A89" s="1" t="s">
        <v>197</v>
      </c>
      <c r="B89" s="1" t="str">
        <f>HYPERLINK("https://www.therinklive.com/sports/pro/single-goal-win-for-indy-fuel-over-kalamazoo-wings-20250101010941")</f>
        <v>https://www.therinklive.com/sports/pro/single-goal-win-for-indy-fuel-over-kalamazoo-wings-20250101010941</v>
      </c>
      <c r="C89" s="1"/>
      <c r="D89" s="1" t="s">
        <v>27</v>
      </c>
      <c r="E89" s="2">
        <v>45658.048402777778</v>
      </c>
      <c r="F89" s="1" t="s">
        <v>198</v>
      </c>
      <c r="G89" s="1">
        <f t="shared" si="1"/>
        <v>146.47499999999999</v>
      </c>
      <c r="H89" s="1">
        <v>16740</v>
      </c>
      <c r="I89" s="1">
        <v>0</v>
      </c>
      <c r="J89" s="1">
        <v>0</v>
      </c>
      <c r="K89" s="1">
        <v>0</v>
      </c>
      <c r="L89" s="1" t="s">
        <v>7</v>
      </c>
      <c r="M89" s="1"/>
      <c r="N89" t="s">
        <v>215</v>
      </c>
    </row>
    <row r="90" spans="1:14" ht="409.6" x14ac:dyDescent="0.3">
      <c r="A90" s="1" t="s">
        <v>199</v>
      </c>
      <c r="B90" s="1" t="str">
        <f>HYPERLINK("https://www.therinklive.com/sports/pro/hawkins-strikes-twice-as-toledo-walleye-beat-indy-fuel-20250101001341")</f>
        <v>https://www.therinklive.com/sports/pro/hawkins-strikes-twice-as-toledo-walleye-beat-indy-fuel-20250101001341</v>
      </c>
      <c r="C90" s="1"/>
      <c r="D90" s="1" t="s">
        <v>27</v>
      </c>
      <c r="E90" s="2">
        <v>45658.009525462963</v>
      </c>
      <c r="F90" s="1" t="s">
        <v>200</v>
      </c>
      <c r="G90" s="1">
        <f t="shared" si="1"/>
        <v>146.47499999999999</v>
      </c>
      <c r="H90" s="1">
        <v>16740</v>
      </c>
      <c r="I90" s="1">
        <v>0</v>
      </c>
      <c r="J90" s="1">
        <v>0</v>
      </c>
      <c r="K90" s="1">
        <v>0</v>
      </c>
      <c r="L90" s="1" t="s">
        <v>3</v>
      </c>
      <c r="M90" s="1"/>
      <c r="N90"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Brianna Stopher</dc:creator>
  <cp:lastModifiedBy>Brianna Stopher</cp:lastModifiedBy>
  <dcterms:created xsi:type="dcterms:W3CDTF">2025-06-30T14:14:33Z</dcterms:created>
  <dcterms:modified xsi:type="dcterms:W3CDTF">2025-07-21T17:28:50Z</dcterms:modified>
</cp:coreProperties>
</file>