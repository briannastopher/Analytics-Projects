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1" documentId="13_ncr:1_{8CF60E03-0459-4518-A2F8-F4CB5EAD1903}" xr6:coauthVersionLast="47" xr6:coauthVersionMax="47" xr10:uidLastSave="{1E160D89-7754-4ED7-A298-F5247B7647D5}"/>
  <bookViews>
    <workbookView xWindow="2304" yWindow="1152" windowWidth="11112" windowHeight="11808" xr2:uid="{00000000-000D-0000-FFFF-FFFF00000000}"/>
  </bookViews>
  <sheets>
    <sheet name="Summary" sheetId="1" r:id="rId1"/>
    <sheet name="Articles" sheetId="2" r:id="rId2"/>
    <sheet name="Journalist Statu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3" l="1"/>
  <c r="N9" i="3"/>
  <c r="F9" i="3"/>
  <c r="E9" i="3"/>
  <c r="O8" i="3"/>
  <c r="N8" i="3"/>
  <c r="F8" i="3"/>
  <c r="E8" i="3"/>
  <c r="O7" i="3"/>
  <c r="N7" i="3"/>
  <c r="F7" i="3"/>
  <c r="E7" i="3"/>
  <c r="O6" i="3"/>
  <c r="N6" i="3"/>
  <c r="F6" i="3"/>
  <c r="E6" i="3"/>
  <c r="O5" i="3"/>
  <c r="N5" i="3"/>
  <c r="F5" i="3"/>
  <c r="E5" i="3"/>
  <c r="O4" i="3"/>
  <c r="N4" i="3"/>
  <c r="F4" i="3"/>
  <c r="E4" i="3"/>
  <c r="O3" i="3"/>
  <c r="N3" i="3"/>
  <c r="F3" i="3"/>
  <c r="E3" i="3"/>
  <c r="O2" i="3"/>
  <c r="N2" i="3"/>
  <c r="F2" i="3"/>
  <c r="E2" i="3"/>
  <c r="B22" i="2"/>
  <c r="B21" i="2"/>
  <c r="B20" i="2"/>
  <c r="B19" i="2"/>
  <c r="B18" i="2"/>
  <c r="B17" i="2"/>
  <c r="B16" i="2"/>
  <c r="B15" i="2"/>
  <c r="B14" i="2"/>
  <c r="B13" i="2"/>
  <c r="B12" i="2"/>
  <c r="B11" i="2"/>
  <c r="B10" i="2"/>
  <c r="B9" i="2"/>
  <c r="B8" i="2"/>
  <c r="B7" i="2"/>
  <c r="B6" i="2"/>
  <c r="B5" i="2"/>
  <c r="B4" i="2"/>
  <c r="B3" i="2"/>
  <c r="B2" i="2"/>
  <c r="B2" i="1"/>
</calcChain>
</file>

<file path=xl/sharedStrings.xml><?xml version="1.0" encoding="utf-8"?>
<sst xmlns="http://schemas.openxmlformats.org/spreadsheetml/2006/main" count="251" uniqueCount="145">
  <si>
    <t>Report</t>
  </si>
  <si>
    <t>Indy Ignite December Media Report</t>
  </si>
  <si>
    <t>URL</t>
  </si>
  <si>
    <t>Exported On</t>
  </si>
  <si>
    <t>Generated By</t>
  </si>
  <si>
    <t>Cathy Kightlinger</t>
  </si>
  <si>
    <t>Links</t>
  </si>
  <si>
    <t>Total Engagement</t>
  </si>
  <si>
    <t>Average Engagement</t>
  </si>
  <si>
    <t>Total UVM (Insights by Similarweb)</t>
  </si>
  <si>
    <t>Total AVE</t>
  </si>
  <si>
    <t>Total Journalist Shares</t>
  </si>
  <si>
    <t>Total Journalist Reach</t>
  </si>
  <si>
    <t>Article</t>
  </si>
  <si>
    <t>Author</t>
  </si>
  <si>
    <t>Media Outlet</t>
  </si>
  <si>
    <t>Published</t>
  </si>
  <si>
    <t>Snippet</t>
  </si>
  <si>
    <t>UVM (Insights by Similarweb)</t>
  </si>
  <si>
    <t>Journalist Shares</t>
  </si>
  <si>
    <t>Journalist Reach</t>
  </si>
  <si>
    <t>Sentiment</t>
  </si>
  <si>
    <t>Advertising Value Equivalency</t>
  </si>
  <si>
    <t>Pitch Placement</t>
  </si>
  <si>
    <t>Indianapolis Business Journal</t>
  </si>
  <si>
    <t>Neutral</t>
  </si>
  <si>
    <t>Indy Ignite preparing for first season; Team building chemistry during training camp</t>
  </si>
  <si>
    <t>Charlotte Varnes</t>
  </si>
  <si>
    <t>IndyStar</t>
  </si>
  <si>
    <t>But, for the first time since graduating high school, she's calling Indianapolis home as a professional volleyball player for the Pro Volleyball Federation's Indy Ignite.
"It's the perfect market for volleyball," Skjodt said. … The team was also recently awarded the inaugural PVF All-Star Match, which will be held at Fishers Event Center on Feb. 22. Being awarded the All-Star Match is a testament to the hard work of ownership and the front office, Padjen said.</t>
  </si>
  <si>
    <t>Positive</t>
  </si>
  <si>
    <t>Clean Sweep - Indianapolis Monthly</t>
  </si>
  <si>
    <t>Andrea Ratcliff</t>
  </si>
  <si>
    <t>Indianapolis Monthly</t>
  </si>
  <si>
    <t>At the same time, the Indy Ignite women’s pro volleyball team sets up for its inaugural season at the Fishers Event Center with a roster of fresh talent. We predict both of these organizations will spark a great measure of joy in 2025.</t>
  </si>
  <si>
    <t>'It's a perfect market for volleyball': Indy Ignite preparing for 1st season in training camp</t>
  </si>
  <si>
    <t>But, for the first time since graduating high school, she's calling Indianapolis home as a professional volleyball player for the Pro Volleyball Federation's Indy Ignite. 
"It's the perfect market for volleyball," Skjodt said. … The team was also recently awarded the inaugural PVF All-Star Match, which will be held at Fishers Event Center on Feb. 22. Being awarded the All-Star Match is a testament to the hard work of ownership and the front office, Padjen said.</t>
  </si>
  <si>
    <t>Fishers to host Pro Volleyball inaugural All-Star Match</t>
  </si>
  <si>
    <t>Current Publishing</t>
  </si>
  <si>
    <t>Pro Volleyball Federation has announced that the Fishers Event Center will host the organization’s first All-Star Match Feb. 22, 2025, with the match to be broadcast live on CBS Television Network. … The All-Star match will take place at 1:30 pm on Feb. 22 at Fishers Event Center, home of the league’s newest franchise the Indy Ignite. The Ignite’s inaugural season kicks off at Fishers Event Center on Jan. 11. Tickets to Ignite matches are available at indyignitevb.com. … “Hosting the first Pro Volleyball Federation All-Star weekend, just as we’re celebrating Indy Ignite’s inaugural season, is nothing short of epic.”</t>
  </si>
  <si>
    <t>Fishers Event Center to host first Pro Volleyball Federation All-Star Match</t>
  </si>
  <si>
    <t>WISH-TV (Indianapolis, IN)</t>
  </si>
  <si>
    <t>(WISH) — The Pro Volleyball Federation (PVF) announced on Monday that their first ever All-Star Match will be hosted at the Fishers Event Center, the home of the Indy Ignite.
The match is set to be on Saturday February 22, 2025.</t>
  </si>
  <si>
    <t>Win tickets to see the Indy Ignite Women's Professional Volleyball team!</t>
  </si>
  <si>
    <t>WRTV-TV (Indianapolis, IN)</t>
  </si>
  <si>
    <t>Indy Ignite’s Home Opener Ticket Sweepstakes
OFFICIAL RULES
NO PURCHASE NECESSARY TO ENTER OR WIN. A PURCHASE WILL NOT INCREASE YOUR CHANCES OF WINNING. … PRIZE(S): One First Prize – the winner will receive two or four tickets to the Indy Ignite volleyball match taking place at the Fishers Event Center on 1/11/2025 at 7PM ET. (ARV: $400). Seat location is to be determined by Sponsor in its sole discretion.</t>
  </si>
  <si>
    <t>Indy Ignite, Fishers Event Center to host pro volleyball league's All-Star event - Indianapolis Business Journal</t>
  </si>
  <si>
    <t>Ignite and Fishers Event Center are set to host the inaugural Pro Volleyball Federation All-Star Match in February, the league announced Monday. … “Hosting the first Pro Volleyball Federation All-Star weekend, just as we’re celebrating Indy Ignite’s inaugural season, is nothing short of epic.”
The Indy Ignite kicks off its regular season at Fishers Event Center on Jan. 11, with tickets starting at $30 for matches throughout the season.</t>
  </si>
  <si>
    <t>'Nothing short of epic '</t>
  </si>
  <si>
    <t>WTHR-TV (Indianapolis, IN)</t>
  </si>
  <si>
    <t>The PVF just announced that the Ignite's home court at the Fishers Event Center will be used to host the first-ever PVF All-Star Match.
On Feb. 22, 2025, the league's top talent from across the country will travel to Fishers to give fans a chance to witness the best in professional volleyball. … "Hosting the first Pro Volleyball Federation All-Star weekend, just as we're celebrating Indy Ignite's inaugural season, is nothing short of epic," said Mary Kay Huse, president and general manager of Indy Ignite.</t>
  </si>
  <si>
    <t>Indy Ignite, Fishers Event Center to host Pro Volleyball Federation All-Star Match</t>
  </si>
  <si>
    <t>Matt Adams</t>
  </si>
  <si>
    <t>WTTV-TV (Indianapolis, IN)</t>
  </si>
  <si>
    <t>In February, the inaugural Pro Volleyball Federation (PVF) All-Star Match is coming to the Fishers Event Center.
It’s the latest all-star event announced for the Indianapolis area, which served as home to the NBA All-Star Game in February 2024 and will host the WNBA All-Star Game in July 2025. … It comes as the Indy Ignite prepare for their first season.</t>
  </si>
  <si>
    <t>WXIN-TV (Indianapolis, IN)</t>
  </si>
  <si>
    <t>In February, the inaugural Pro Volleyball Federation (PVF) All-Star Match is coming to the Fishers Event Center.
It's the latest all-star event announced for the Indianapolis area, which served as home to the NBA All-Star Game in February 2024 and will host the WNBA All-Star Game in July 2025. … It comes as the Indy Ignite prepare for their first season.</t>
  </si>
  <si>
    <t>John Tuohy</t>
  </si>
  <si>
    <t>Indy Ignite professional volleyball team makes debut at Fishers Event Center</t>
  </si>
  <si>
    <t>As the team stepped on their brand-new court at the Fishers Event Center, the team gave fans plenty to cheer about during a nail-biting scrimmage, complete with a mascot debut, a drumline performance by Fishers High School and player autographs. … Indy Ignite will be the new team of the Pro Volleyball Federation in 2025. Their home opener is scheduled for Jan. 11 at Fishers Event Center. 
Tickets can be purchased here.</t>
  </si>
  <si>
    <t>Indy Ignite holds sneak peek scrimmage for season ticketholders</t>
  </si>
  <si>
    <t>Michael Van Schoik</t>
  </si>
  <si>
    <t>Indy Ignite held its first-ever scrimmage at the Fishers Event Center in front of season ticket holders. A new mascot, team and fanbase were unveiled during an exciting “Founders Day” for the Indy Ignite. … Indy Ignite’s opening night will be Jan. 11. The team will have 14 home games from January to May.
“The players are excited to be here and play for this community,” Huse said. “So please come meet us out wherever we are.</t>
  </si>
  <si>
    <t>Indy Ignite held its first-ever scrimmage at the Fishers Event Center in front of season ticket holders. A new mascot, teamand fanbase were unveiled during an exciting "Founders Day" for the Indy Ignite.</t>
  </si>
  <si>
    <t>Ex-Carmel High School standout ready for Ignite</t>
  </si>
  <si>
    <t>Mark Ambrogi</t>
  </si>
  <si>
    <t>Skjodt will play for the Indy Ignite of the Pro Volleyball Federation. The Ignite will play their games at the Fishers Event Center, with the season opener set for Jan. 11, 2025.</t>
  </si>
  <si>
    <t>Indy Ignite secures new talent in 2024 pro volleyball draft  - Indianapolis Recorder</t>
  </si>
  <si>
    <t>Noral Parham</t>
  </si>
  <si>
    <t>The Indianapolis Recorder</t>
  </si>
  <si>
    <t>The duo’s familiarity and chemistry will be a strong asset for the Indy Ignite as they build toward their debut.    … Indy Ignite will debut in January 2025 at the Fishers Event Center.</t>
  </si>
  <si>
    <t>Here's who the Indianapolis Ignite drafted; Pro volleyball team adds 6 players, including 2 Louisville Cardinals</t>
  </si>
  <si>
    <t>The Herald-Times</t>
  </si>
  <si>
    <t>Now, the pair -- simply known as "the duo" to Cardinal volleyball fans -- will continue their careers together just two hours away from home for the Indy Ignite.
"Both of us are super gritty, super competitive," DeBeer said. … The sole expansion team in the PVF, the Ignite will compete at the Fishers Event Center from January through May. The PVF played its inaugural season in 2024, setting the record for the most-attended women's professional volleyball game multiple times.</t>
  </si>
  <si>
    <t>Palladium-Item</t>
  </si>
  <si>
    <t>The Star Press</t>
  </si>
  <si>
    <t>Indy Ignite secures new talent in 2024 pro volleyball draft</t>
  </si>
  <si>
    <t>The duo's familiarity and chemistry will be a strong asset for the Indy Ignite as they build toward their debut. … Indy Ignite will debut in January 2025 at the Fishers Event Center. 
------------ 
Contact multi-media &amp; senior sports reporter Noral Parham III at 317-762-7846. Follow him on X @3Noral. 
The post Indy Ignite secures new talent in 2024 pro volleyball draft appeared first on Indianapolis Recorder.</t>
  </si>
  <si>
    <t>Name</t>
  </si>
  <si>
    <t>Title</t>
  </si>
  <si>
    <t>Email</t>
  </si>
  <si>
    <t>X (Twitter) Screen Name</t>
  </si>
  <si>
    <t>X (Twitter) URL</t>
  </si>
  <si>
    <t>Muck Rack URL</t>
  </si>
  <si>
    <t>X (Twitter) Followers</t>
  </si>
  <si>
    <t>Location</t>
  </si>
  <si>
    <t>Description</t>
  </si>
  <si>
    <t>Beats</t>
  </si>
  <si>
    <t>Publications</t>
  </si>
  <si>
    <t>Status Text</t>
  </si>
  <si>
    <t>Status Time</t>
  </si>
  <si>
    <t>Status URL</t>
  </si>
  <si>
    <t>Link Shared</t>
  </si>
  <si>
    <t>Kyle Neddenriep</t>
  </si>
  <si>
    <t>High School Sports Reporter</t>
  </si>
  <si>
    <t>kyle.neddenriep@indystar.com</t>
  </si>
  <si>
    <t>KyleNeddenriep</t>
  </si>
  <si>
    <t>Indianapolis</t>
  </si>
  <si>
    <t>High school sports reporter for the Indianapolis Star. Part-time rec basketball player, full-time dad of two sons. Email: kyle.neddenriep@indystar.com</t>
  </si>
  <si>
    <t>Sports,U.S. Regional</t>
  </si>
  <si>
    <t>'A special night for the community.' The opening high school basketball event at the Fishers Event Center is the Mudsock rivalry between Fishers and HSE. On the new building, possibility of future events and plenty of photos, too: https://t.co/R2k6hkP9tY https://t.co/x2MnEMQEKF</t>
  </si>
  <si>
    <t>Brian Haenchen</t>
  </si>
  <si>
    <t>Writer</t>
  </si>
  <si>
    <t>Bhaenchen@gannett.com</t>
  </si>
  <si>
    <t>Brian_Haenchen</t>
  </si>
  <si>
    <t>Indianapolis, IN</t>
  </si>
  <si>
    <t>@IndyStarSports writer. St. Louis native. seasonally spooky 👻, always #VeryAsian.</t>
  </si>
  <si>
    <t>RT @IndyStarSports: 'It's a perfect market for volleyball': Indy Ignite preparing for 1st season in training camp https://t.co/SJhTJmXHMe</t>
  </si>
  <si>
    <t>CKightlinger</t>
  </si>
  <si>
    <t>Indianapolis, Ind.</t>
  </si>
  <si>
    <t>director of comms, @indyignitevb | writer | marketer | believer | mom to ringo, a fluffy dog | views = my own</t>
  </si>
  <si>
    <t>U.S. Regional</t>
  </si>
  <si>
    <t>Freelance</t>
  </si>
  <si>
    <t>Andrew Chernoff</t>
  </si>
  <si>
    <t>Weekend Sports Anchor</t>
  </si>
  <si>
    <t>andrew.chernoff@wishtv.com</t>
  </si>
  <si>
    <t>ADChernoff</t>
  </si>
  <si>
    <t>Emmy Award-winning weekend sports anchor @WISHNews8 📺. @SyracuseU 🍊 grad &amp; open-wheel racing 🏁 fan! Follow me on Instagram (@ADChernoff).</t>
  </si>
  <si>
    <t>WNDY-TV (Indianapolis, IN),WISH-TV (Indianapolis, IN)</t>
  </si>
  <si>
    <t>.@RealProVB's inaugural All-Star Match will take place inside the @FishersEventCtr. 🏐
@IndyIgniteVB | @IndSportsCorp | @WISHNews8 
https://t.co/XZW8eVDe16</t>
  </si>
  <si>
    <t>Melissa Crash</t>
  </si>
  <si>
    <t>Morning Anchor and Reporter</t>
  </si>
  <si>
    <t>mcrash@fox59.com</t>
  </si>
  <si>
    <t>MelissaCrash</t>
  </si>
  <si>
    <t>You’ll find me on 📺 @CBS4Indy @FOX59. Emmy, AP nominated Anchor/Reporter. Go @IndianaState! Big fan of waking up early ☕️</t>
  </si>
  <si>
    <t>WTTV-TV (Indianapolis, IN),WXIN-TV (Indianapolis, IN)</t>
  </si>
  <si>
    <t>Big news this morning! In February, the inaugural Pro Volleyball Federation All-Star Match is coming to the Fishers Event Center.
In a historic first for professional volleyball, @CBS4Indy  will air the match on its national broadcast!
Here's more:
https://t.co/80QeU8PbKj</t>
  </si>
  <si>
    <t>Eric Graves</t>
  </si>
  <si>
    <t>Journalist</t>
  </si>
  <si>
    <t>egraves@fox59.com</t>
  </si>
  <si>
    <t>ReporterEric</t>
  </si>
  <si>
    <t>Journalist @FOX59 @CBS4Indy. Past: @waff48, @komunews. Learned a bunch from @mujschool. Taller than I look on TV. Say hi at egraves@fox59.com.</t>
  </si>
  <si>
    <t>NEW: The inaugural Pro Volleyball Federation All-Star Match is coming to the Fishers Event Center this February. The league’s CEO called the match a “defining moment” for the league and the sport of volleyball. You heard it first on @FOX59 &amp; @CBS4Indy.  https://t.co/BcIivftE8I</t>
  </si>
  <si>
    <t>RT @FOX59: Central Indiana is set to host yet another big all-star sporting event! https://t.co/mdNz03tFbi</t>
  </si>
  <si>
    <t>Hamilton County Growth and Development Reporter</t>
  </si>
  <si>
    <t>john.tuohy@indystar.com</t>
  </si>
  <si>
    <t>John_Tuohy</t>
  </si>
  <si>
    <t>@Indystar reporter covering Hamilton County. Reported in Chi.,Fla., &amp; D.C. Compassionate skeptic. Rye toast enthusiast.</t>
  </si>
  <si>
    <t>Transportation,U.S. Regional</t>
  </si>
  <si>
    <t>How Fishers Event Center got the March Madness court where Purdue rolled to key victories https://t.co/M3UZBM6sTF via ⁦@indystar⁩</t>
  </si>
  <si>
    <t>Bloomington, IN</t>
  </si>
  <si>
    <t>Richmond, IN</t>
  </si>
  <si>
    <t>Muncie, IN</t>
  </si>
  <si>
    <t>Location Category</t>
  </si>
  <si>
    <t>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</si>
</sst>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yyyy\-mm\-dd"/>
    <numFmt numFmtId="165" formatCode="&quot;$&quot;#,##0.00_-"/>
    <numFmt numFmtId="166" formatCode="yyyy\-mm\-dd\ hh:mm:ss"/>
  </numFmts>
  <fonts count="4" x14ac:knownFonts="1">
    <font>
      <sz val="11"/>
      <color theme="1"/>
      <name val="Calibri"/>
      <family val="2"/>
      <scheme val="minor"/>
    </font>
    <font>
      <b/>
      <sz val="10"/>
      <name val="Arial"/>
    </font>
    <font>
      <sz val="10"/>
      <name val="Arial"/>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right/>
      <top/>
      <bottom/>
      <diagonal/>
    </border>
  </borders>
  <cellStyleXfs count="6">
    <xf numFmtId="0" fontId="0" fillId="0" borderId="0"/>
    <xf numFmtId="0" fontId="1" fillId="0" borderId="1"/>
    <xf numFmtId="0" fontId="2" fillId="0" borderId="1">
      <alignment vertical="top" wrapText="1"/>
    </xf>
    <xf numFmtId="164" fontId="2" fillId="0" borderId="1">
      <alignment vertical="top" wrapText="1"/>
    </xf>
    <xf numFmtId="165" fontId="2" fillId="0" borderId="1">
      <alignment vertical="top" wrapText="1"/>
    </xf>
    <xf numFmtId="166" fontId="2" fillId="0" borderId="1">
      <alignment vertical="top" wrapText="1"/>
    </xf>
  </cellStyleXfs>
  <cellXfs count="10">
    <xf numFmtId="0" fontId="0" fillId="0" borderId="0" xfId="0"/>
    <xf numFmtId="0" fontId="1" fillId="0" borderId="1" xfId="1"/>
    <xf numFmtId="0" fontId="2" fillId="0" borderId="1" xfId="2">
      <alignment vertical="top" wrapText="1"/>
    </xf>
    <xf numFmtId="164" fontId="2" fillId="0" borderId="1" xfId="3">
      <alignment vertical="top" wrapText="1"/>
    </xf>
    <xf numFmtId="165" fontId="2" fillId="0" borderId="1" xfId="4">
      <alignment vertical="top" wrapText="1"/>
    </xf>
    <xf numFmtId="166" fontId="2" fillId="0" borderId="1" xfId="5">
      <alignment vertical="top" wrapText="1"/>
    </xf>
    <xf numFmtId="165" fontId="0" fillId="0" borderId="0" xfId="0" applyNumberFormat="1"/>
    <xf numFmtId="0" fontId="3" fillId="0" borderId="0" xfId="0" applyFont="1"/>
    <xf numFmtId="0" fontId="0" fillId="2" borderId="0" xfId="0" applyFill="1"/>
    <xf numFmtId="8" fontId="0" fillId="2" borderId="0" xfId="0" applyNumberFormat="1" applyFill="1"/>
  </cellXfs>
  <cellStyles count="6">
    <cellStyle name="mr_currency" xfId="4" xr:uid="{00000000-0005-0000-0000-000004000000}"/>
    <cellStyle name="mr_date" xfId="3" xr:uid="{00000000-0005-0000-0000-000003000000}"/>
    <cellStyle name="mr_datetime" xfId="5" xr:uid="{00000000-0005-0000-0000-000005000000}"/>
    <cellStyle name="mr_header" xfId="1" xr:uid="{00000000-0005-0000-0000-000001000000}"/>
    <cellStyle name="mr_normal" xfId="2" xr:uid="{00000000-0005-0000-0000-000002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abSelected="1" workbookViewId="0">
      <selection activeCell="C3" sqref="C3"/>
    </sheetView>
  </sheetViews>
  <sheetFormatPr defaultRowHeight="14.4" x14ac:dyDescent="0.3"/>
  <cols>
    <col min="1" max="1" width="34" customWidth="1"/>
    <col min="2" max="2" width="32" customWidth="1"/>
    <col min="3" max="3" width="11.5546875" bestFit="1" customWidth="1"/>
  </cols>
  <sheetData>
    <row r="1" spans="1:3" x14ac:dyDescent="0.3">
      <c r="A1" s="1" t="s">
        <v>0</v>
      </c>
      <c r="B1" s="2" t="s">
        <v>1</v>
      </c>
    </row>
    <row r="2" spans="1:3" ht="39.6" x14ac:dyDescent="0.3">
      <c r="A2" s="1" t="s">
        <v>2</v>
      </c>
      <c r="B2" s="2" t="str">
        <f>HYPERLINK("https://indy-ignite-pro-volleyball.muckrack.com/coverage-reports/gY6v/edit/")</f>
        <v>https://indy-ignite-pro-volleyball.muckrack.com/coverage-reports/gY6v/edit/</v>
      </c>
    </row>
    <row r="3" spans="1:3" x14ac:dyDescent="0.3">
      <c r="A3" s="1" t="s">
        <v>3</v>
      </c>
      <c r="B3" s="3">
        <v>45818</v>
      </c>
    </row>
    <row r="4" spans="1:3" x14ac:dyDescent="0.3">
      <c r="A4" s="1" t="s">
        <v>4</v>
      </c>
      <c r="B4" s="2" t="s">
        <v>5</v>
      </c>
    </row>
    <row r="6" spans="1:3" x14ac:dyDescent="0.3">
      <c r="A6" s="1" t="s">
        <v>6</v>
      </c>
      <c r="B6" s="2">
        <v>34</v>
      </c>
      <c r="C6" s="8">
        <v>21</v>
      </c>
    </row>
    <row r="7" spans="1:3" x14ac:dyDescent="0.3">
      <c r="A7" s="1" t="s">
        <v>7</v>
      </c>
      <c r="B7" s="2">
        <v>869</v>
      </c>
      <c r="C7" s="8">
        <v>742</v>
      </c>
    </row>
    <row r="8" spans="1:3" x14ac:dyDescent="0.3">
      <c r="A8" s="1" t="s">
        <v>8</v>
      </c>
      <c r="B8" s="2">
        <v>41</v>
      </c>
      <c r="C8" s="8">
        <v>35.299999999999997</v>
      </c>
    </row>
    <row r="9" spans="1:3" x14ac:dyDescent="0.3">
      <c r="A9" s="1" t="s">
        <v>9</v>
      </c>
      <c r="B9" s="2">
        <v>21689835</v>
      </c>
      <c r="C9" s="8">
        <v>11851508</v>
      </c>
    </row>
    <row r="10" spans="1:3" x14ac:dyDescent="0.3">
      <c r="A10" s="1" t="s">
        <v>10</v>
      </c>
      <c r="B10" s="4">
        <v>200630.97</v>
      </c>
      <c r="C10" s="9">
        <v>103700</v>
      </c>
    </row>
    <row r="11" spans="1:3" x14ac:dyDescent="0.3">
      <c r="A11" s="1" t="s">
        <v>11</v>
      </c>
      <c r="B11" s="2">
        <v>8</v>
      </c>
      <c r="C11" s="8">
        <v>5</v>
      </c>
    </row>
    <row r="12" spans="1:3" x14ac:dyDescent="0.3">
      <c r="A12" s="1" t="s">
        <v>12</v>
      </c>
      <c r="B12" s="2">
        <v>95689</v>
      </c>
      <c r="C12" s="8">
        <v>37239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
  <sheetViews>
    <sheetView topLeftCell="I21" workbookViewId="0">
      <selection activeCell="L23" sqref="E23:L24"/>
    </sheetView>
  </sheetViews>
  <sheetFormatPr defaultRowHeight="14.4" x14ac:dyDescent="0.3"/>
  <cols>
    <col min="1" max="1" width="48" customWidth="1"/>
    <col min="2" max="2" width="32" customWidth="1"/>
    <col min="3" max="4" width="24" customWidth="1"/>
    <col min="5" max="5" width="19" customWidth="1"/>
    <col min="6" max="6" width="48" customWidth="1"/>
    <col min="7" max="7" width="28" customWidth="1"/>
    <col min="8" max="8" width="17" customWidth="1"/>
    <col min="9" max="10" width="16" customWidth="1"/>
    <col min="11" max="11" width="13" customWidth="1"/>
    <col min="12" max="12" width="29" customWidth="1"/>
    <col min="13" max="13" width="24" customWidth="1"/>
    <col min="14" max="14" width="14.33203125" bestFit="1" customWidth="1"/>
    <col min="15" max="15" width="17.33203125" bestFit="1" customWidth="1"/>
  </cols>
  <sheetData>
    <row r="1" spans="1:15" x14ac:dyDescent="0.3">
      <c r="A1" s="1" t="s">
        <v>13</v>
      </c>
      <c r="B1" s="1" t="s">
        <v>2</v>
      </c>
      <c r="C1" s="1" t="s">
        <v>14</v>
      </c>
      <c r="D1" s="1" t="s">
        <v>15</v>
      </c>
      <c r="E1" s="1" t="s">
        <v>16</v>
      </c>
      <c r="F1" s="1" t="s">
        <v>17</v>
      </c>
      <c r="G1" s="1" t="s">
        <v>18</v>
      </c>
      <c r="H1" s="1" t="s">
        <v>19</v>
      </c>
      <c r="I1" s="1" t="s">
        <v>20</v>
      </c>
      <c r="J1" s="1" t="s">
        <v>7</v>
      </c>
      <c r="K1" s="1" t="s">
        <v>21</v>
      </c>
      <c r="L1" s="1" t="s">
        <v>22</v>
      </c>
      <c r="M1" s="1" t="s">
        <v>23</v>
      </c>
      <c r="N1" s="7" t="s">
        <v>85</v>
      </c>
      <c r="O1" s="1" t="s">
        <v>143</v>
      </c>
    </row>
    <row r="2" spans="1:15" ht="132" x14ac:dyDescent="0.3">
      <c r="A2" s="2" t="s">
        <v>26</v>
      </c>
      <c r="B2" s="2" t="str">
        <f>HYPERLINK("https://indy-ignite-pro-volleyball.muckrack.com/link/equWuP/indy-ignite-preparing-for-first-season-team-building-chemistry-during-training-camp")</f>
        <v>https://indy-ignite-pro-volleyball.muckrack.com/link/equWuP/indy-ignite-preparing-for-first-season-team-building-chemistry-during-training-camp</v>
      </c>
      <c r="C2" s="2" t="s">
        <v>27</v>
      </c>
      <c r="D2" s="2" t="s">
        <v>28</v>
      </c>
      <c r="E2" s="5">
        <v>45655.291666666657</v>
      </c>
      <c r="F2" s="2" t="s">
        <v>29</v>
      </c>
      <c r="G2" s="2"/>
      <c r="H2" s="2">
        <v>0</v>
      </c>
      <c r="I2" s="2">
        <v>0</v>
      </c>
      <c r="J2" s="2">
        <v>0</v>
      </c>
      <c r="K2" s="2" t="s">
        <v>30</v>
      </c>
      <c r="L2" s="4">
        <v>21007</v>
      </c>
      <c r="M2" s="2"/>
      <c r="N2" t="s">
        <v>105</v>
      </c>
      <c r="O2" t="s">
        <v>144</v>
      </c>
    </row>
    <row r="3" spans="1:15" ht="66" x14ac:dyDescent="0.3">
      <c r="A3" s="2" t="s">
        <v>31</v>
      </c>
      <c r="B3" s="2" t="str">
        <f>HYPERLINK("https://www.indianapolismonthly.com/news-and-opinion/clean-sweep/")</f>
        <v>https://www.indianapolismonthly.com/news-and-opinion/clean-sweep/</v>
      </c>
      <c r="C3" s="2" t="s">
        <v>32</v>
      </c>
      <c r="D3" s="2" t="s">
        <v>33</v>
      </c>
      <c r="E3" s="5">
        <v>45653.33556712963</v>
      </c>
      <c r="F3" s="2" t="s">
        <v>34</v>
      </c>
      <c r="G3" s="2">
        <v>37147</v>
      </c>
      <c r="H3" s="2">
        <v>0</v>
      </c>
      <c r="I3" s="2">
        <v>0</v>
      </c>
      <c r="J3" s="2">
        <v>0</v>
      </c>
      <c r="K3" s="2" t="s">
        <v>30</v>
      </c>
      <c r="L3" s="4">
        <v>343.61</v>
      </c>
      <c r="M3" s="2"/>
      <c r="N3" t="s">
        <v>105</v>
      </c>
      <c r="O3" t="s">
        <v>144</v>
      </c>
    </row>
    <row r="4" spans="1:15" ht="132" x14ac:dyDescent="0.3">
      <c r="A4" s="2" t="s">
        <v>35</v>
      </c>
      <c r="B4" s="2" t="str">
        <f>HYPERLINK("https://indy-ignite-pro-volleyball.muckrack.com/link/e2WDCU/its-a-perfect-market-for-volleyball-indy-ignite-preparing-for-1st-season-in-training-camp")</f>
        <v>https://indy-ignite-pro-volleyball.muckrack.com/link/e2WDCU/its-a-perfect-market-for-volleyball-indy-ignite-preparing-for-1st-season-in-training-camp</v>
      </c>
      <c r="C4" s="2"/>
      <c r="D4" s="2" t="s">
        <v>28</v>
      </c>
      <c r="E4" s="5">
        <v>45646.291666666657</v>
      </c>
      <c r="F4" s="2" t="s">
        <v>36</v>
      </c>
      <c r="G4" s="2"/>
      <c r="H4" s="2">
        <v>0</v>
      </c>
      <c r="I4" s="2">
        <v>0</v>
      </c>
      <c r="J4" s="2">
        <v>0</v>
      </c>
      <c r="K4" s="2" t="s">
        <v>30</v>
      </c>
      <c r="L4" s="4">
        <v>21007</v>
      </c>
      <c r="M4" s="2"/>
      <c r="N4" t="s">
        <v>105</v>
      </c>
      <c r="O4" t="s">
        <v>144</v>
      </c>
    </row>
    <row r="5" spans="1:15" ht="132" x14ac:dyDescent="0.3">
      <c r="A5" s="2" t="s">
        <v>35</v>
      </c>
      <c r="B5" s="2" t="str">
        <f>HYPERLINK("https://www.indystar.com/story/sports/2024/12/20/indy-ignite-volleyball-team-preparing-for-first-season-in-training-camp/77072581007/")</f>
        <v>https://www.indystar.com/story/sports/2024/12/20/indy-ignite-volleyball-team-preparing-for-first-season-in-training-camp/77072581007/</v>
      </c>
      <c r="C5" s="2"/>
      <c r="D5" s="2" t="s">
        <v>28</v>
      </c>
      <c r="E5" s="5">
        <v>45645.961689814823</v>
      </c>
      <c r="F5" s="2" t="s">
        <v>29</v>
      </c>
      <c r="G5" s="2">
        <v>3191890</v>
      </c>
      <c r="H5" s="2">
        <v>2</v>
      </c>
      <c r="I5" s="2">
        <v>17925</v>
      </c>
      <c r="J5" s="2">
        <v>14</v>
      </c>
      <c r="K5" s="2" t="s">
        <v>30</v>
      </c>
      <c r="L5" s="4">
        <v>29524.98</v>
      </c>
      <c r="M5" s="2"/>
      <c r="N5" t="s">
        <v>105</v>
      </c>
      <c r="O5" t="s">
        <v>144</v>
      </c>
    </row>
    <row r="6" spans="1:15" ht="158.4" x14ac:dyDescent="0.3">
      <c r="A6" s="2" t="s">
        <v>37</v>
      </c>
      <c r="B6" s="2" t="str">
        <f>HYPERLINK("https://www.youarecurrent.com/2024/12/16/fishers-to-host-pro-volleyball-inaugural-all-star-match/")</f>
        <v>https://www.youarecurrent.com/2024/12/16/fishers-to-host-pro-volleyball-inaugural-all-star-match/</v>
      </c>
      <c r="C6" s="2"/>
      <c r="D6" s="2" t="s">
        <v>38</v>
      </c>
      <c r="E6" s="5">
        <v>45642.513333333343</v>
      </c>
      <c r="F6" s="2" t="s">
        <v>39</v>
      </c>
      <c r="G6" s="2">
        <v>45871</v>
      </c>
      <c r="H6" s="2">
        <v>0</v>
      </c>
      <c r="I6" s="2">
        <v>0</v>
      </c>
      <c r="J6" s="2">
        <v>29</v>
      </c>
      <c r="K6" s="2" t="s">
        <v>30</v>
      </c>
      <c r="L6" s="4">
        <v>424.31</v>
      </c>
      <c r="M6" s="2"/>
      <c r="N6" t="s">
        <v>105</v>
      </c>
      <c r="O6" t="s">
        <v>144</v>
      </c>
    </row>
    <row r="7" spans="1:15" ht="79.2" x14ac:dyDescent="0.3">
      <c r="A7" s="2" t="s">
        <v>40</v>
      </c>
      <c r="B7" s="2" t="str">
        <f>HYPERLINK("https://www.wishtv.com/sports/fishers-event-center-to-host-first-pro-volleyball-federation-all-star-match/")</f>
        <v>https://www.wishtv.com/sports/fishers-event-center-to-host-first-pro-volleyball-federation-all-star-match/</v>
      </c>
      <c r="C7" s="2"/>
      <c r="D7" s="2" t="s">
        <v>41</v>
      </c>
      <c r="E7" s="5">
        <v>45642.486296296287</v>
      </c>
      <c r="F7" s="2" t="s">
        <v>42</v>
      </c>
      <c r="G7" s="2">
        <v>942280</v>
      </c>
      <c r="H7" s="2">
        <v>1</v>
      </c>
      <c r="I7" s="2">
        <v>7665</v>
      </c>
      <c r="J7" s="2">
        <v>65</v>
      </c>
      <c r="K7" s="2" t="s">
        <v>30</v>
      </c>
      <c r="L7" s="4">
        <v>8716.09</v>
      </c>
      <c r="M7" s="2"/>
      <c r="N7" t="s">
        <v>105</v>
      </c>
      <c r="O7" t="s">
        <v>144</v>
      </c>
    </row>
    <row r="8" spans="1:15" ht="145.19999999999999" x14ac:dyDescent="0.3">
      <c r="A8" s="2" t="s">
        <v>43</v>
      </c>
      <c r="B8" s="2" t="str">
        <f>HYPERLINK("https://www.wrtv.com/marketplace/contests/disney-on-ice-sweepstakes")</f>
        <v>https://www.wrtv.com/marketplace/contests/disney-on-ice-sweepstakes</v>
      </c>
      <c r="C8" s="2"/>
      <c r="D8" s="2" t="s">
        <v>44</v>
      </c>
      <c r="E8" s="5">
        <v>45642.454074074078</v>
      </c>
      <c r="F8" s="2" t="s">
        <v>45</v>
      </c>
      <c r="G8" s="2">
        <v>420033</v>
      </c>
      <c r="H8" s="2">
        <v>0</v>
      </c>
      <c r="I8" s="2">
        <v>0</v>
      </c>
      <c r="J8" s="2">
        <v>0</v>
      </c>
      <c r="K8" s="2" t="s">
        <v>30</v>
      </c>
      <c r="L8" s="4">
        <v>3885.31</v>
      </c>
      <c r="M8" s="2"/>
      <c r="N8" t="s">
        <v>105</v>
      </c>
      <c r="O8" t="s">
        <v>144</v>
      </c>
    </row>
    <row r="9" spans="1:15" ht="132" x14ac:dyDescent="0.3">
      <c r="A9" s="2" t="s">
        <v>46</v>
      </c>
      <c r="B9" s="2" t="str">
        <f>HYPERLINK("https://www.ibj.com/articles/indy-ignite-fishers-to-host-volleyball-all-star-event")</f>
        <v>https://www.ibj.com/articles/indy-ignite-fishers-to-host-volleyball-all-star-event</v>
      </c>
      <c r="C9" s="2"/>
      <c r="D9" s="2" t="s">
        <v>24</v>
      </c>
      <c r="E9" s="5">
        <v>45642.423356481479</v>
      </c>
      <c r="F9" s="2" t="s">
        <v>47</v>
      </c>
      <c r="G9" s="2">
        <v>96182</v>
      </c>
      <c r="H9" s="2">
        <v>0</v>
      </c>
      <c r="I9" s="2">
        <v>0</v>
      </c>
      <c r="J9" s="2">
        <v>70</v>
      </c>
      <c r="K9" s="2" t="s">
        <v>30</v>
      </c>
      <c r="L9" s="4">
        <v>889.68</v>
      </c>
      <c r="M9" s="2"/>
      <c r="N9" t="s">
        <v>105</v>
      </c>
      <c r="O9" t="s">
        <v>144</v>
      </c>
    </row>
    <row r="10" spans="1:15" ht="145.19999999999999" x14ac:dyDescent="0.3">
      <c r="A10" s="2" t="s">
        <v>48</v>
      </c>
      <c r="B10" s="2" t="str">
        <f>HYPERLINK("https://www.wthr.com/article/news/local/inaugural-pro-volleyball-federation-all-star-match-being-held-fishers-indy-ignite-indianapolis-pvf-womens-sports/531-b87b6e6b-db65-4bb4-9a49-9358c94df578")</f>
        <v>https://www.wthr.com/article/news/local/inaugural-pro-volleyball-federation-all-star-match-being-held-fishers-indy-ignite-indianapolis-pvf-womens-sports/531-b87b6e6b-db65-4bb4-9a49-9358c94df578</v>
      </c>
      <c r="C10" s="2"/>
      <c r="D10" s="2" t="s">
        <v>49</v>
      </c>
      <c r="E10" s="5">
        <v>45642.406099537038</v>
      </c>
      <c r="F10" s="2" t="s">
        <v>50</v>
      </c>
      <c r="G10" s="2">
        <v>1401295</v>
      </c>
      <c r="H10" s="2">
        <v>0</v>
      </c>
      <c r="I10" s="2">
        <v>0</v>
      </c>
      <c r="J10" s="2">
        <v>1</v>
      </c>
      <c r="K10" s="2" t="s">
        <v>25</v>
      </c>
      <c r="L10" s="4">
        <v>12961.98</v>
      </c>
      <c r="M10" s="2"/>
      <c r="N10" t="s">
        <v>105</v>
      </c>
      <c r="O10" t="s">
        <v>144</v>
      </c>
    </row>
    <row r="11" spans="1:15" ht="118.8" x14ac:dyDescent="0.3">
      <c r="A11" s="2" t="s">
        <v>51</v>
      </c>
      <c r="B11" s="2" t="str">
        <f>HYPERLINK("https://cbs4indy.com/sports/indy-ignite-fishers-event-center-to-host-pro-volleyball-federation-all-star-match/")</f>
        <v>https://cbs4indy.com/sports/indy-ignite-fishers-event-center-to-host-pro-volleyball-federation-all-star-match/</v>
      </c>
      <c r="C11" s="2" t="s">
        <v>52</v>
      </c>
      <c r="D11" s="2" t="s">
        <v>53</v>
      </c>
      <c r="E11" s="5">
        <v>45642.274618055562</v>
      </c>
      <c r="F11" s="2" t="s">
        <v>54</v>
      </c>
      <c r="G11" s="2">
        <v>142737</v>
      </c>
      <c r="H11" s="2">
        <v>0</v>
      </c>
      <c r="I11" s="2">
        <v>0</v>
      </c>
      <c r="J11" s="2">
        <v>1</v>
      </c>
      <c r="K11" s="2" t="s">
        <v>30</v>
      </c>
      <c r="L11" s="4">
        <v>1320.32</v>
      </c>
      <c r="M11" s="2"/>
      <c r="N11" t="s">
        <v>105</v>
      </c>
      <c r="O11" t="s">
        <v>144</v>
      </c>
    </row>
    <row r="12" spans="1:15" ht="118.8" x14ac:dyDescent="0.3">
      <c r="A12" s="2" t="s">
        <v>51</v>
      </c>
      <c r="B12" s="2" t="str">
        <f>HYPERLINK("https://fox59.com/sports/indy-ignite-fishers-event-center-to-host-pro-volleyball-federation-all-star-match/")</f>
        <v>https://fox59.com/sports/indy-ignite-fishers-event-center-to-host-pro-volleyball-federation-all-star-match/</v>
      </c>
      <c r="C12" s="2" t="s">
        <v>52</v>
      </c>
      <c r="D12" s="2" t="s">
        <v>55</v>
      </c>
      <c r="E12" s="5">
        <v>45642.273368055547</v>
      </c>
      <c r="F12" s="2" t="s">
        <v>56</v>
      </c>
      <c r="G12" s="2">
        <v>1972067</v>
      </c>
      <c r="H12" s="2">
        <v>2</v>
      </c>
      <c r="I12" s="2">
        <v>11649</v>
      </c>
      <c r="J12" s="2">
        <v>44</v>
      </c>
      <c r="K12" s="2" t="s">
        <v>30</v>
      </c>
      <c r="L12" s="4">
        <v>18241.62</v>
      </c>
      <c r="M12" s="2"/>
      <c r="N12" t="s">
        <v>105</v>
      </c>
      <c r="O12" t="s">
        <v>144</v>
      </c>
    </row>
    <row r="13" spans="1:15" ht="132" x14ac:dyDescent="0.3">
      <c r="A13" s="2" t="s">
        <v>58</v>
      </c>
      <c r="B13" s="2" t="str">
        <f>HYPERLINK("https://www.wthr.com/article/news/local/founders-day-indy-ignite-pro-volleyball-team-makes-debut-at-fishers-event-center-pro-federation-sports-team/531-777e1f95-8147-4cb9-b752-d2d4f056e1fc")</f>
        <v>https://www.wthr.com/article/news/local/founders-day-indy-ignite-pro-volleyball-team-makes-debut-at-fishers-event-center-pro-federation-sports-team/531-777e1f95-8147-4cb9-b752-d2d4f056e1fc</v>
      </c>
      <c r="C13" s="2"/>
      <c r="D13" s="2" t="s">
        <v>49</v>
      </c>
      <c r="E13" s="5">
        <v>45639.049189814818</v>
      </c>
      <c r="F13" s="2" t="s">
        <v>59</v>
      </c>
      <c r="G13" s="2">
        <v>1401295</v>
      </c>
      <c r="H13" s="2">
        <v>0</v>
      </c>
      <c r="I13" s="2">
        <v>0</v>
      </c>
      <c r="J13" s="2">
        <v>82</v>
      </c>
      <c r="K13" s="2" t="s">
        <v>30</v>
      </c>
      <c r="L13" s="4">
        <v>12961.98</v>
      </c>
      <c r="M13" s="2"/>
      <c r="N13" t="s">
        <v>105</v>
      </c>
      <c r="O13" t="s">
        <v>144</v>
      </c>
    </row>
    <row r="14" spans="1:15" ht="132" x14ac:dyDescent="0.3">
      <c r="A14" s="2" t="s">
        <v>60</v>
      </c>
      <c r="B14" s="2" t="str">
        <f>HYPERLINK("https://cbs4indy.com/news/indy-ignite-holds-sneak-peek-scrimmage-for-season-ticketholders/")</f>
        <v>https://cbs4indy.com/news/indy-ignite-holds-sneak-peek-scrimmage-for-season-ticketholders/</v>
      </c>
      <c r="C14" s="2" t="s">
        <v>61</v>
      </c>
      <c r="D14" s="2" t="s">
        <v>53</v>
      </c>
      <c r="E14" s="5">
        <v>45638.913564814808</v>
      </c>
      <c r="F14" s="2" t="s">
        <v>62</v>
      </c>
      <c r="G14" s="2">
        <v>142737</v>
      </c>
      <c r="H14" s="2">
        <v>0</v>
      </c>
      <c r="I14" s="2">
        <v>0</v>
      </c>
      <c r="J14" s="2">
        <v>20</v>
      </c>
      <c r="K14" s="2" t="s">
        <v>30</v>
      </c>
      <c r="L14" s="4">
        <v>1320.32</v>
      </c>
      <c r="M14" s="2"/>
      <c r="N14" t="s">
        <v>105</v>
      </c>
      <c r="O14" t="s">
        <v>144</v>
      </c>
    </row>
    <row r="15" spans="1:15" ht="52.8" x14ac:dyDescent="0.3">
      <c r="A15" s="2" t="s">
        <v>60</v>
      </c>
      <c r="B15" s="2" t="str">
        <f>HYPERLINK("https://fox59.com/news/indy-ignite-holds-sneak-peek-scrimmage-for-season-ticketholders/")</f>
        <v>https://fox59.com/news/indy-ignite-holds-sneak-peek-scrimmage-for-season-ticketholders/</v>
      </c>
      <c r="C15" s="2"/>
      <c r="D15" s="2" t="s">
        <v>55</v>
      </c>
      <c r="E15" s="5">
        <v>45638.908125000002</v>
      </c>
      <c r="F15" s="2" t="s">
        <v>63</v>
      </c>
      <c r="G15" s="2">
        <v>1972067</v>
      </c>
      <c r="H15" s="2">
        <v>0</v>
      </c>
      <c r="I15" s="2">
        <v>0</v>
      </c>
      <c r="J15" s="2">
        <v>93</v>
      </c>
      <c r="K15" s="2" t="s">
        <v>30</v>
      </c>
      <c r="L15" s="4">
        <v>18241.62</v>
      </c>
      <c r="M15" s="2"/>
      <c r="N15" t="s">
        <v>105</v>
      </c>
      <c r="O15" t="s">
        <v>144</v>
      </c>
    </row>
    <row r="16" spans="1:15" ht="52.8" x14ac:dyDescent="0.3">
      <c r="A16" s="2" t="s">
        <v>64</v>
      </c>
      <c r="B16" s="2" t="str">
        <f>HYPERLINK("https://www.youarecurrent.com/2024/12/11/ex-carmel-high-school-standout-ready-for-ignite/")</f>
        <v>https://www.youarecurrent.com/2024/12/11/ex-carmel-high-school-standout-ready-for-ignite/</v>
      </c>
      <c r="C16" s="2" t="s">
        <v>65</v>
      </c>
      <c r="D16" s="2" t="s">
        <v>38</v>
      </c>
      <c r="E16" s="5">
        <v>45637.401539351849</v>
      </c>
      <c r="F16" s="2" t="s">
        <v>66</v>
      </c>
      <c r="G16" s="2">
        <v>45871</v>
      </c>
      <c r="H16" s="2">
        <v>0</v>
      </c>
      <c r="I16" s="2">
        <v>0</v>
      </c>
      <c r="J16" s="2">
        <v>323</v>
      </c>
      <c r="K16" s="2" t="s">
        <v>30</v>
      </c>
      <c r="L16" s="4">
        <v>424.31</v>
      </c>
      <c r="M16" s="2"/>
      <c r="N16" t="s">
        <v>105</v>
      </c>
      <c r="O16" t="s">
        <v>144</v>
      </c>
    </row>
    <row r="17" spans="1:15" ht="52.8" x14ac:dyDescent="0.3">
      <c r="A17" s="2" t="s">
        <v>67</v>
      </c>
      <c r="B17" s="2" t="str">
        <f>HYPERLINK("https://indianapolisrecorder.com/indy-ignite-draft-2024/")</f>
        <v>https://indianapolisrecorder.com/indy-ignite-draft-2024/</v>
      </c>
      <c r="C17" s="2" t="s">
        <v>68</v>
      </c>
      <c r="D17" s="2" t="s">
        <v>69</v>
      </c>
      <c r="E17" s="5">
        <v>45629.530543981477</v>
      </c>
      <c r="F17" s="2" t="s">
        <v>70</v>
      </c>
      <c r="G17" s="2">
        <v>40036</v>
      </c>
      <c r="H17" s="2">
        <v>0</v>
      </c>
      <c r="I17" s="2">
        <v>0</v>
      </c>
      <c r="J17" s="2">
        <v>0</v>
      </c>
      <c r="K17" s="2" t="s">
        <v>30</v>
      </c>
      <c r="L17" s="4">
        <v>370.33</v>
      </c>
      <c r="M17" s="2"/>
      <c r="N17" t="s">
        <v>105</v>
      </c>
      <c r="O17" t="s">
        <v>144</v>
      </c>
    </row>
    <row r="18" spans="1:15" ht="132" x14ac:dyDescent="0.3">
      <c r="A18" s="2" t="s">
        <v>71</v>
      </c>
      <c r="B18" s="2" t="str">
        <f>HYPERLINK("https://indy-ignite-pro-volleyball.muckrack.com/link/eaCifl/heres-who-the-indianapolis-ignite-drafted-pro-volleyball-team-adds-6-players-including-2-louisville-cardinals")</f>
        <v>https://indy-ignite-pro-volleyball.muckrack.com/link/eaCifl/heres-who-the-indianapolis-ignite-drafted-pro-volleyball-team-adds-6-players-including-2-louisville-cardinals</v>
      </c>
      <c r="C18" s="2" t="s">
        <v>27</v>
      </c>
      <c r="D18" s="2" t="s">
        <v>72</v>
      </c>
      <c r="E18" s="5">
        <v>45627.291666666657</v>
      </c>
      <c r="F18" s="2" t="s">
        <v>73</v>
      </c>
      <c r="G18" s="2"/>
      <c r="H18" s="2">
        <v>0</v>
      </c>
      <c r="I18" s="2">
        <v>0</v>
      </c>
      <c r="J18" s="2">
        <v>0</v>
      </c>
      <c r="K18" s="2" t="s">
        <v>30</v>
      </c>
      <c r="L18" s="4">
        <v>16470</v>
      </c>
      <c r="M18" s="2"/>
      <c r="N18" t="s">
        <v>140</v>
      </c>
      <c r="O18" t="s">
        <v>144</v>
      </c>
    </row>
    <row r="19" spans="1:15" ht="132" x14ac:dyDescent="0.3">
      <c r="A19" s="2" t="s">
        <v>71</v>
      </c>
      <c r="B19" s="2" t="str">
        <f>HYPERLINK("https://indy-ignite-pro-volleyball.muckrack.com/link/eaC4is/heres-who-the-indianapolis-ignite-drafted-pro-volleyball-team-adds-6-players-including-2-louisville-cardinals")</f>
        <v>https://indy-ignite-pro-volleyball.muckrack.com/link/eaC4is/heres-who-the-indianapolis-ignite-drafted-pro-volleyball-team-adds-6-players-including-2-louisville-cardinals</v>
      </c>
      <c r="C19" s="2" t="s">
        <v>27</v>
      </c>
      <c r="D19" s="2" t="s">
        <v>28</v>
      </c>
      <c r="E19" s="5">
        <v>45627.291666666657</v>
      </c>
      <c r="F19" s="2" t="s">
        <v>73</v>
      </c>
      <c r="G19" s="2"/>
      <c r="H19" s="2">
        <v>0</v>
      </c>
      <c r="I19" s="2">
        <v>0</v>
      </c>
      <c r="J19" s="2">
        <v>0</v>
      </c>
      <c r="K19" s="2" t="s">
        <v>30</v>
      </c>
      <c r="L19" s="4">
        <v>21007</v>
      </c>
      <c r="M19" s="2"/>
      <c r="N19" t="s">
        <v>105</v>
      </c>
      <c r="O19" t="s">
        <v>144</v>
      </c>
    </row>
    <row r="20" spans="1:15" ht="132" x14ac:dyDescent="0.3">
      <c r="A20" s="2" t="s">
        <v>71</v>
      </c>
      <c r="B20" s="2" t="str">
        <f>HYPERLINK("https://indy-ignite-pro-volleyball.muckrack.com/link/eaCfTR/heres-who-the-indianapolis-ignite-drafted-pro-volleyball-team-adds-6-players-including-2-louisville-cardinals")</f>
        <v>https://indy-ignite-pro-volleyball.muckrack.com/link/eaCfTR/heres-who-the-indianapolis-ignite-drafted-pro-volleyball-team-adds-6-players-including-2-louisville-cardinals</v>
      </c>
      <c r="C20" s="2" t="s">
        <v>27</v>
      </c>
      <c r="D20" s="2" t="s">
        <v>74</v>
      </c>
      <c r="E20" s="5">
        <v>45627.291666666657</v>
      </c>
      <c r="F20" s="2" t="s">
        <v>73</v>
      </c>
      <c r="G20" s="2"/>
      <c r="H20" s="2">
        <v>0</v>
      </c>
      <c r="I20" s="2">
        <v>0</v>
      </c>
      <c r="J20" s="2">
        <v>0</v>
      </c>
      <c r="K20" s="2" t="s">
        <v>30</v>
      </c>
      <c r="L20" s="4">
        <v>5040</v>
      </c>
      <c r="M20" s="2"/>
      <c r="N20" t="s">
        <v>141</v>
      </c>
      <c r="O20" t="s">
        <v>144</v>
      </c>
    </row>
    <row r="21" spans="1:15" ht="132" x14ac:dyDescent="0.3">
      <c r="A21" s="2" t="s">
        <v>71</v>
      </c>
      <c r="B21" s="2" t="str">
        <f>HYPERLINK("https://indy-ignite-pro-volleyball.muckrack.com/link/eaCZTM/heres-who-the-indianapolis-ignite-drafted-pro-volleyball-team-adds-6-players-including-2-louisville-cardinals")</f>
        <v>https://indy-ignite-pro-volleyball.muckrack.com/link/eaCZTM/heres-who-the-indianapolis-ignite-drafted-pro-volleyball-team-adds-6-players-including-2-louisville-cardinals</v>
      </c>
      <c r="C21" s="2" t="s">
        <v>27</v>
      </c>
      <c r="D21" s="2" t="s">
        <v>75</v>
      </c>
      <c r="E21" s="5">
        <v>45627.291666666657</v>
      </c>
      <c r="F21" s="2" t="s">
        <v>73</v>
      </c>
      <c r="G21" s="2"/>
      <c r="H21" s="2">
        <v>0</v>
      </c>
      <c r="I21" s="2">
        <v>0</v>
      </c>
      <c r="J21" s="2">
        <v>0</v>
      </c>
      <c r="K21" s="2" t="s">
        <v>30</v>
      </c>
      <c r="L21" s="4">
        <v>11531</v>
      </c>
      <c r="M21" s="2"/>
      <c r="N21" t="s">
        <v>142</v>
      </c>
      <c r="O21" t="s">
        <v>144</v>
      </c>
    </row>
    <row r="22" spans="1:15" ht="158.4" x14ac:dyDescent="0.3">
      <c r="A22" s="2" t="s">
        <v>76</v>
      </c>
      <c r="B22" s="2" t="str">
        <f>HYPERLINK("https://indy-ignite-pro-volleyball.muckrack.com/link/eaGOEm/indy-ignite-secures-new-talent-in-2024-pro-volleyball-draft")</f>
        <v>https://indy-ignite-pro-volleyball.muckrack.com/link/eaGOEm/indy-ignite-secures-new-talent-in-2024-pro-volleyball-draft</v>
      </c>
      <c r="C22" s="2" t="s">
        <v>68</v>
      </c>
      <c r="D22" s="2" t="s">
        <v>69</v>
      </c>
      <c r="E22" s="5">
        <v>45627.291666666657</v>
      </c>
      <c r="F22" s="2" t="s">
        <v>77</v>
      </c>
      <c r="G22" s="2"/>
      <c r="H22" s="2">
        <v>0</v>
      </c>
      <c r="I22" s="2">
        <v>0</v>
      </c>
      <c r="J22" s="2">
        <v>0</v>
      </c>
      <c r="K22" s="2" t="s">
        <v>30</v>
      </c>
      <c r="L22" s="4">
        <v>3599</v>
      </c>
      <c r="M22" s="2"/>
      <c r="N22" t="s">
        <v>105</v>
      </c>
      <c r="O22" t="s">
        <v>144</v>
      </c>
    </row>
    <row r="23" spans="1:15" x14ac:dyDescent="0.3">
      <c r="L23"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
  <sheetViews>
    <sheetView workbookViewId="0">
      <selection activeCell="B7" sqref="B7"/>
    </sheetView>
  </sheetViews>
  <sheetFormatPr defaultRowHeight="14.4" x14ac:dyDescent="0.3"/>
  <cols>
    <col min="1" max="3" width="24" customWidth="1"/>
    <col min="4" max="4" width="16" customWidth="1"/>
    <col min="5" max="6" width="32" customWidth="1"/>
    <col min="7" max="7" width="21" customWidth="1"/>
    <col min="8" max="8" width="24" customWidth="1"/>
    <col min="9" max="9" width="48" customWidth="1"/>
    <col min="10" max="11" width="24" customWidth="1"/>
    <col min="12" max="12" width="48" customWidth="1"/>
    <col min="13" max="13" width="19" customWidth="1"/>
    <col min="14" max="15" width="32" customWidth="1"/>
  </cols>
  <sheetData>
    <row r="1" spans="1:15" x14ac:dyDescent="0.3">
      <c r="A1" s="1" t="s">
        <v>78</v>
      </c>
      <c r="B1" s="1" t="s">
        <v>79</v>
      </c>
      <c r="C1" s="1" t="s">
        <v>80</v>
      </c>
      <c r="D1" s="1" t="s">
        <v>81</v>
      </c>
      <c r="E1" s="1" t="s">
        <v>82</v>
      </c>
      <c r="F1" s="1" t="s">
        <v>83</v>
      </c>
      <c r="G1" s="1" t="s">
        <v>84</v>
      </c>
      <c r="H1" s="1" t="s">
        <v>85</v>
      </c>
      <c r="I1" s="1" t="s">
        <v>86</v>
      </c>
      <c r="J1" s="1" t="s">
        <v>87</v>
      </c>
      <c r="K1" s="1" t="s">
        <v>88</v>
      </c>
      <c r="L1" s="1" t="s">
        <v>89</v>
      </c>
      <c r="M1" s="1" t="s">
        <v>90</v>
      </c>
      <c r="N1" s="1" t="s">
        <v>91</v>
      </c>
      <c r="O1" s="1" t="s">
        <v>92</v>
      </c>
    </row>
    <row r="2" spans="1:15" ht="66" x14ac:dyDescent="0.3">
      <c r="A2" s="2" t="s">
        <v>93</v>
      </c>
      <c r="B2" s="2" t="s">
        <v>94</v>
      </c>
      <c r="C2" s="2" t="s">
        <v>95</v>
      </c>
      <c r="D2" s="2" t="s">
        <v>96</v>
      </c>
      <c r="E2" s="2" t="str">
        <f>HYPERLINK("http://twitter.com/KyleNeddenriep")</f>
        <v>http://twitter.com/KyleNeddenriep</v>
      </c>
      <c r="F2" s="2" t="str">
        <f>HYPERLINK("https://muckrack.com/kyleneddenriep")</f>
        <v>https://muckrack.com/kyleneddenriep</v>
      </c>
      <c r="G2" s="2">
        <v>54733</v>
      </c>
      <c r="H2" s="2" t="s">
        <v>97</v>
      </c>
      <c r="I2" s="2" t="s">
        <v>98</v>
      </c>
      <c r="J2" s="2" t="s">
        <v>99</v>
      </c>
      <c r="K2" s="2" t="s">
        <v>28</v>
      </c>
      <c r="L2" s="2" t="s">
        <v>100</v>
      </c>
      <c r="M2" s="5">
        <v>45647.506805555553</v>
      </c>
      <c r="N2" s="2" t="str">
        <f>HYPERLINK("http://twitter.com/KyleNeddenriep/status/1870517033944969398")</f>
        <v>http://twitter.com/KyleNeddenriep/status/1870517033944969398</v>
      </c>
      <c r="O2" s="2" t="str">
        <f>HYPERLINK("https://www.indystar.com/story/sports/high-school/2024/12/21/fishers-vs-hse-basketball-fishers-event-center-opens-to-big-mudsock-crowd/77129670007/")</f>
        <v>https://www.indystar.com/story/sports/high-school/2024/12/21/fishers-vs-hse-basketball-fishers-event-center-opens-to-big-mudsock-crowd/77129670007/</v>
      </c>
    </row>
    <row r="3" spans="1:15" ht="52.8" x14ac:dyDescent="0.3">
      <c r="A3" s="2" t="s">
        <v>101</v>
      </c>
      <c r="B3" s="2" t="s">
        <v>102</v>
      </c>
      <c r="C3" s="2" t="s">
        <v>103</v>
      </c>
      <c r="D3" s="2" t="s">
        <v>104</v>
      </c>
      <c r="E3" s="2" t="str">
        <f>HYPERLINK("http://twitter.com/Brian_Haenchen")</f>
        <v>http://twitter.com/Brian_Haenchen</v>
      </c>
      <c r="F3" s="2" t="str">
        <f>HYPERLINK("https://muckrack.com/brian_haenchen")</f>
        <v>https://muckrack.com/brian_haenchen</v>
      </c>
      <c r="G3" s="2">
        <v>9782</v>
      </c>
      <c r="H3" s="2" t="s">
        <v>105</v>
      </c>
      <c r="I3" s="2" t="s">
        <v>106</v>
      </c>
      <c r="J3" s="2" t="s">
        <v>99</v>
      </c>
      <c r="K3" s="2" t="s">
        <v>28</v>
      </c>
      <c r="L3" s="2" t="s">
        <v>107</v>
      </c>
      <c r="M3" s="5">
        <v>45646.337395833332</v>
      </c>
      <c r="N3" s="2" t="str">
        <f>HYPERLINK("http://twitter.com/Brian_Haenchen/status/1870093254240178347")</f>
        <v>http://twitter.com/Brian_Haenchen/status/1870093254240178347</v>
      </c>
      <c r="O3" s="2" t="str">
        <f>HYPERLINK("https://www.indystar.com/story/sports/2024/12/20/indy-ignite-volleyball-team-preparing-for-first-season-in-training-camp/77072581007/")</f>
        <v>https://www.indystar.com/story/sports/2024/12/20/indy-ignite-volleyball-team-preparing-for-first-season-in-training-camp/77072581007/</v>
      </c>
    </row>
    <row r="4" spans="1:15" ht="52.8" x14ac:dyDescent="0.3">
      <c r="A4" s="2" t="s">
        <v>5</v>
      </c>
      <c r="B4" s="2" t="s">
        <v>102</v>
      </c>
      <c r="C4" s="2"/>
      <c r="D4" s="2" t="s">
        <v>108</v>
      </c>
      <c r="E4" s="2" t="str">
        <f>HYPERLINK("http://twitter.com/CKightlinger")</f>
        <v>http://twitter.com/CKightlinger</v>
      </c>
      <c r="F4" s="2" t="str">
        <f>HYPERLINK("https://muckrack.com/ckightlinger")</f>
        <v>https://muckrack.com/ckightlinger</v>
      </c>
      <c r="G4" s="2">
        <v>8354</v>
      </c>
      <c r="H4" s="2" t="s">
        <v>109</v>
      </c>
      <c r="I4" s="2" t="s">
        <v>110</v>
      </c>
      <c r="J4" s="2" t="s">
        <v>111</v>
      </c>
      <c r="K4" s="2" t="s">
        <v>112</v>
      </c>
      <c r="L4" s="2" t="s">
        <v>107</v>
      </c>
      <c r="M4" s="5">
        <v>45646.87699074074</v>
      </c>
      <c r="N4" s="2" t="str">
        <f>HYPERLINK("http://twitter.com/CKightlinger/status/1870288798111650055")</f>
        <v>http://twitter.com/CKightlinger/status/1870288798111650055</v>
      </c>
      <c r="O4" s="2" t="str">
        <f>HYPERLINK("https://www.indystar.com/story/sports/2024/12/20/indy-ignite-volleyball-team-preparing-for-first-season-in-training-camp/77072581007/")</f>
        <v>https://www.indystar.com/story/sports/2024/12/20/indy-ignite-volleyball-team-preparing-for-first-season-in-training-camp/77072581007/</v>
      </c>
    </row>
    <row r="5" spans="1:15" ht="79.2" x14ac:dyDescent="0.3">
      <c r="A5" s="2" t="s">
        <v>113</v>
      </c>
      <c r="B5" s="2" t="s">
        <v>114</v>
      </c>
      <c r="C5" s="2" t="s">
        <v>115</v>
      </c>
      <c r="D5" s="2" t="s">
        <v>116</v>
      </c>
      <c r="E5" s="2" t="str">
        <f>HYPERLINK("http://twitter.com/ADChernoff")</f>
        <v>http://twitter.com/ADChernoff</v>
      </c>
      <c r="F5" s="2" t="str">
        <f>HYPERLINK("https://muckrack.com/andrew-chernoff")</f>
        <v>https://muckrack.com/andrew-chernoff</v>
      </c>
      <c r="G5" s="2">
        <v>7778</v>
      </c>
      <c r="H5" s="2" t="s">
        <v>105</v>
      </c>
      <c r="I5" s="2" t="s">
        <v>117</v>
      </c>
      <c r="J5" s="2" t="s">
        <v>99</v>
      </c>
      <c r="K5" s="2" t="s">
        <v>118</v>
      </c>
      <c r="L5" s="2" t="s">
        <v>119</v>
      </c>
      <c r="M5" s="5">
        <v>45643.375011574077</v>
      </c>
      <c r="N5" s="2" t="str">
        <f>HYPERLINK("http://twitter.com/ADChernoff/status/1869019725369393483")</f>
        <v>http://twitter.com/ADChernoff/status/1869019725369393483</v>
      </c>
      <c r="O5" s="2" t="str">
        <f>HYPERLINK("https://www.wishtv.com/sports/fishers-event-center-to-host-first-pro-volleyball-federation-all-star-match/")</f>
        <v>https://www.wishtv.com/sports/fishers-event-center-to-host-first-pro-volleyball-federation-all-star-match/</v>
      </c>
    </row>
    <row r="6" spans="1:15" ht="118.8" x14ac:dyDescent="0.3">
      <c r="A6" s="2" t="s">
        <v>120</v>
      </c>
      <c r="B6" s="2" t="s">
        <v>121</v>
      </c>
      <c r="C6" s="2" t="s">
        <v>122</v>
      </c>
      <c r="D6" s="2" t="s">
        <v>123</v>
      </c>
      <c r="E6" s="2" t="str">
        <f>HYPERLINK("http://twitter.com/MelissaCrash")</f>
        <v>http://twitter.com/MelissaCrash</v>
      </c>
      <c r="F6" s="2" t="str">
        <f>HYPERLINK("https://muckrack.com/melissa-crash")</f>
        <v>https://muckrack.com/melissa-crash</v>
      </c>
      <c r="G6" s="2">
        <v>3584</v>
      </c>
      <c r="H6" s="2" t="s">
        <v>105</v>
      </c>
      <c r="I6" s="2" t="s">
        <v>124</v>
      </c>
      <c r="J6" s="2" t="s">
        <v>111</v>
      </c>
      <c r="K6" s="2" t="s">
        <v>125</v>
      </c>
      <c r="L6" s="2" t="s">
        <v>126</v>
      </c>
      <c r="M6" s="5">
        <v>45642.319004629629</v>
      </c>
      <c r="N6" s="2" t="str">
        <f>HYPERLINK("http://twitter.com/MelissaCrash/status/1868637038159057241")</f>
        <v>http://twitter.com/MelissaCrash/status/1868637038159057241</v>
      </c>
      <c r="O6" s="2" t="str">
        <f>HYPERLINK("https://cbs4indy.com/sports/indy-ignite-fishers-event-center-to-host-pro-volleyball-federation-all-star-match/")</f>
        <v>https://cbs4indy.com/sports/indy-ignite-fishers-event-center-to-host-pro-volleyball-federation-all-star-match/</v>
      </c>
    </row>
    <row r="7" spans="1:15" ht="79.2" x14ac:dyDescent="0.3">
      <c r="A7" s="2" t="s">
        <v>127</v>
      </c>
      <c r="B7" s="2" t="s">
        <v>128</v>
      </c>
      <c r="C7" s="2" t="s">
        <v>129</v>
      </c>
      <c r="D7" s="2" t="s">
        <v>130</v>
      </c>
      <c r="E7" s="2" t="str">
        <f>HYPERLINK("http://twitter.com/ReporterEric")</f>
        <v>http://twitter.com/ReporterEric</v>
      </c>
      <c r="F7" s="2" t="str">
        <f>HYPERLINK("https://muckrack.com/eric-graves")</f>
        <v>https://muckrack.com/eric-graves</v>
      </c>
      <c r="G7" s="2">
        <v>3647</v>
      </c>
      <c r="H7" s="2" t="s">
        <v>105</v>
      </c>
      <c r="I7" s="2" t="s">
        <v>131</v>
      </c>
      <c r="J7" s="2" t="s">
        <v>111</v>
      </c>
      <c r="K7" s="2" t="s">
        <v>125</v>
      </c>
      <c r="L7" s="2" t="s">
        <v>132</v>
      </c>
      <c r="M7" s="5">
        <v>45642.301932870367</v>
      </c>
      <c r="N7" s="2" t="str">
        <f>HYPERLINK("http://twitter.com/ReporterEric/status/1868630851216613477")</f>
        <v>http://twitter.com/ReporterEric/status/1868630851216613477</v>
      </c>
      <c r="O7" s="2" t="str">
        <f>HYPERLINK("https://fox59.com/sports/indy-ignite-fishers-event-center-to-host-pro-volleyball-federation-all-star-match/")</f>
        <v>https://fox59.com/sports/indy-ignite-fishers-event-center-to-host-pro-volleyball-federation-all-star-match/</v>
      </c>
    </row>
    <row r="8" spans="1:15" ht="39.6" x14ac:dyDescent="0.3">
      <c r="A8" s="2" t="s">
        <v>5</v>
      </c>
      <c r="B8" s="2" t="s">
        <v>102</v>
      </c>
      <c r="C8" s="2"/>
      <c r="D8" s="2" t="s">
        <v>108</v>
      </c>
      <c r="E8" s="2" t="str">
        <f>HYPERLINK("http://twitter.com/CKightlinger")</f>
        <v>http://twitter.com/CKightlinger</v>
      </c>
      <c r="F8" s="2" t="str">
        <f>HYPERLINK("https://muckrack.com/ckightlinger")</f>
        <v>https://muckrack.com/ckightlinger</v>
      </c>
      <c r="G8" s="2">
        <v>8354</v>
      </c>
      <c r="H8" s="2" t="s">
        <v>109</v>
      </c>
      <c r="I8" s="2" t="s">
        <v>110</v>
      </c>
      <c r="J8" s="2" t="s">
        <v>111</v>
      </c>
      <c r="K8" s="2" t="s">
        <v>112</v>
      </c>
      <c r="L8" s="2" t="s">
        <v>133</v>
      </c>
      <c r="M8" s="5">
        <v>45642.323923611111</v>
      </c>
      <c r="N8" s="2" t="str">
        <f>HYPERLINK("http://twitter.com/CKightlinger/status/1868638824236274076")</f>
        <v>http://twitter.com/CKightlinger/status/1868638824236274076</v>
      </c>
      <c r="O8" s="2" t="str">
        <f>HYPERLINK("https://fox59.com/sports/indy-ignite-fishers-event-center-to-host-pro-volleyball-federation-all-star-match/")</f>
        <v>https://fox59.com/sports/indy-ignite-fishers-event-center-to-host-pro-volleyball-federation-all-star-match/</v>
      </c>
    </row>
    <row r="9" spans="1:15" ht="79.2" x14ac:dyDescent="0.3">
      <c r="A9" s="2" t="s">
        <v>57</v>
      </c>
      <c r="B9" s="2" t="s">
        <v>134</v>
      </c>
      <c r="C9" s="2" t="s">
        <v>135</v>
      </c>
      <c r="D9" s="2" t="s">
        <v>136</v>
      </c>
      <c r="E9" s="2" t="str">
        <f>HYPERLINK("http://twitter.com/John_Tuohy")</f>
        <v>http://twitter.com/John_Tuohy</v>
      </c>
      <c r="F9" s="2" t="str">
        <f>HYPERLINK("https://muckrack.com/john_tuohy")</f>
        <v>https://muckrack.com/john_tuohy</v>
      </c>
      <c r="G9" s="2">
        <v>3691</v>
      </c>
      <c r="H9" s="2" t="s">
        <v>105</v>
      </c>
      <c r="I9" s="2" t="s">
        <v>137</v>
      </c>
      <c r="J9" s="2" t="s">
        <v>138</v>
      </c>
      <c r="K9" s="2" t="s">
        <v>28</v>
      </c>
      <c r="L9" s="2" t="s">
        <v>139</v>
      </c>
      <c r="M9" s="5">
        <v>45637.486562500002</v>
      </c>
      <c r="N9" s="2" t="str">
        <f>HYPERLINK("http://twitter.com/John_Tuohy/status/1866885823204909215")</f>
        <v>http://twitter.com/John_Tuohy/status/1866885823204909215</v>
      </c>
      <c r="O9" s="2" t="str">
        <f>HYPERLINK("https://www.indystar.com/story/news/local/hamilton-county/fishers/2024/12/11/how-fishers-arena-got-the-march-madness-court-where-purdue-played/76863596007/")</f>
        <v>https://www.indystar.com/story/news/local/hamilton-county/fishers/2024/12/11/how-fishers-arena-got-the-march-madness-court-where-purdue-played/76863596007/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Articles</vt:lpstr>
      <vt:lpstr>Journalist 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Brianna Stopher</cp:lastModifiedBy>
  <dcterms:created xsi:type="dcterms:W3CDTF">2025-06-10T16:10:17Z</dcterms:created>
  <dcterms:modified xsi:type="dcterms:W3CDTF">2025-07-21T18:37:13Z</dcterms:modified>
</cp:coreProperties>
</file>