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14" documentId="13_ncr:1_{EED68771-A7E7-478F-AEB7-052DD7F7ED33}" xr6:coauthVersionLast="47" xr6:coauthVersionMax="47" xr10:uidLastSave="{B4D62658-485C-4137-B06B-C308173C5EF0}"/>
  <bookViews>
    <workbookView xWindow="-108" yWindow="-108" windowWidth="23256" windowHeight="12456" xr2:uid="{00000000-000D-0000-FFFF-FFFF00000000}"/>
  </bookViews>
  <sheets>
    <sheet name="Summary" sheetId="1" r:id="rId1"/>
    <sheet name="Articles" sheetId="2" r:id="rId2"/>
    <sheet name="Journalist Statu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4" i="3" l="1"/>
  <c r="N34" i="3"/>
  <c r="F34" i="3"/>
  <c r="E34" i="3"/>
  <c r="O33" i="3"/>
  <c r="N33" i="3"/>
  <c r="F33" i="3"/>
  <c r="E33" i="3"/>
  <c r="O32" i="3"/>
  <c r="N32" i="3"/>
  <c r="F32" i="3"/>
  <c r="E32" i="3"/>
  <c r="O31" i="3"/>
  <c r="N31" i="3"/>
  <c r="F31" i="3"/>
  <c r="E31" i="3"/>
  <c r="O30" i="3"/>
  <c r="N30" i="3"/>
  <c r="F30" i="3"/>
  <c r="E30" i="3"/>
  <c r="O29" i="3"/>
  <c r="N29" i="3"/>
  <c r="F29" i="3"/>
  <c r="E29" i="3"/>
  <c r="O28" i="3"/>
  <c r="N28" i="3"/>
  <c r="F28" i="3"/>
  <c r="E28" i="3"/>
  <c r="O27" i="3"/>
  <c r="N27" i="3"/>
  <c r="F27" i="3"/>
  <c r="E27" i="3"/>
  <c r="O26" i="3"/>
  <c r="N26" i="3"/>
  <c r="F26" i="3"/>
  <c r="E26" i="3"/>
  <c r="O25" i="3"/>
  <c r="N25" i="3"/>
  <c r="F25" i="3"/>
  <c r="E25" i="3"/>
  <c r="O24" i="3"/>
  <c r="N24" i="3"/>
  <c r="F24" i="3"/>
  <c r="E24" i="3"/>
  <c r="O23" i="3"/>
  <c r="N23" i="3"/>
  <c r="F23" i="3"/>
  <c r="E23" i="3"/>
  <c r="O22" i="3"/>
  <c r="N22" i="3"/>
  <c r="F22" i="3"/>
  <c r="E22" i="3"/>
  <c r="O21" i="3"/>
  <c r="N21" i="3"/>
  <c r="F21" i="3"/>
  <c r="E21" i="3"/>
  <c r="O20" i="3"/>
  <c r="N20" i="3"/>
  <c r="F20" i="3"/>
  <c r="E20" i="3"/>
  <c r="O19" i="3"/>
  <c r="N19" i="3"/>
  <c r="F19" i="3"/>
  <c r="E19" i="3"/>
  <c r="O18" i="3"/>
  <c r="N18" i="3"/>
  <c r="F18" i="3"/>
  <c r="E18" i="3"/>
  <c r="O17" i="3"/>
  <c r="N17" i="3"/>
  <c r="F17" i="3"/>
  <c r="E17" i="3"/>
  <c r="O16" i="3"/>
  <c r="N16" i="3"/>
  <c r="F16" i="3"/>
  <c r="E16" i="3"/>
  <c r="O15" i="3"/>
  <c r="N15" i="3"/>
  <c r="F15" i="3"/>
  <c r="E15" i="3"/>
  <c r="O14" i="3"/>
  <c r="N14" i="3"/>
  <c r="F14" i="3"/>
  <c r="E14" i="3"/>
  <c r="O13" i="3"/>
  <c r="N13" i="3"/>
  <c r="F13" i="3"/>
  <c r="E13" i="3"/>
  <c r="O12" i="3"/>
  <c r="N12" i="3"/>
  <c r="F12" i="3"/>
  <c r="E12" i="3"/>
  <c r="O11" i="3"/>
  <c r="N11" i="3"/>
  <c r="F11" i="3"/>
  <c r="E11" i="3"/>
  <c r="O10" i="3"/>
  <c r="N10" i="3"/>
  <c r="F10" i="3"/>
  <c r="E10" i="3"/>
  <c r="O9" i="3"/>
  <c r="N9" i="3"/>
  <c r="F9" i="3"/>
  <c r="E9" i="3"/>
  <c r="O8" i="3"/>
  <c r="N8" i="3"/>
  <c r="F8" i="3"/>
  <c r="E8" i="3"/>
  <c r="O7" i="3"/>
  <c r="N7" i="3"/>
  <c r="F7" i="3"/>
  <c r="E7" i="3"/>
  <c r="O6" i="3"/>
  <c r="N6" i="3"/>
  <c r="F6" i="3"/>
  <c r="E6" i="3"/>
  <c r="O5" i="3"/>
  <c r="N5" i="3"/>
  <c r="F5" i="3"/>
  <c r="E5" i="3"/>
  <c r="O4" i="3"/>
  <c r="N4" i="3"/>
  <c r="F4" i="3"/>
  <c r="E4" i="3"/>
  <c r="O3" i="3"/>
  <c r="N3" i="3"/>
  <c r="F3" i="3"/>
  <c r="E3" i="3"/>
  <c r="O2" i="3"/>
  <c r="N2" i="3"/>
  <c r="F2" i="3"/>
  <c r="E2" i="3"/>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2" i="1"/>
</calcChain>
</file>

<file path=xl/sharedStrings.xml><?xml version="1.0" encoding="utf-8"?>
<sst xmlns="http://schemas.openxmlformats.org/spreadsheetml/2006/main" count="1708" uniqueCount="685">
  <si>
    <t>Report</t>
  </si>
  <si>
    <t>Indy Ignite January Media Report</t>
  </si>
  <si>
    <t>URL</t>
  </si>
  <si>
    <t>Exported On</t>
  </si>
  <si>
    <t>Generated By</t>
  </si>
  <si>
    <t>Cathy Kightlinger</t>
  </si>
  <si>
    <t>Links</t>
  </si>
  <si>
    <t>Total Engagement</t>
  </si>
  <si>
    <t>Average Engagement</t>
  </si>
  <si>
    <t>Total UVM (Insights by Similarweb)</t>
  </si>
  <si>
    <t>Total AVE</t>
  </si>
  <si>
    <t>Total Journalist Shares</t>
  </si>
  <si>
    <t>Total Journalist Reach</t>
  </si>
  <si>
    <t>Article</t>
  </si>
  <si>
    <t>Author</t>
  </si>
  <si>
    <t>Media Outlet</t>
  </si>
  <si>
    <t>Published</t>
  </si>
  <si>
    <t>Snippet</t>
  </si>
  <si>
    <t>UVM (Insights by Similarweb)</t>
  </si>
  <si>
    <t>Journalist Shares</t>
  </si>
  <si>
    <t>Journalist Reach</t>
  </si>
  <si>
    <t>Sentiment</t>
  </si>
  <si>
    <t>Advertising Value Equivalency</t>
  </si>
  <si>
    <t>Pitch Placement</t>
  </si>
  <si>
    <t>Positive</t>
  </si>
  <si>
    <t>See The Dispatch’s top photos of January, from Ohio State’s CFP title win to winter beauty</t>
  </si>
  <si>
    <t>The Columbus Dispatch</t>
  </si>
  <si>
    <t>Samantha Madar/Columbus Dispatch
Columbus Fury's Kaley Rammelsberg (18) hits the ball against Indy Ignite's Blake Mohler (17) during the game at Nationwide Arena on Saturday, Jan. 18, 2025 in Columbus, Ohio.</t>
  </si>
  <si>
    <t>From the Statehouse to the sidelines, see IndyStar's favorite photos published in January</t>
  </si>
  <si>
    <t>Grace Hollars Grace Smith Mykal McEldowney Michelle Pemberton Christine Tannous Kelly Wilkinson</t>
  </si>
  <si>
    <t>IndyStar</t>
  </si>
  <si>
    <t>Mykal McEldowney/IndyStar
Indy Ignite Nina Čajić (23) eyes the ball Saturday, Jan. 11, 2025, during Indy Ignite’s first ever match at the Fishers Event Center. The team faced off against the Orlando Valkyries in a sold-out arena.</t>
  </si>
  <si>
    <t>Momentum continues at Fishers Event Center as excitement builds for Pro Volleyball Federation’s inaugural All-Star Match</t>
  </si>
  <si>
    <t>Richie Hall</t>
  </si>
  <si>
    <t>Hamilton County Reporter</t>
  </si>
  <si>
    <t>Fishers Event Center is home of the league’s newest franchise, the Indy Ignite. PVF is the leading professional volleyball league in the United States, and this event will showcase the league’s top talent while providing fans a unique opportunity to witness the best in professional volleyball.</t>
  </si>
  <si>
    <t>PVF and LOVB: Markers of a growing women’s sports industry</t>
  </si>
  <si>
    <t>Sydney Krasniewski, Patrick Diana</t>
  </si>
  <si>
    <t>The Pitt News</t>
  </si>
  <si>
    <t>Pitt volleyball alumni in the PVF include outside hitter Leketor Member-Meneh and middle blocker Chiamaka Nwokolo who play for the Indy Ignite, outside hitter Valeria Vazquez-Gomez on the Omaha Supernovas and outsider hitter Kayla Lund on the San Diego Mojo.</t>
  </si>
  <si>
    <t>Fishers Event Center Prepares To Host Inaugural Pro Volleyball Federation All-Star Match</t>
  </si>
  <si>
    <t>larryInFishers</t>
  </si>
  <si>
    <t>The Fishers Event Center, home to PVF’s newest franchise, the Indy Ignite, has already played host to major events featuring Turnpike Troubadours, Alabama, and Cirque du Soleil. With the All-Star Match, the venue solidifies its status as a destination for world-class sports and entertainment.</t>
  </si>
  <si>
    <t>Olympic medalist set for volleyball All-Star game at Fishers</t>
  </si>
  <si>
    <t>Aaron Ferguson</t>
  </si>
  <si>
    <t>The Indy Ignite, who lead the Pro Volleyball Federation standings in their first season, are set to host the PVF's inaugural All-Star Game at 1:30 p.m. Feb. 22. Four-time Olympic medalist Shawn Johnson East will be on hand to co-host the event in a return home of sorts.</t>
  </si>
  <si>
    <t>Four-Time Olympic Medalist Shawn Johnson East To Co-Host PVF All-Star Match</t>
  </si>
  <si>
    <t>Sports Destinations</t>
  </si>
  <si>
    <t>The event begins at 1:30 pm ET at the ultra-modern Fishers Event Center, home of the Indy Ignite, PVF’s newest franchise. Fan voting is underway for the All-Star teams - fans may make their selections here. All-Star tickets are available via Ticketmaster or the Fishers Event Center box office.</t>
  </si>
  <si>
    <t>Our Sports Central</t>
  </si>
  <si>
    <t>Neutral</t>
  </si>
  <si>
    <t>Vanderbilt Volleyball Represented in the Pros</t>
  </si>
  <si>
    <t>vucommodores.com</t>
  </si>
  <si>
    <t>. – In addition to serving as an assistant coach for Vanderbilt’s reinstated volleyball program, Azhani Tealer plays professionally as an opposite with the Indy Ignite.
“It’s been a blast watching Z compete against the best with the Indy Ignite,” Vanderbilt head coach Anders Nelson said.</t>
  </si>
  <si>
    <t>Volleyball World</t>
  </si>
  <si>
    <t>Shawn Johnson East, US Olympic medalist, to appear in Fishers at volleyball All-Star game</t>
  </si>
  <si>
    <t>Shawn Johnson East, US Olympic medalist, to appear in Fishers at volleyball All-Star game
Show Caption
Hide Caption
Indy Ignite: 'Volleyball wouldn't be volleyball without the fans.'</t>
  </si>
  <si>
    <t>Yahoo Sports</t>
  </si>
  <si>
    <t>The Indy Ignite, who lead the Pro Volleyball Federation standings in their first season, are set to host the PVF's inaugural All-Star Game at 1:30 p.m. Feb. 22. Four-time Olympic medalist Shawn Johnson East will be on hand to co-host the event in a return home of sorts. … Now she's Indy Ignite's volleyball power hitter
Johnson East was a part of the U.S. team that won silver at the 2008 Beijing Olympics. She won gold on the balance beam, silver in all-around and floor. She won an ESPY in 2009 for best U.S. female Olympian.</t>
  </si>
  <si>
    <t>Snyder Named Pro Volleyball Federation Player of the Week</t>
  </si>
  <si>
    <t>Snyder joins outside hitter Leketor Member-Meneh of the Indy Ignite (Week 1) and setter Alisha Glass Childress of the Vegas Thrill (Week 2) as recipients of the PVF Player of the Week award so far this season.</t>
  </si>
  <si>
    <t>“Can Have a Huge Impact”: Caitlin Clark Discusses Her Viral Moment With Young Girl at Indy Ignite Pro Volleyball Game</t>
  </si>
  <si>
    <t>Terrence Jordan</t>
  </si>
  <si>
    <t>The Sports Rush</t>
  </si>
  <si>
    <t>One of Clark’s most endearing moments occurred last week when she went viral for attending an Indy Ignite volleyball game with a young girl. She recently went on the Swarmcast podcast with David Eickholt of 247 Sports to talk about it.</t>
  </si>
  <si>
    <t>Shawn Johnson East to Co-Host PVF All-Star Match</t>
  </si>
  <si>
    <t>The event begins at 1:30 pm ET at the ultra-modern Fishers Event Center, home of the Indy Ignite, PVF's newest franchise. Fan voting is underway for the All-Star teams - fans may make their selections here. All-Star tickets are available via Ticketmaster or the Fishers Event Center box office.</t>
  </si>
  <si>
    <t>Indy Ignite falls to San Diego Mojo for first loss of the season</t>
  </si>
  <si>
    <t>Noral Parham</t>
  </si>
  <si>
    <t>The Indianapolis Recorder</t>
  </si>
  <si>
    <t>The Indy Ignite’s perfect start to their inaugural Pro Volleyball Federation (PVF) season came to a halt Jan. 24 in a four-set clash against the San Diego Mojo.  
The adjustment prevented the Ignite from repeating their early success.</t>
  </si>
  <si>
    <t>The WorldNews (WN) Network</t>
  </si>
  <si>
    <t>Little Girl Who Hijacked Caitlin Clark’s Date Night Gets Her Identity Revealed by WNBA Star</t>
  </si>
  <si>
    <t>Akash Das</t>
  </si>
  <si>
    <t>EssentiallySports</t>
  </si>
  <si>
    <t>Last week, the couple was spotted at a volleyball game, cheering on the Indy Ignite. But as they watched the team sweep the Grand Rapids Rise in a three-set victory, CC and Connor were joined by an adorable little girl.</t>
  </si>
  <si>
    <t>Lived in a Refugee Camp Once, Volleyball Star Reveals Pittsburgh University’s Help When She Almost ‘Hung Up the Shoes’</t>
  </si>
  <si>
    <t>Eva Aggarwal</t>
  </si>
  <si>
    <t>Now, Leketor Member-Meneh is shining up the Pro Volleyball Federation, wearing the Indy Ignite uniform. They officially scooped her up back in June 2024, adding a fierce competitor to their roster. Before donning the Ignite jersey, she made waves with the Atlanta Vibe during PVF’s inaugural season.</t>
  </si>
  <si>
    <t>Mojo take the Ignite down in San Diego</t>
  </si>
  <si>
    <t>The San Diego Mojo took down the last undefeated team in the 2025 Pro Volleyball Federation, prevailing over rookies Indy Ignite in the third week of matches of the American League.</t>
  </si>
  <si>
    <t>The IN List 2024: 1/27 - 2/2</t>
  </si>
  <si>
    <t>Chelsea Kopelman</t>
  </si>
  <si>
    <t>Keeping Up in Carmel</t>
  </si>
  <si>
    <t>Indy Ignite vs. Columbus Fury: 6pm. Fishers Event Center - Fishers, IN. Tickets required.
The IN list is presented by Hope Plumbing - Local, Honest, Plumbers. Founded by Jack Hope and Brad Persic, Hope Plumbing has proudly served the greater Indianapolis area for more than 15 years.</t>
  </si>
  <si>
    <t>Who is Clark's New Partner</t>
  </si>
  <si>
    <t>Editorialge Desk</t>
  </si>
  <si>
    <t>editorialge.com</t>
  </si>
  <si>
    <t>Attending NBA G-League games
Supporting the Indy Ignite professional volleyball team
Celebrating milestones and achievements together
Sharing sweet social media tributes
The Future Looks Bright
As of January 2025, Caitlin Clark and Connor McCaffery are going strong in their relationship.</t>
  </si>
  <si>
    <t>Are Caitlin Clark and Connor Still Together</t>
  </si>
  <si>
    <t>They have been seen attending various sporting events together during Clark’s off-season, including:
An NBA G-League game
A professional volleyball match for the Indy Ignite
A New York Yankees game in August 2024, where they received VIP treatment.</t>
  </si>
  <si>
    <t>Ignite Fall for First Time in 2025 Season</t>
  </si>
  <si>
    <t>January 25, 2025 - Pro Volleyball Federation (PVF)
Indy Ignite News Release
SAN DIEGO - The Indy Ignite saw their unbeaten record to begin the 2025 Pro Volleyball Federation season extinguished late Friday night with a four-set loss to the San Diego Mojo.</t>
  </si>
  <si>
    <t>Who is Caitlin Clark in a Relationship With</t>
  </si>
  <si>
    <t>The couple has been spotted at various events, including:
Taylor Swift’s Eras Tour concert in Indianapolis in January 2025
An NBA G-League game
A professional volleyball match for the Indy Ignite
Caitlin Clark’s Professional Achievements
While her relationship with Connor McCaffery is an important</t>
  </si>
  <si>
    <t>Mojo Extinguish Indy Ignite in Four Sets</t>
  </si>
  <si>
    <t>January 25, 2025 - Pro Volleyball Federation (PVF)
San Diego Mojo News Release
SAN DIEGO - San Diego Mojo handed the Indy Ignite their first loss of the season in four sets (18-25, 25-17, 30-28, 25-19) on Friday night at Viejas Arena.</t>
  </si>
  <si>
    <t>Indy Ignite volleyball 'a wagon,' Pat McAfee says, before franchise's first loss</t>
  </si>
  <si>
    <t>Indy Ignite volleyball 'a wagon,' Pat McAfee says, before franchise's first loss
Show Caption
Hide Caption
Indy Ignite: 'Volleyball wouldn't be volleyball without the fans.'</t>
  </si>
  <si>
    <t>An Indy Ignite volleyball franchise experiencing a season of firsts has its first loss to forget. … Now she's Indy Ignite's volleyball power hitter
Star outside hitter Leketor Member-Meneh had 22 kills on 56 swings with three errors (.232 hitting percentage) and had a double-double with 19 digs. She is one of the league's best hitters despite standing just 5 foot 7.</t>
  </si>
  <si>
    <t>Former Louisville Volleyball star Anna DeBeer pens 4-word message while relaxing by pool as she awaits pro debut with Indy Ignite</t>
  </si>
  <si>
    <t>Zahid Rashid Dar</t>
  </si>
  <si>
    <t>Sportskeeda</t>
  </si>
  <si>
    <t>She signed with Pro Volley Federation's new team Indy Ignites last year but is yet to make her debut.
DeBeer shared a glimpse of her recovery time in an Instagram story on Thursday, January 23, and was seen relaxing by a pool in San Diego, California. … The 2022 NCAA Finalist was joyous and wrote:
"heart is happy now š“š¤"
Anna DeBeer's Instagram story
Indy Ignite drafted the 23-year-old as the No.2 pick in November, and while the pro team started its season on January 11 and has won all three of their games so far, the outside hitter has remained</t>
  </si>
  <si>
    <t>Derek Schultz: Igniting Indy</t>
  </si>
  <si>
    <t>Derek Schultz</t>
  </si>
  <si>
    <t>Indianapolis Business Journal</t>
  </si>
  <si>
    <t>On a different hardcourt, with a different type of ball, and in a separate county altogether, the Indy Ignite have grabbed the baton and have kept the fire going, mirroring the successes—capacity crowds, an electrifying atmosphere and palpable momentum—of their central Indiana hoops counterparts while</t>
  </si>
  <si>
    <t>San Diego Mojo vs. Indy Ignite</t>
  </si>
  <si>
    <t>San Diego Reader</t>
  </si>
  <si>
    <t>Indy Ignite
 5500 Canyon Crest Drive, San Diego, 92182
San Diego Mojo take on the Indy Ignite at Viejas Arena.</t>
  </si>
  <si>
    <t>Everything San Diego</t>
  </si>
  <si>
    <t>Jonny Richardson</t>
  </si>
  <si>
    <t>It was the first meeting between the Mojo and expansion team Indy Ignite who suffered their first loss in franchise history at Viejas Arena on Friday night.
The Mojo dropped the first set, 25-18, after they committed seven errors to Indy’s three errors.</t>
  </si>
  <si>
    <t>Caitlin Clark and Boyfriend Connor McCaffery Tell Each Other ‘Love You’ as They Celebrate Her 23rd Birthday</t>
  </si>
  <si>
    <t>Anna Lazarus Caplan</t>
  </si>
  <si>
    <t>Yahoo Canada</t>
  </si>
  <si>
    <t>Last week, the two were in attendance for the second-ever Indy Ignite volleyball game, days before Clark took on the Kansas City Chiefs game, alongside Taylor Swift in a suite.
At one point, the superstar and the Swiftie were seen celebrating Travis Kelce’s pivotal touchdown.</t>
  </si>
  <si>
    <t>People Magazine</t>
  </si>
  <si>
    <t>Last week, the two were in attendance for the second-ever Indy Ignite volleyball game, days before Clark took on the Kansas City Chiefs game, alongside Taylor Swift in a suite.
 At one point, the superstar and the Swiftie were seen celebrating Travis Kelce’s pivotal touchdown.</t>
  </si>
  <si>
    <t>Caitlin Clark and Boyfriend Connor McCaffery Tell Each Other 'Love You' as They Celebrate Her 23rd Birthday</t>
  </si>
  <si>
    <t>Aol</t>
  </si>
  <si>
    <t>Last week, the two were in attendance for the second-ever Indy Ignite volleyball game, days before Clark took on the Kansas City Chiefs game, alongside Taylor Swift in a suite.
At one point, the superstar and the Swiftie were seen celebrating Travis Kelce 's pivotal touchdown.</t>
  </si>
  <si>
    <t>Yahoo News Malaysia</t>
  </si>
  <si>
    <t>Yahoo Entertainment</t>
  </si>
  <si>
    <t>Yahoo News New Zealand</t>
  </si>
  <si>
    <t>Caitlin Clark's birthday tribute from Connor McCaffery takes fans by surprise</t>
  </si>
  <si>
    <t>MARCA</t>
  </si>
  <si>
    <t>The couple seem to be thriving of late
This rare glimpse into their relationship comes after the couple was recently spotted enjoying their offseason at various sporting events, including an NBA G-League game and a professional volleyball match with the Indy Ignite.</t>
  </si>
  <si>
    <t>Caitlin Clark Left Stunned By Indiana Fever Coaches' Surprise On Her Birthday</t>
  </si>
  <si>
    <t>NY Breaking</t>
  </si>
  <si>
    <t>On Jan. 16, Clark and her boyfriend Connor McCaffery enjoyed courtside seats at the professional women’s volleyball match between Indy Ignite and Grand Rapids Rise. The Ignite swept the opposition for the Fever Star.</t>
  </si>
  <si>
    <t>Caitlin Clark left stunned by Indiana Fever coaches' surprise on her birthday</t>
  </si>
  <si>
    <t>Leocciano Callao</t>
  </si>
  <si>
    <t>Express Digest</t>
  </si>
  <si>
    <t>The Indiana Fever staff and front office surprised superstar Caitlin Clark on her 23rd birthday 
Clark posed with the Indy Ignite roster after their 3-0 sweep over the Grand Rapids Rise 
The WNBA rookie of the year was also seen with Taylor Swift at the Texans-Chiefs game 
‘I did.</t>
  </si>
  <si>
    <t>Daily Mail</t>
  </si>
  <si>
    <t>On January 16, Clark and her boyfriend Conor McCaffery enjoyed courtside seats to the professional women's volleyball game between the Indy Ignite and the Grand Rapids Rise. The Ignite swept the opposition in front of the Fever Star.</t>
  </si>
  <si>
    <t>Connor McCaffery posts emotional Caitlin Clark birthday note with adorable photos</t>
  </si>
  <si>
    <t>Josh Sanchez</t>
  </si>
  <si>
    <t>Sports Illustrated</t>
  </si>
  <si>
    <t>Clark and McCaffery have recently been spotted at an NBA G-League game where they awkwardly sat on their phones and at a professional volleyball game for the Indy Ignite. After watching the game, Clark surprised the team with a special team photo.</t>
  </si>
  <si>
    <t>Ignite aim to continue flying high in the Pro Volleyball Federation</t>
  </si>
  <si>
    <t>Full of confidence after starting their first-ever Pro Volleyball Federation campaign with three victories, the Indy Ignite will try to continue collecting positive results this week, in the third round of action in the American League.</t>
  </si>
  <si>
    <t>7 awesome Caitlin Clark offseason moments, including hanging with Taylor Swift</t>
  </si>
  <si>
    <t>Meghan L. Hall</t>
  </si>
  <si>
    <t>For The Win</t>
  </si>
  <si>
    <t>Mandatory Credit: Trevor Ruszkowski-Imagn Images
Indiana Fever guard Caitlin Clark attends an Indy Ignite volleyball match. (Photo courtesy of Indy Ignite and Pro Volleyball Federation)
Indiana Fever guard Caitlin Clark attends an Indy Ignite volleyball match.</t>
  </si>
  <si>
    <t>Game Preview: Indy Ignite at San Diego Mojo: January 24, 2025</t>
  </si>
  <si>
    <t>January 22, 2025 - Pro Volleyball Federation (PVF)
San Diego Mojo News Release
Indy Ignite (3-0) at San Diego Mojo (2-2)
San Diego returns home after a standout victory over the defending PVF champion Omaha Supernovas on Sunday, while league-newcomer Indy Ignite arrives to town unbeaten in their first</t>
  </si>
  <si>
    <t>Indy Ignite Levels Up Women’s Sports in Indy</t>
  </si>
  <si>
    <t>Kylie Stine</t>
  </si>
  <si>
    <t>INDY MAVEN</t>
  </si>
  <si>
    <t>With both the league and Indy Ignite being so new, players and teams are still showing how they perform. “Even though it’s hard to say which matches will be the most competitive or exciting to watch, our team has been intentional in choosing themes for our home games,” Voelz said.</t>
  </si>
  <si>
    <t>Ignite Stay Undefeated with Thrilling Five-Set Victory</t>
  </si>
  <si>
    <t>January 20, 2025 - Pro Volleyball Federation (PVF)
Indy Ignite News Release
COLUMBUS, Ohio - Indy Ignite coaches and players have used the term "gritty" to describe the team in the early stages of its inaugural Pro Volleyball Federation season.</t>
  </si>
  <si>
    <t>'Women Supporting Women’: Indiana Fever Loves Caitlin Clark’s Latest Move</t>
  </si>
  <si>
    <t>Yardbarker</t>
  </si>
  <si>
    <t>The Indiana Fever celebrated Caitlin Clark’s latest move as she passionately supported women’s sports at a recent Indy Ignite volleyball game. Her presence not only energized the event but also highlighted the strong camaraderie among female athletes. … Indiana Fever Reacts to Caitlin Clark Supporting Indy Ignite’s Volleyball Match
                         Full Swiftie': Caitlin Clark Reveals How Her Mom Became a Big Taylor</t>
  </si>
  <si>
    <t>Muncie News Summary, Jan. 20, 2025</t>
  </si>
  <si>
    <t>Woof Boom Radio News</t>
  </si>
  <si>
    <t>Make it 3 – 0 for the Indy Ignite pro women’s volleyball team – at San Diego this coming weekend.</t>
  </si>
  <si>
    <t>Caitlin Clark, Nikola Jokic's wife Natalija are 'moots,' send WNBA fans into a frenzy</t>
  </si>
  <si>
    <t>Clark has been spotted at an NBA G-League game with boyfriend Connor McCaffery and most recently an Indy Ignite volleyball game.</t>
  </si>
  <si>
    <t>Fury loses in 5 sets, drops to 0-3; Fury loses in 5 sets, drops to 0-3</t>
  </si>
  <si>
    <t>The Indy Ignite defeated the Fury 3-2 on Saturday at Nationwide Arena.
With the loss, Columbus dropped to 0-3. Indy is 3-0.
The Fury won the third and fourth sets but fell 18-25, 30-32, 25-19, 25-22, 11-15). It was Columbus' second consecutive five set match.</t>
  </si>
  <si>
    <t>Rookies Ignite still undefeated after Pro Volleyball Federation Week 2</t>
  </si>
  <si>
    <t>Pro Volleyball Federation rookies Indy Ignite are the only team undefeated in the American League following the conclusion of the second week of matches in the 2025 season, which had eight encounters between Thursday and Sunday.</t>
  </si>
  <si>
    <t>Caitlin Clark, Taylor Swift viral Chiefs playoff moment ripped by Skip Bayless</t>
  </si>
  <si>
    <t>MORE: Caitlin Clark ends Connor McCaffery date night with Indy Ignite team photo surprise
C'mon, Skip, let the kids have some fun. 
Ignoring the fact that Caitlin Clark is not bigger than Taylor Swift, there is no reason to have fake outrage.</t>
  </si>
  <si>
    <t>Pro volleyball: Indy Ignite tops Columbus Fury in 4 sets</t>
  </si>
  <si>
    <t>Columbus Dispatch</t>
  </si>
  <si>
    <t>About Your PrivacyClicking on the "Reject All" Button retains the default setting of only strictly necessary cookies. We and our 155 partners store and access personal data, like browsing data or unique identifiers, on your device. Selecting Accept All enables tracking technologies to support the purposes shown under we and our partners process data to provide. Selecting Reject All or withdrawing your consent will disable them.</t>
  </si>
  <si>
    <t>Columbus Fury battles the Indy Ignite in the Pro Volleyball Federation. See photos</t>
  </si>
  <si>
    <t>Indy Ignite Sweeps Grand Rapids Rise in Thrilling Home Match</t>
  </si>
  <si>
    <t>Times News Global</t>
  </si>
  <si>
    <t>. – The Indy Ignite continued their dominant start to their inaugural season Thursday night, sweeping the Grand Rapids Rise 25-18, 28-26, 25-18 in front of a spirited crowd of 4,035 at the Fishers Event Center.</t>
  </si>
  <si>
    <t>Caitlin Clark, Taylor Swift link at Chiefs game to live out WNBA star's Swiftie dream</t>
  </si>
  <si>
    <t>Clark has been spotted at an NBA G-League game with boyfriend Connor McCaffery and most recently an Indy Ignite volleyball game.
Now, she's living out her Swiftie dream and watching the Kansas City Chiefs take on the Houston Texans at Arrowhead Stadium in a private suite alongside Taylor Swift.</t>
  </si>
  <si>
    <t>Fishers Event Center - Indy Ignite</t>
  </si>
  <si>
    <t>Marc Viquez</t>
  </si>
  <si>
    <t>Stadium Journey Magazine</t>
  </si>
  <si>
    <t>Photos by Marc Viquez, Stadium Journey
Stadium Info                                FANFARE Score: 3.71
Fishers Event Center11000 Stockdale St.Fishers, IN 46037
Year Opened: 2024Capacity: 7,500
The Indy Ignite Ready to Ignite Indianapolis
The Indy Ignite are members of the Pro Volleyball Federation</t>
  </si>
  <si>
    <t>ON THE AIR</t>
  </si>
  <si>
    <t>The Virginian-Pilot</t>
  </si>
  <si>
    <t>.: Indy Ignite at Columbus Fury, CBSSN</t>
  </si>
  <si>
    <t>Team 'in awe of what Indiana has brought' to arena</t>
  </si>
  <si>
    <t>Rich Torres</t>
  </si>
  <si>
    <t>With the Indy Ignite one set away from an unbeaten start to their inaugural season Thursday night, the chant, which began as a spark, caught fire in the upper deck and spread rapidly throughout the Fishers Event Center.</t>
  </si>
  <si>
    <t>Top TV</t>
  </si>
  <si>
    <t>Orlando Sentinel</t>
  </si>
  <si>
    <t>Fans watch the game between the Columbus Fury and Indy Ignite at Nationwide Arena on Saturday, Jan. 18, 2025 in Columbus, Ohio. … Samantha Madar/Columbus Dispatch
Indy Ignite's Caroline Crawford (12) celebrates with teammates during the game at Nationwide Arena on Saturday, Jan. 18, 2025 in Columbus, Ohio.</t>
  </si>
  <si>
    <t>Caitlin Clark date with boyfriend before Unrivaled opening night speaks volumes</t>
  </si>
  <si>
    <t>Joseph McBride</t>
  </si>
  <si>
    <t>Irish Star US</t>
  </si>
  <si>
    <t>While the Unrivaled stars were getting ready for Friday's kick-off, Clark was at a volleyball match between the Indy Ignite and Grand Rapids Rise with her boyfriend. After the game, which saw a dominant win for the team with Indiana royalty watching, Clark posed for photos with the team.</t>
  </si>
  <si>
    <t>Caitlin Clark and Connor McCaffery support women's sports at Indy Ignite volleyball game</t>
  </si>
  <si>
    <t>News Minimalist</t>
  </si>
  <si>
    <t>marca.com — January 17, 2025, 10:01 PM UTC
Caitlin Clark and Connor McCaffery attended the Indy Ignite volleyball game on Thursday, cheering for the local team as they defeated the Grand Rapids Rise. This marks Clark's continued support for women's sports during the offseason.</t>
  </si>
  <si>
    <t>Caitlin Clark and Connor McCaffery enjoy volleyball date night in Indiana</t>
  </si>
  <si>
    <t>By LEOCCIANO CALLAO 
Caitlin Clark and long-time boyfriend Connor McCaffery enjoyed courtside seats at the Indy Ignite game on Thursday night.
The WNBA rookie of the year is enjoying her offseason following a historical first year with the Indiana Fever.</t>
  </si>
  <si>
    <t>Caitlin Clark and Connor McCaffery support Indy Ignite in volleyball game in Indiana</t>
  </si>
  <si>
    <t>Caitlin Clark and Connor McCaffery attended a volleyball game in Indiana, supporting the Indy Ignite against the Grand Rapids Rise. This follows Clark's successful first year with the Indiana Fever and her decision to skip the Unrivaled 3-on-3 league.</t>
  </si>
  <si>
    <t>Caitlin Clark And Connor McCaffery Enjoy A Volleyball Date Night In Indiana</t>
  </si>
  <si>
    <t>WhatsNew2Day</t>
  </si>
  <si>
    <t>70 
Caitlin Clark and longtime friend Connor McCaffery enjoyed courtside seats at the Indy Ignite game Thursday night.
The WNBA rookie of the year is enjoying her offseason after a historic first year with the Indiana Fever.</t>
  </si>
  <si>
    <t>Mahalsa UK</t>
  </si>
  <si>
    <t>Caitlin Clark and long-time boyfriend Connor McCaffery enjoyed courtside seats at the Indy Ignite game on Thursday night.
The WNBA rookie of the year is enjoying her offseason following a historical first year with the Indiana Fever.</t>
  </si>
  <si>
    <t>Caitlin Clark and Connor McCaffery attend Indy Ignite volleyball game for a memorable date night</t>
  </si>
  <si>
    <t>WNBA sensation Caitlin Clark and her boyfriend, Connor McCaffery, enjoyed a courtside outing at the Indy Ignite volleyball game on Thursday night. 
The couple cheered on the local women's volleyball team as they dominated the Grand Rapids Rise in a thrilling match. … A Night to Remember for Indiana Sports
The Indy Ignite's impressive win, coupled with the presence of a high-profile fan like Clark, added to the energy of their inaugural season.</t>
  </si>
  <si>
    <t>Caitlin Clark ends Connor McCaffery date night with Indy Ignite team photo surprise</t>
  </si>
  <si>
    <t>Clark and McCaffery recently enjoyed a date night at an NBA G-League game, and now they welcomed the new Indianapolis pro volleyball team, the Indy Ignite, to town by pulling up for a courtside date night at their home opener. 
Connor was rocking the OVO sweatshirt and matching J's.</t>
  </si>
  <si>
    <t>Caitlin Clark was caught flipping her phone away when a young fan tried to sneak a peek</t>
  </si>
  <si>
    <t>Among these teams is the Indy Ignite, which play at the newly constructed Fishers Events Center, opened in November.</t>
  </si>
  <si>
    <t>Caitlin Clark, Boyfriend Enjoy 'Date Night' At Volleyball Match</t>
  </si>
  <si>
    <t>Tzvi Machlin</t>
  </si>
  <si>
    <t>The Spun</t>
  </si>
  <si>
    <t>The two were supporting Indy Ignite, the newest members of the Pro Volleyball Federation.
 Clark's date has gone viral with several thousand fans enjoying the photos on social media, along with the very wholesome moments that the couple enjoyed with a young fan sitting next to her.</t>
  </si>
  <si>
    <t>Caitlin Clark enjoys date night with boyfriend at volleyball match</t>
  </si>
  <si>
    <t>They watched the Indy Ignite play against the Grand Rapids Rise, where Clark focused on the game while snacking on candy.
The Pro Volleyball Federation is in its second season and has attracted notable investors, including Jason Derulo and Joe Burrow.</t>
  </si>
  <si>
    <t>Caitlin Clark And Connor McCaffery Enjoy Volleyball Date Night In Indiana</t>
  </si>
  <si>
    <t>Caitlin Clark and longtime friend Connor McCaffery enjoyed courtside seats at the Indy Ignite game Thursday night.
The WNBA rookie of the year is enjoying her offseason after a historic first year with the Indiana Fever.</t>
  </si>
  <si>
    <t>Ignite Rise to Occasion, Sweep Grand Rapids</t>
  </si>
  <si>
    <t>January 17, 2025 - Pro Volleyball Federation (PVF)
Indy Ignite News Release
FISHERS, Ind. - The Indy Ignite showed their tenacious attitude again tonight, posting an impressive sweep of the Grand Rapids Rise, 25-18, 28-26 and 25-16.</t>
  </si>
  <si>
    <t>Stay Happening</t>
  </si>
  <si>
    <t>PVF All-Star Match Tickets on Sale, Logo Revealed</t>
  </si>
  <si>
    <t>The match will be played at Fishers Event Center, home of the Indy Ignite, and shown nationally on CBS broadcast television.
As part of the general tickets launch, the league has also introduced a dynamic All-Star Match logo for the 2025 event.</t>
  </si>
  <si>
    <t>Indy Ignite Volleyball Players Discuss 'Pretty Sick' Caitlin Clark Support at Game</t>
  </si>
  <si>
    <t>Grant Young, Robin Lundberg</t>
  </si>
  <si>
    <t>On January 11, the Indy Ignite professional indoor volleyball team held its inaugural regular season contest as part of the Pro Volleyball Federation (PVF, the leading professional volleyball league in the United States) after becoming a PVF expansion team in the 2025 season.</t>
  </si>
  <si>
    <t>Caitlin Clark Enjoys Date Night W/ Boyfriend At Volleyball Match</t>
  </si>
  <si>
    <t>Chat Sports</t>
  </si>
  <si>
    <t>Back to the Rumors Humor Newsfeed
 connor mccaferry caitlin clark and indy ignite 
Caitlin Clark is taking full advantage of her first WNBA offseason ... hitting the town for a cute date night with her longtime boyfriend, Connor McCaffery.</t>
  </si>
  <si>
    <t>TMZ</t>
  </si>
  <si>
    <t>Clark and her manwere courtside Thursday night to watch Indiana's professional women's volleyball team -- the Indy Ignite -- as they played the Grand Rapids Rise.</t>
  </si>
  <si>
    <t>Caitlin Clark cheers on Indy Ignite during game at Fishers Event Center</t>
  </si>
  <si>
    <t>Michaela Springer</t>
  </si>
  <si>
    <t>WISH-TV (Indianapolis, IN)</t>
  </si>
  <si>
    <t>The WNBA superstar was spotted courtside at the Indy Ignite game with boyfriend, Butler Assistant Men’s Basketball Coach Conner McCaffrey, at the Fishers Event Center Thursday night.</t>
  </si>
  <si>
    <t>Caitlin Clark Catches Attention After Appearing in Unexpected Game</t>
  </si>
  <si>
    <t>Geca Flores</t>
  </si>
  <si>
    <t>Lexington Herald-Leader</t>
  </si>
  <si>
    <t>Indiana Fever star Caitlin Clark grabbed attention at the Fishes Event Center when she was spotted at the Indy Ignites' volleyball game with her boyfriend, Connor McCaffery.</t>
  </si>
  <si>
    <t>The News &amp; Observer</t>
  </si>
  <si>
    <t>Fresno Bee</t>
  </si>
  <si>
    <t>The Telegraph (Macon)</t>
  </si>
  <si>
    <t>Belleville News-Democrat</t>
  </si>
  <si>
    <t>The Charlotte Observer</t>
  </si>
  <si>
    <t>The Sun News</t>
  </si>
  <si>
    <t>Merced Sun-Star</t>
  </si>
  <si>
    <t>Rock Hill Herald</t>
  </si>
  <si>
    <t>Columbus Ledger-Enquirer</t>
  </si>
  <si>
    <t>Kansas City Star</t>
  </si>
  <si>
    <t>Sun Herald</t>
  </si>
  <si>
    <t>Centre Daily Times</t>
  </si>
  <si>
    <t>Athlon Sports</t>
  </si>
  <si>
    <t>Mahoning Matters</t>
  </si>
  <si>
    <t>Wichita Eagle</t>
  </si>
  <si>
    <t>Tacoma News Tribune</t>
  </si>
  <si>
    <t>The Bellingham Herald</t>
  </si>
  <si>
    <t>The Island Packet</t>
  </si>
  <si>
    <t>The Modesto Bee</t>
  </si>
  <si>
    <t>Idaho Statesman</t>
  </si>
  <si>
    <t>Bradenton Herald</t>
  </si>
  <si>
    <t>The Sacramento Bee</t>
  </si>
  <si>
    <t>The Herald-Sun (Durham, NC)</t>
  </si>
  <si>
    <t>The Olympian</t>
  </si>
  <si>
    <t>San Luis Obispo Tribune</t>
  </si>
  <si>
    <t>Fort Worth Star-Telegram</t>
  </si>
  <si>
    <t>Tri-City Herald</t>
  </si>
  <si>
    <t>Indy Ignite Pro Volleyball Makes History with Second Franchise Win</t>
  </si>
  <si>
    <t>I was not in attendance at the Indy Ignite home opener last weekend, but, by all accounts, the crowd was loud, boisterous and sold out.  At the second game Thursday night, the crowd was not sold out, maybe a little over half full, but the fans there were once again plenty loud and boisterous.</t>
  </si>
  <si>
    <t>Ignite Night 2: 'In awe of what Indiana has brought to our arena.' Including Caitlin Clark.</t>
  </si>
  <si>
    <t>CC Crawford And Sydney Hilley Shined In Front Of Caitlin Clark As The Indy Ignite Advanced To 2-0</t>
  </si>
  <si>
    <t>Tyler Koerth</t>
  </si>
  <si>
    <t>Wisconsin Sports Heroics</t>
  </si>
  <si>
    <t>Former Wisconsin Badgers volleyball players CC Crawford and Sydney Hilley are currently teammates for the Indy Ignite.  This is the organization’s inaugural season in the Pro Volleyball Federation (PVF).  Last week, in front of a sold out home crowd, the Ignite won their first ever match. </t>
  </si>
  <si>
    <t>Blushing Caitlin Clark played by adorable little girl for photo-op courtside</t>
  </si>
  <si>
    <t>Matt Ryan</t>
  </si>
  <si>
    <t>On Thursday, Clark had a night out with boyfriend and Butler basketball assistant coach Connor McCaffrey for the Indy Ignite's volleyball game, which is the newly-formed professional indoor volleyball league.</t>
  </si>
  <si>
    <t>WFVX-TV (Bangor, ME)</t>
  </si>
  <si>
    <t>Clark and her man were courtside Thursday night to watch Indiana's professional women's volleyball team -- the Indy Ignite -- as they played the Grand Rapids Rise.</t>
  </si>
  <si>
    <t>Indy Ignite stays perfect with thrilling sweep over Grand Rapids Rise</t>
  </si>
  <si>
    <t>Tony Vasquez</t>
  </si>
  <si>
    <t>Nuvo</t>
  </si>
  <si>
    <t>In a thrilling debut matchup on Thursday night, the Indy Ignite captivated fans with a dominant three-set victory over the Grand Rapids Rise at the Fishers Event Center.</t>
  </si>
  <si>
    <t>Indy Ignite: 'Volleyball wouldn't be volleyball without the fans.'</t>
  </si>
  <si>
    <t>Indy Ignite: 'Volleyball wouldn't be volleyball without the fans.'
More than 4,000 fans attended the Ignite's second home match at the Fishers Event Center</t>
  </si>
  <si>
    <t>Sports Business Journal</t>
  </si>
  <si>
    <t>WNBA Star Caitlin Clark Lends Support to Pro Volleyball Team Despite Once Facing Community’s Heat</t>
  </si>
  <si>
    <t>Indy Ignite Pro Volleyball turned up the energy on Instagram this January 16th, sharing a snapshot of none other than Caitlin Clark herself from the electrifying Indy Ignite vs. Grand Rapids Rise game. The caption? A perfect nod to her crossover star power: “Two courts, one city.</t>
  </si>
  <si>
    <t>How Caitlin Clark of the Indiana Fever helps another women's sport get off the ground</t>
  </si>
  <si>
    <t>Clark and her boyfriend, Butler basketball assistant coach Connor McCaffery, had a front row seat Thursday night as the Indy Ignite hosted Grand Rapids.
The Indiana Fever star has immersed herself in the city, attending Butler and Indiana Pacers games, a Taylor Swift concert and more.</t>
  </si>
  <si>
    <t>Caitlin Clark and Connor McCaffery's Latest Public Appearance Draws Attention</t>
  </si>
  <si>
    <t>Cole Sullivan</t>
  </si>
  <si>
    <t>Clark, accompanied by her boyfriend Connor McCaffery - an assistant coach at Butler and former Iowa basketball player - was seen at the Indy Ignite's volleyball game, marking just the second game for the newly-formed professional indoor volleyball team. … "Caitlin Clark is supporting Indy's new pro volleyball team Indy Ignite tonight." The Fever posted.</t>
  </si>
  <si>
    <t>22 Hours After Boosting Boyfriend Connor McCaffery’s Run, Caitlin Clark’s Lucky Charm Now Vouches for Indiana Debutants</t>
  </si>
  <si>
    <t>Ishika Ghosh</t>
  </si>
  <si>
    <t>Caitlin Clark recently showed her support for the Indy Ignite Pro Volleyball team, which is making its debut in the North American Pro Volleyball League. Her presence has added a significant boost to the excitement surrounding their first season.</t>
  </si>
  <si>
    <t>Indy Ignite Host Grand Rapids on Pink Ribbon Night Presented by Meijer</t>
  </si>
  <si>
    <t>January 16, 2025 - Pro Volleyball Federation (PVF)
Indy Ignite News Release
FISHERS, Ind. - The Indy Ignite take aim at a second consecutive Pro Volleyball Federation victory to start the 2025 season tonight when they host the Grand Rapids Rise on Pink Ribbon Night presented by Meijer at Fishers Event</t>
  </si>
  <si>
    <t>Ignite improve to 2-0 with sweep of Grand Rapids</t>
  </si>
  <si>
    <t>WTHR-TV (Indianapolis, IN)</t>
  </si>
  <si>
    <t>. - The Indy Ignite kept their record perfect with a three-set sweep of Grand Rapids Thursday night. 
The Ignite are now 2-0 after the 25-18, 28-26, 25-16 win over the Rise at the Fishers Event Center.</t>
  </si>
  <si>
    <t>Indy Ignite Make History With Home Opening Win</t>
  </si>
  <si>
    <t>Clay Maxfield</t>
  </si>
  <si>
    <t>Indianapolis Monthly</t>
  </si>
  <si>
    <t>AFTER A HISTORIC year for women’s sports in 2024, the Hoosier state picked up where it left off when the Indy Ignite, Indiana’s first-ever professional women’s volleyball team, began its inaugural season in front of a sellout crowd at Fishers Event Center on Saturday, January 11.</t>
  </si>
  <si>
    <t>Alex Hammeke</t>
  </si>
  <si>
    <t>Applause!: Jan. 10 &amp; 17</t>
  </si>
  <si>
    <t>Weekly View</t>
  </si>
  <si>
    <t>• Continuing the surge of interest in women’s sports in the city, Indy Ignite professional women’s volleyball team has launched their first season at the Fishers Event Center, 11000 Stockdale St. Their next at-home game is Sunday, Feb. 2 when they play against the Columbus Fury at 6 p.m.</t>
  </si>
  <si>
    <t>Rise Drop Third Straight with Road Loss at Indy</t>
  </si>
  <si>
    <t>January 16, 2025 - Pro Volleyball Federation (PVF)
Grand Rapids Rise News Release
INDIANAPOLIS - In their first-ever meeting, the Indy Ignite secured a three-set victory over the Grand Rapids Rise Thursday night by scores of 25-18, 28-26, 25-16.</t>
  </si>
  <si>
    <t>Podcast: May Kay Huse, President &amp; General Manager, Indy Ignite</t>
  </si>
  <si>
    <t>Mary Kay Huse
The Indy Ignite, a professional women’s volleyball team calling the Fishers Event Center home, sold-out for the home opening match.  After a slow start, the ignite rallied to win the home opener.</t>
  </si>
  <si>
    <t>CBS Sports Network to Broadcast April 19 Home Match against Indy</t>
  </si>
  <si>
    <t>The April 19 match against the Indy Ignite at Van Andel Arena has been added to CBS Sports Network's national broadcast schedule. The match will air at its originally scheduled time, with the first serve at noon.</t>
  </si>
  <si>
    <t>Mary Kay Huse, Indy Ignite by Podcasts By Larry Lannan</t>
  </si>
  <si>
    <t>Podcasts by Larry Lannan</t>
  </si>
  <si>
    <t>Mary Kay Huse, President and General Manager of the Indy Ignite professional women's volleyball team, with its home at the Fishers Event Center, joins Larry to talk about the team.</t>
  </si>
  <si>
    <t>Last Week around the Leagues</t>
  </si>
  <si>
    <t>Fran Stuchbury</t>
  </si>
  <si>
    <t>Indy Ignite win first match in franchise history
League One Volleyball
For the record, it will show that LOVB Salt Lake defeated LOVB Atlanta 25-22, 27-25, 21-25, 25-21 to win the first match in League One Volleyball history. Here are the highlights.</t>
  </si>
  <si>
    <t>Photo Gallery: Indy Ignite Home Opener</t>
  </si>
  <si>
    <t>AFTER SHAKING off first-set jitters, the Indy Ignite—Indiana’s first-ever professional women’s volleyball team—rallied from a game one deficit to defeat the Orlando Valkyries with a 3-1 final, clinching a franchise opening win in the packed Fishers Event Center.</t>
  </si>
  <si>
    <t>Tony Katz and the Morning News 3rd Hr 1/13/25: IN Dems still don't get it, Braun - Beckwith being sworn in today, Jerome Powell Fed Rates, Indy Ignite</t>
  </si>
  <si>
    <t>Austin Schepers Found</t>
  </si>
  <si>
    <t>WIBC-FM (Indianapolis, IN)</t>
  </si>
  <si>
    <t>PLEASE SUBSCRIBE TO THE PODCASTTony Katz and the Morning News on IHeartRadioCatch the show in its entirety here:</t>
  </si>
  <si>
    <t>'roller coaster'; Ignite electrify in season-opening win over the Orlando Valkyries</t>
  </si>
  <si>
    <t>Dana Benbow, Dana Hunsinger Benbow</t>
  </si>
  <si>
    <t>FISHERS - After a nervous, out-of-rhythm first set that ended in a 25-13 loss to the Orlando Valkyries, the light turned on for the Indy Ignite who promptly swept the next three sets for a season-opening win inside the sold-out Fishers Event Center.</t>
  </si>
  <si>
    <t>Photo gallery: Pro volleyball team Ignite scores victory, praise at inaugural match</t>
  </si>
  <si>
    <t>Mickey Shuey</t>
  </si>
  <si>
    <t>by 
0:00
0:00
 Loading audio file, please wait.
0.25
0.50
0.75
1.00
1.25
1.50
1.75
2.00
The Indy … Ignite professional volleyball team made its debut Saturday night, scoring not only the franchise’s first victory, but also earning early praise from many who ventured into Fishers Event Center to see the team in action.</t>
  </si>
  <si>
    <t>Weekly Sports League and Franchise Report</t>
  </si>
  <si>
    <t>Dan Krieger</t>
  </si>
  <si>
    <t>All seven teams from the inaugural 2024 season have returned and the league added an expansion team called the Indy Ignite, based in the Indianapolis suburb of Fishers.</t>
  </si>
  <si>
    <t>3 Former Wisconsin Badgers Help The Indy Ignite Make History</t>
  </si>
  <si>
    <t>Three former Wisconsin Badgers helped the Indy Ignite make history on Saturday, January 11.  Two players and one coach are members of the Indy Ignite, in which they are in their inaugural season as an organization in the Pro Volleyball Federation (PVF).</t>
  </si>
  <si>
    <t>Indy Ignite win first match in franchise history</t>
  </si>
  <si>
    <t>Natasha Pearson</t>
  </si>
  <si>
    <t>MDMH News</t>
  </si>
  <si>
    <t>Fishers, Indiana – On Saturday night, the Fishers Event Center hosted the inaugural Indy Ignite match.
In four matches, the Ignite defeated the Orlando Valkyries 3-1.
Orlando won the first set of the match, 25–13.</t>
  </si>
  <si>
    <t>New Indianapolis sports teams kick off inaugural seasons</t>
  </si>
  <si>
    <t>The Indy Ignite, Indiana Valor and Fishers Freight all begin their inaugural seasons in 2025.
INDIANAPOLIS - More teams in various sports leagues are now calling Indiana their home.
The Fishers Freight, Indiana Valor, and Indy Ignite all begin their inaugural seasons in 2025.</t>
  </si>
  <si>
    <t>Indy Ignite Light It up with Victory in Opening PVF Match</t>
  </si>
  <si>
    <t>January 12, 2025 - Pro Volleyball Federation (PVF)
Indy Ignite News Release
FISHERS, Ind. - Professional volleyball in Indianapolis tipped off in winning fashion Saturday night, as the Indy Ignite brought home the victory in their inaugural Pro Volleyball Federation match in front of a sellout crowd</t>
  </si>
  <si>
    <t>'An absolutely electric night'</t>
  </si>
  <si>
    <t>INDIANAPOLIS - The Indy Ignite brought home the victory in their first ever PVF match!
The team hosted the Orlando Valkyries in front of a sold-out crowd at the Fishers Event Center on Saturday, Jan 11.
"It was such an incredible environment," said setter Sydney Hilley.</t>
  </si>
  <si>
    <t>'We're not leaving here without a dub': Indy Ignite win inaugural match in four sets</t>
  </si>
  <si>
    <t>Derran Cobb</t>
  </si>
  <si>
    <t>Ball State Daily</t>
  </si>
  <si>
    <t>Indy Ignite players celebrate scoring a point in a contest against the Orlando Valkyries Jan. 11 at the Fishers Event Center. The Ignite won its very first game in four sets. Indy Ignite, Photo Provided.
FISHERS, Ind – Light. It. Up. </t>
  </si>
  <si>
    <t>Ball State Daily News</t>
  </si>
  <si>
    <t>In its first-ever match, the Indy Ignite defeated the Orlando Valkyries in four sets. 
It was the first-ever professional volleyball match in the state of Indiana, and the home crowd did not disappoint. From the moment the doors opened to the end of the fourth set, Indy fans were all in.</t>
  </si>
  <si>
    <t>Indy Ignite Blaze Past Orlando Valkyries for a Historic Victory in</t>
  </si>
  <si>
    <t>Sarah Thompson</t>
  </si>
  <si>
    <t>Hoodline</t>
  </si>
  <si>
    <t>Source: Unsplash/Çağlar Oskay
The Indy Ignite, Indianapolis' newest sports franchise, triumphed in their first match on Saturday against the Orlando Valkyries, delivering an energetic start to their second season in the Pro Volleyball Federation (PVF).</t>
  </si>
  <si>
    <t>'Fast-paced and a roller coaster:' Indy Ignite electrify fans in season opening win</t>
  </si>
  <si>
    <t>FISHERS -- After a nervous, out-of-rhythm first set that ended in a 25-13 loss to the Orlando Valkyries, the light turned on for the Indy Ignite who promptly swept the next three sets for a season-opening win inside the sold-out Fishers Event Center.</t>
  </si>
  <si>
    <t>In its first-ever match, the Indy Ignite defeated the Orlando Valkyries in four sets.
It was the first-ever professional volleyball match in the state of Indiana, and the home crowd did not disappoint. From the moment the doors opened to the end of the fourth set, Indy fans were all in.</t>
  </si>
  <si>
    <t>Starting 5: Ex-Louisville volleyball stars make pro debuts; teen seeks hockey gold medal</t>
  </si>
  <si>
    <t>The Courier-Journal (Louisville, KY)</t>
  </si>
  <si>
    <t>Louisville natives Anna DeBeer and Elena Scott are Indy Ignite teammates. Scott recorded two digs and three assists in Ignite's 3-1 victory Saturday over the Orlando Valkyries.</t>
  </si>
  <si>
    <t>The Score-CARD: Jan. 5 through Jan. 11</t>
  </si>
  <si>
    <t>Contact the DN Sports team via email at sports@bsudailynews.com or via X @dn_sports
Read More
'We're not leaving here without a dub': Indy Ignite win inaugural match in four sets
By Derran Cobb
/
3 hours ago
In the state of Indiana's first-ever professional volleyball match, the Indy Ignite defeated</t>
  </si>
  <si>
    <t>NewsPub</t>
  </si>
  <si>
    <t>Leketor Member-Meneh says since day one the Indy Ignite volleyball team has felt like a family. Meet one of the league’s most powerful outside hitter.</t>
  </si>
  <si>
    <t>Dana Hunsinger Benbow</t>
  </si>
  <si>
    <t>FISHERS -- After a nervous, out-of-rhythm first set that ended in a 25-13 loss to the Orlando Valkyries, the light turned on for the Indy Ignite who promptly swept the next three sets for a season-opening win inside the sold-out Fishers Event Center. … Now she's Indy Ignite's volleyball power hitter
The Ignite played behind until the second set when the team took a 15-14 lead after a string of kills by Member-Meneh. Next point? Another kill by Member Meneh. After setter Sydney Hilley dumped on two, the Ignite were up 18-16.</t>
  </si>
  <si>
    <t>Amid Sad Miss, Anna DeBeer Gains Louisville Volleyball’s Support on Important Game Night</t>
  </si>
  <si>
    <t>Sagnik Bagchi</t>
  </si>
  <si>
    <t>“Indy Ignite’s Anna DeBeer will miss the home opener on January 11 due to injury,” the official handle posted on the day of DeBeer’s debut. However, despite the unfortunate update the Cardinals still showed up to support their former members at Fishers Event Center.</t>
  </si>
  <si>
    <t>Anna DeBeer’s New Team Overcomes Her Absence to Win First 2025 PVF Game After a Worrying Start</t>
  </si>
  <si>
    <t>Anna DeBeer was all set to light up the court for Indy Ignite in the 2025 PVF season opener, but fate had other plans. … Just as fans were gearing up to see her shine on January 11, Indy Ignite dropped some tough news: “Injury report: Indy Ignite’s Anna DeBeer will miss the home opener on January 11 due to injury,” It was a bit of a blow, but that didn’t stop the team from stepping up.</t>
  </si>
  <si>
    <t>Austin Hanson</t>
  </si>
  <si>
    <t>WXIN-TV (Indianapolis, IN)</t>
  </si>
  <si>
    <t>. - The Indy Ignite played their first-ever match on Saturday night at the Fishers Event Center.
The Ignite downed the Orlando Valkyries, 3-1, in four sets.
Orlando claimed the match's first set, 25-13.</t>
  </si>
  <si>
    <t>WTTV-TV (Indianapolis, IN)</t>
  </si>
  <si>
    <t>. — The Indy Ignite played their first-ever match on Saturday night at the Fishers Event Center.
The Ignite downed the Orlando Valkyries, 3-1, in four sets.
Orlando claimed the match’s first set, 25-13.</t>
  </si>
  <si>
    <t>Indy Ignite season opener against Orlando Valkyries</t>
  </si>
  <si>
    <t>Grace Smith</t>
  </si>
  <si>
    <t>See our best photos from Indy Ignite's season opener against Orlando Valkyries on Saturday, Jan. 11, 2025, at the Fishers Event Center.</t>
  </si>
  <si>
    <t>Indy Ignite season opener against Orlando Valkyries
 Grace Smith
Indy Ignite Ainise Havili (11) enters the arena Saturday, Jan. 11, 2025, during Indy Ignite’s first ever match at the Fishers Event Center. The team faced off against the Orlando Valkyries in a sold-out arena.</t>
  </si>
  <si>
    <t>Indy Ignite makes history with first game against Orlando Valkyries</t>
  </si>
  <si>
    <t>Brittany Noble</t>
  </si>
  <si>
    <t>(WISH) — Indy Ignite will take on the Orlando Valkyries in its first ever game on Saturday night at the Fishers Event Center.
Mary Kay Huse, Indy Ignite president and general manager, has been working to help build the team since the summer.</t>
  </si>
  <si>
    <t>Ex-Carmel star, NCAA champion among stars; Meet sweet 16 players on pro volleyball roster</t>
  </si>
  <si>
    <t>INDIANAPOLIS - The sweet sixteen of Indy's pro women's volleyball team is set, and the Indy Ignite roster is filled with 16 players who've had incredible successes on the court and inspirational stories off the court.</t>
  </si>
  <si>
    <t>What channel is Indy Ignite on today? How to watch Anna DeBeer, Elena Scott in pro debut</t>
  </si>
  <si>
    <t>U of L legends Anna DeBeer and Elena Scott will represent Indy Ignite in the first match of the season against the Orlando Valkyries.
DeBeer was the second overall pick of the 2024 PVF Draft and Scott was the first pick of the second round (ninth overall).</t>
  </si>
  <si>
    <t>Pro Volleyball Federation Faces Backlash After Their “No Down Official” Rule Comes Into Effect: “Doesn’t Seem Right”</t>
  </si>
  <si>
    <t>With teams like Atlanta’s Vibe, Columbus Fury, Grand Rapids Rise, Indy Ignite, Omaha Supernovas, Orlando Valkyries, San Diego Mojo, and Vegas Thrill, PVF isn’t just making waves—it’s making history.</t>
  </si>
  <si>
    <t>Here is how you can watch Indy Ignite and Orlando Valkyries from home today:
What time is Indy Ignite vs Orlando Valkyries volleyball today?
Date: Saturday, January 11
Start time: 7 p.m.
The Ignite and Valkyries are scheduled to play at 7 p.m. today at Fishers Event Center.</t>
  </si>
  <si>
    <t>Unfortunate Anna DaBeer Update Leaves Fans Upset as Ex-Lousiville Star Misses Another Important Game: “Hardest Luck”</t>
  </si>
  <si>
    <t>The former Cardinals’ outside hitter joined Indy Ignite during last year’s PVF Draft in November. However, just as everything looked set for DeBeer to make her pro debut on January 11, Indy Ignite posted an unfortunate update for the fans. … “Injury report: Indy Ignite’s Anna DeBeer will miss the home opener on January 11 due to injury,” shared the Indy Ignite Pro Volleyball page.
The response from Anna DeBeer’s loyal fan base was immediate. “I feel so sad for her!!!</t>
  </si>
  <si>
    <t>Valkyries Suffer First Loss to Ignite</t>
  </si>
  <si>
    <t>January 11, 2025 - Pro Volleyball Federation (PVF)
Orlando Valkyries News Release
ORLANDO, Fla - The Orlando Valkyries [1-1] were unable to spoil Indy Ignite's [1-0] home opener, falling 3-1 by set scores of 25-13, 19-25, 17-25, 21-25. … South St. | Suite # 500 | Orlando, FL 32801
--_000_CY8PR11MB7746B0A60B6AD310735B1240DA1E2CY8PR11MB7746namp_ Content-Type: text/html; charset="Windows-1252" Content-Transfer-Encoding: quoted-printable
P
Please find below the match recap between Orlando Valkyries and Indy Ignite from January 11, also</t>
  </si>
  <si>
    <t>Indy Ignite pro volleyball team sells out first game in Fishers</t>
  </si>
  <si>
    <t>Daniel Bradley</t>
  </si>
  <si>
    <t>Greenfield Daily Reporter</t>
  </si>
  <si>
    <t>By Daniel Bradley
Indiana Business Journal
The Indy Ignite professional volleyball team will play its first game in franchise history Saturday in front of a sold-out crowd at the new Fishers Event Center.</t>
  </si>
  <si>
    <t>The IN List 2024: 1/13 - 1/19</t>
  </si>
  <si>
    <t>Indy Ignite vs. Grand Rapids Rise: 7pm. Fishers Event Center - Fishers, IN. Tickets required.
Friday, Jan 17
Whitestown Library Events: 6310 Albert S. White Dr. Whitestown, IN.Registration required.
Romp &amp; Stomp: 10-10:30am.
Festival of Ice: 4-8pm. Main St. - Carmel, IN.</t>
  </si>
  <si>
    <t>PVF | Orlando Valkyries at Indy Ignite @ 7pm ET, January 10, 2025</t>
  </si>
  <si>
    <t>YouTube</t>
  </si>
  <si>
    <t>Spokenote partners with Indy Ignite women's volleyball</t>
  </si>
  <si>
    <t>The Indy Ignite professional women’s volleyball team is set to open its season before a sellout crowd January 11 at the Fishers Event Center.  You will notice QR codes on the ladies’ uniforms from the Fishers-based firm spokenote. … “Indy Ignite’s first season is the perfect opportunity for Spokenote to showcase how our technology can bring fans and teams closer together,” said John Wechsler, Founder and CEO of Spokenote, in a company news release.</t>
  </si>
  <si>
    <t>By Daniel Bradley
Indiana Business Journal 
The Indy Ignite professional volleyball team will play its first game in franchise history Saturday in front of a sold-out crowd at the new Fishers Event Center.</t>
  </si>
  <si>
    <t>Indy Ignite, our professional women's volleyball team, ready for inaugural season</t>
  </si>
  <si>
    <t>Justin L. Mack</t>
  </si>
  <si>
    <t>Axios Indianapolis</t>
  </si>
  <si>
    <t>Why it matters: The Indy Ignite will start their inaugural season this weekend as the latest addition to the Pro Volleyball Federation, an eight-team women's indoor volleyball league entering its second year.</t>
  </si>
  <si>
    <t>Orlando Valkyries vs. Indy Ignite</t>
  </si>
  <si>
    <t>Indy Ignite
Sat, 08 Feb, 2025 at 07:00 pm to Sun, 30 Mar, 2025 at 03:00 pm UTC-05:00
Addition Financial Arena | Orlando</t>
  </si>
  <si>
    <t>Spokenote adds Pro Volleyball Federation’s Indy Ignite as jersey patch partner</t>
  </si>
  <si>
    <t>Spokenote, which became the first company to deploy a QR code on a uniform ad with its 
 Indiana Pacers jersey patch deal last January, has added another jersey patch partner: the Pro Volleyball Federation’s Indy Ignite.</t>
  </si>
  <si>
    <t>Indy Ignite hosts sellout crowd in franchise's first match  - Indianapolis Recorder</t>
  </si>
  <si>
    <t>Indy Ignite, the city’s newest volleyball franchise, announced a sellout crowd their first match.
The matchup, slated for Jan.11 against Orlando, sold out all 7,500 seats at the Fishers Event Center. </t>
  </si>
  <si>
    <t>Meet Azhani Tealer, one of Indy Ignite’s pro volleyball players</t>
  </si>
  <si>
    <t>Alayna Wilkening</t>
  </si>
  <si>
    <t>Mirror Indy (US)</t>
  </si>
  <si>
    <t>This year, Indy is setting up for a historic season with the launch of Indy Ignite, the first pro volleyball team in Indiana. Their first game – which is sold out – is Jan. 11 at Fishers Event Center.</t>
  </si>
  <si>
    <t>Pro Volleyball Federation: Everything to know with 2025 season starting</t>
  </si>
  <si>
    <t>Indy Ignite’s Anna DeBeer (14) on media day, Thursday, Jan. 3, 2024, at the Fishers Event Center in Fishers Ind.
Atlanta Vibe:
The Atlanta Vibe had the best record in 2024 (19-6), earning the team a postseason bid and the No.1 overall seed. … Indy Ignite:
The Inidy Ignite is PVF’s newest team. It boasts a loaded roster that includes the league’s most potent hitter, Leketor Member-Meneh and young talent like Louisville standout Anna Debeer, who had a sensational 2024 NCAA tournament run before an injury.</t>
  </si>
  <si>
    <t>Indiana’s Professional Sports Team Mascots</t>
  </si>
  <si>
    <t>Nick Cottongim</t>
  </si>
  <si>
    <t>WTLC-AM (Indianapolis, IN)</t>
  </si>
  <si>
    <t>Pepper is the vibrant and energetic mascot for the Indy Ignite professional volleyball team. As the face of this new franchise, Pepper is known for her mission to inspire confidence and spread joy.</t>
  </si>
  <si>
    <t>WTLC-FM (Greenwood, IN)</t>
  </si>
  <si>
    <t>A Carmel HS star, an NCAA champion: Meet the women of Indy's new pro volleyball team</t>
  </si>
  <si>
    <t>INDIANAPOLIS -- The sweet sixteen of Indy's pro women's volleyball team is set, and the Indy Ignite roster is filled with 16 players who've had incredible successes on the court and inspirational stories off the court.</t>
  </si>
  <si>
    <t>Indy Ignite sells out Saturday's home opener</t>
  </si>
  <si>
    <t>INDIANAPOLIS - The Indy Ignite, the city's new professional women's volleyball team, has sold out its season opener Saturday and will play the Orlando Valkyries in front of a packed house of 7,500 fans at the Fishers Event Center.</t>
  </si>
  <si>
    <t>WFNI-AM (Indianapolis, IN)</t>
  </si>
  <si>
    <t>Ignite professional volleyball team will play its first game in franchise history Saturday in front of a sold-out crowd at the new Fishers Event Center. … “That we were able to completely sell out Fishers Event Center four days before our first match is a prime example of the grassroots support behind Indy Ignite and a testament to the fact that Indiana absolutely is a volleyball state,” Indy Ignite President and General Manager Mary Kay Huse said in written</t>
  </si>
  <si>
    <t>Pitt Volleyball Alums Start American Pro Seasons</t>
  </si>
  <si>
    <t>Dominic Campbell</t>
  </si>
  <si>
    <t>Two players will compete with Indy Ignite, who start their first season as a team in 2025, in outside hitter Leketor Member-Meneh (2021) and middle blocker Chiamaka Nwokolo (2019-23). 
Member-Meneh spent her first four seasons with Missouri before transferring to Pitt.</t>
  </si>
  <si>
    <t>Everything you need to know about LOVB, PVF, and the evolving volleyball landscape</t>
  </si>
  <si>
    <t>The Gist Sports</t>
  </si>
  <si>
    <t>PVF is composed of eight teams: Atlanta Vibe, Columbus Fury, Grand Rapids Rise, Indy Ignite, Omaha Supernovas, Orlando Valkyries, San Diego Mojo, and Vegas Thrill.
Those eight squads will play 28 matches — 14 home and 14 away — from tomorrow through May, facing each team four times.</t>
  </si>
  <si>
    <t>Meet Indy Ignite’s first team!</t>
  </si>
  <si>
    <t>Michelle Pemberton</t>
  </si>
  <si>
    <t>Meet the Indy Ignite!
 Michelle Pemberton
Indy Ignite’s Azhani Tealer (19) on media day, Thursday, Jan. 3, 2024, at the Fishers Event Center in Fishers Ind.</t>
  </si>
  <si>
    <t>Mohler ready for season to ‘Ignite’</t>
  </si>
  <si>
    <t>Mark Ambrogi</t>
  </si>
  <si>
    <t>Current Publishing</t>
  </si>
  <si>
    <t>Indy Ignite middle blocker Blake Mohler figures familiarity will breed success.
“A lot of us have played against each other so much in the past you feel like you already know everyone,” Mohler said. “Seeing familiar faces merge into one has been an awesome thing to be a part of.”</t>
  </si>
  <si>
    <t>Indy Ignite's inaugural season debuts at Fishers Event Center</t>
  </si>
  <si>
    <t>Jeremy Jenkins</t>
  </si>
  <si>
    <t>The Pro Volleyball Federation is heading into its second season, but Jan. 11 marks the debut of one of its newest teams: Indy Ignite.
Excitement is flaring for the inaugural match that will be held at the Fishers Event Center.</t>
  </si>
  <si>
    <t>Indy Ignite's new mascot Pepper bounces into the spotlight - Indianapolis News</t>
  </si>
  <si>
    <t>Scott Sander</t>
  </si>
  <si>
    <t>The Indy Ignite professional volleyball team plays its first-ever match Saturday at the new Fishers Event Center which opened in November.
We wanted to know more about Pepper, so we got the details* during her first visit to WISH-TV’s Daybreak.</t>
  </si>
  <si>
    <t>Wisconsin volleyball: Badgers announce three new signings; other off-season updates</t>
  </si>
  <si>
    <t>Bremen Keasey</t>
  </si>
  <si>
    <t>Bucky’s 5th Quarter</t>
  </si>
  <si>
    <t>Devyn Robinson was picked as the fifth overall pick by the San Diego Mojo, while CC Crawford was drafted 16th overall by the Indy Ignite.</t>
  </si>
  <si>
    <t>'Absolutely a volleyball state:' Indy Ignite sells out home opener at Fishers Event Center</t>
  </si>
  <si>
    <t>INDIANAPOLIS -- The Indy Ignite, the city's new professional women's volleyball team, has sold out its season opener Saturday and will play the Orlando Valkyries in front of a packed house of 7,500 fans at the Fishers Event Center.</t>
  </si>
  <si>
    <t>Mohler ready for season to 'Ignite'</t>
  </si>
  <si>
    <t>Current in Fishers</t>
  </si>
  <si>
    <t>Indy Ignite middle blocker Blake Mohler figures familiarity will breed success.
"A lot of us have played against each other so much in the past you feel like you already know everyone," Mohler said. "Seeing familiar faces merge into one has been an awesome thing to be a part of."</t>
  </si>
  <si>
    <t>Indianapolis in 2025: The biggest storylines of the year</t>
  </si>
  <si>
    <t>Arika Herron</t>
  </si>
  <si>
    <t>• The Indy Ignite professional women's volleyball team opens its inaugural season this weekend.
• Fishers Freight, the indoor football team, will debut in March.
What we're watching: The city's bid for an MLS expansion team continues.</t>
  </si>
  <si>
    <t>Love At First Spike</t>
  </si>
  <si>
    <t>Megan Fernandez</t>
  </si>
  <si>
    <t>“The intensity is so focused and isolated,” says Mary Kay Huse, CEO of Indiana’s just-formed women’s professional volleyball team, Indy Ignite. “You can’t see it in other sports like you can in volleyball. That’s why we’ve seen the NCAA viewership rise so fast.</t>
  </si>
  <si>
    <t>Indy Ignite to kick off first season at Fishers Event Center Saturday</t>
  </si>
  <si>
    <t>David Gay</t>
  </si>
  <si>
    <t>The Indy Ignite, the new pro volleyball team based out of the Fishers Event Center, will host its first match against the Orlando Valkyries at 7 p.m. on Saturday.</t>
  </si>
  <si>
    <t>The Indy Ignite is set launch its inaugural season this weekend at the Fishers Event Center</t>
  </si>
  <si>
    <t>Who Are the Top 4 Players To Watch at 2025 Pro Volleyball Federation League?</t>
  </si>
  <si>
    <t>She was taken in as the third pick in the first round, shortly after Nebraska’s Merritt Beason (Atlanta Vibe) and Louisville’s Anna DeBeer (Indy Ignite) were selected. Thus, it’s safe to say that she was already turning heads!</t>
  </si>
  <si>
    <t>63 mph: Her parents fled war as refugees. Now she's Indy Ignite's volleyball power hitter</t>
  </si>
  <si>
    <t>As the head coach with the Indy Ignite, the city's new professional women's volleyball team, and with Member-Meneh hitting, that's not happening.
"I have no interest in being out there with her," Padjen said, laughing. "I'm like, 'I have no interest at all.' She's something else. She's incredible. … Now she's Indy Ignite's volleyball power hitter</t>
  </si>
  <si>
    <t>As the head coach with the Indy Ignite, the city's new professional women's volleyball team, and with Member-Meneh hitting, that's not happening.
"I have no interest in being out there with her," Padjen said, laughing. "I'm like, 'I have no interest at all.' She's something else. She's incredible.</t>
  </si>
  <si>
    <t>The IN List 2025: 1/6 - 1/12</t>
  </si>
  <si>
    <t>Indy Ignite vs. Orlando Valkyries: 7pm. Fishers Event Center, Fishers, IN. Tickets required.
The Science of Snowflakes: 3:30-4:30pm. Cool Creek Nature Center - Carmel, IN. Dive into the science of snowflakes. All ages welcome. Registration required.
Explore the Cosmos: 5-7pm.</t>
  </si>
  <si>
    <t>Indy Ignite Kick off Inaugural Season</t>
  </si>
  <si>
    <t>Among its recent expansions is the Indy Ignite, based in Fishers at the newly-opened Events Center.
"We're thrilled to welcome Indy Ignite to our brand-new Fishers Event Center and contribute to the growth and momentum of women's sports in our region," Fadness says.</t>
  </si>
  <si>
    <t>Volleyball Star Anna DeBeer Forgoes Heartbreaking NCAA End to Share Wholesome Update: “Couldn’t Get Away”</t>
  </si>
  <si>
    <t>Notably, the jersey confirms their signing for the Pro Volleyball Federation program Indy Ignite. 
Now, after putting Louisville volleyball on the main map, the outside hitter and libero are on the brink of making history for Indy Ignite.</t>
  </si>
  <si>
    <t>Indy Ignite hosts sellout crowd in franchise's first match</t>
  </si>
  <si>
    <t>President and General Manager of Indy Ignite Mary Kay Huse said that being able to sell out so quickly is a sign of good things to come.</t>
  </si>
  <si>
    <t>The Indy Ignite's perfect start to their inaugural Pro Volleyball Federation (PVF) season came to a halt Jan. 24 in a four-set clash against the San Diego Mojo.
The adjustment prevented the Ignite from repeating their early success. … The post Indy Ignite falls to San Diego Mojo for first loss of the season appeared first on Indianapolis Recorder.</t>
  </si>
  <si>
    <t>Name</t>
  </si>
  <si>
    <t>Title</t>
  </si>
  <si>
    <t>Email</t>
  </si>
  <si>
    <t>X (Twitter) Screen Name</t>
  </si>
  <si>
    <t>X (Twitter) URL</t>
  </si>
  <si>
    <t>Muck Rack URL</t>
  </si>
  <si>
    <t>X (Twitter) Followers</t>
  </si>
  <si>
    <t>Location</t>
  </si>
  <si>
    <t>Description</t>
  </si>
  <si>
    <t>Beats</t>
  </si>
  <si>
    <t>Publications</t>
  </si>
  <si>
    <t>Status Text</t>
  </si>
  <si>
    <t>Status Time</t>
  </si>
  <si>
    <t>Status URL</t>
  </si>
  <si>
    <t>Link Shared</t>
  </si>
  <si>
    <t>Max Gersh</t>
  </si>
  <si>
    <t>Photojournalist, Gershphoto, Senior Visuals Editor</t>
  </si>
  <si>
    <t>max@gershphoto.com</t>
  </si>
  <si>
    <t>pd_cameraman</t>
  </si>
  <si>
    <t>Indianapolis, IN</t>
  </si>
  <si>
    <t>Senior Visuals Editor at @indystar | KY native |
Cycling enthusiast | Bourbon aficionado</t>
  </si>
  <si>
    <t>Arts and Entertainment,U.S.</t>
  </si>
  <si>
    <t>IndyStar,Freelance</t>
  </si>
  <si>
    <t>2025 started off with us spending a lot of time covering the Indiana Statehouse, sports of every level and a healthy snowfall.
Take a peek at some of @indystar's favorite frames we published in January.
https://t.co/NMCaa1u8zj</t>
  </si>
  <si>
    <t>Deputy Editor, Lee Sports Wisconsin</t>
  </si>
  <si>
    <t>aferguson@madison.com</t>
  </si>
  <si>
    <t>Sports_Aaron</t>
  </si>
  <si>
    <t>@IndyStar Assistant Sports Editor | Prev @WIStateJournal @nwi @pjstar | @bradleyu grad | @angelman advocate | APSE triple crown winner</t>
  </si>
  <si>
    <t>Sports,U.S. Regional</t>
  </si>
  <si>
    <t>Wisconsin State Journal</t>
  </si>
  <si>
    <t>Shawn Johnson East is the latest superstar to join the @IndyIgniteVB and @RealProVB discourse this season. Of course, the gymnast with four Olympic medals for the U.S. has a history with Indianapolis.
https://t.co/glWmDWMLmN</t>
  </si>
  <si>
    <t>.@IndyIgniteVB is no longer unbeaten in franchise history, coincidentally when @PatMcAfeeShow hyped them up.
https://t.co/tCuQri3XmC</t>
  </si>
  <si>
    <t>Co-host, Contributor, Podcast Co-Host</t>
  </si>
  <si>
    <t>derek@queryandschultz.com</t>
  </si>
  <si>
    <t>Schultz975</t>
  </si>
  <si>
    <t>Indianapolis⬅️via Connecticut</t>
  </si>
  <si>
    <t>Professional talker guy | 💼Media Relations @LifeAtPurdue | 📺Query &amp; Schultz @iscsportsnet | ✍️@IBJnews &amp; @indymonthly | 🎧@goldandblackcom | #Midtown resident</t>
  </si>
  <si>
    <t>Sports,U.S.,U.S. Regional</t>
  </si>
  <si>
    <t>Query &amp; Schultz Podcast,Query &amp; Schultz,Freelance</t>
  </si>
  <si>
    <t>On December 7, 2023, a @RealProVB franchise (@IndyIgniteVB) was announced. Three days later, the @IndianaFever won the WNBA Draft Lottery and right to take Caitlin Clark.
Today, both are riding the tidal wave of interest in women’s sports. @IBJnews ($): https://t.co/lGyoVhyLXu https://t.co/ttObHvmYSU</t>
  </si>
  <si>
    <t>Kyle Neddenriep</t>
  </si>
  <si>
    <t>High School Sports Reporter</t>
  </si>
  <si>
    <t>kyle.neddenriep@indystar.com</t>
  </si>
  <si>
    <t>KyleNeddenriep</t>
  </si>
  <si>
    <t>Indianapolis</t>
  </si>
  <si>
    <t>High school sports reporter for the Indianapolis Star. Part-time rec basketball player, full-time dad of two sons. Email: kyle.neddenriep@indystar.com</t>
  </si>
  <si>
    <t>RT @IndyStarSports: Ignite Night 2: 'In awe of what Indiana has brought to our arena.' Including Caitlin Clark. https://t.co/pES4seyTXE</t>
  </si>
  <si>
    <t>Richard Torres</t>
  </si>
  <si>
    <t>Writer</t>
  </si>
  <si>
    <t>rtorres2334@gmail.com</t>
  </si>
  <si>
    <t>RichTorres23</t>
  </si>
  <si>
    <t>Fishers, Indiana</t>
  </si>
  <si>
    <t>Sportswriter est. 2001. Bylines @ihsaa1 #thbsports @HamiltonCoNews @SBLiveIN @indyhsscores Formerly @GDRsports @VYPEci @TheTimes_Sports @AP_Sports @PBRIndiana</t>
  </si>
  <si>
    <t>Sports</t>
  </si>
  <si>
    <t>Freelance</t>
  </si>
  <si>
    <t>DJ</t>
  </si>
  <si>
    <t>ahammeke@nrgmedia.com</t>
  </si>
  <si>
    <t>alexhammeke</t>
  </si>
  <si>
    <t>Kearney, NE</t>
  </si>
  <si>
    <t>Simpsons. Soup. Sports. 10A-2P KQKY/2P-7P KRNY/Interim Sports Director @1340KGFW /MIAA Mailbag Publisher/Runs on Dunkin/RT ≠ Endorsement</t>
  </si>
  <si>
    <t>KQKY-FM (Kearney, NE),KRNY-FM (Tri-Cities, NE)</t>
  </si>
  <si>
    <t>The Omaha Supernovas will be leaving the Professional Volleyball Federation at the end of this season.
They will join a new league in the 2026 season.
https://t.co/DM3DAPMnA1</t>
  </si>
  <si>
    <t>Sports Writer</t>
  </si>
  <si>
    <t>dbenbow@indystar.com</t>
  </si>
  <si>
    <t>DanaBenbow</t>
  </si>
  <si>
    <t>Sports Writer @IndyStarSports @IndyStar www.indystar.com/staff/2684006001/dana-hunsinger-benbow/</t>
  </si>
  <si>
    <t>Health,Sports,U.S. Regional</t>
  </si>
  <si>
    <t>'Fast-paced and a roller coaster:' Indy Ignite electrify fans in season opening win https://t.co/ktQsZDFhgP via @indystar</t>
  </si>
  <si>
    <t>'I think that women's sports have crossed the tipping point, and it just feels really cool to see it and witness all of it. It's history.’ Fast-paced and a roller coaster:' Indy Ignite electrify fans in season opening win https://t.co/ktQsZDFhgP via @indystar</t>
  </si>
  <si>
    <t>RT @DanaBenbow: 'Fast-paced and a roller coaster:' Indy Ignite electrify fans in season opening win https://t.co/ktQsZDFhgP via @indystar</t>
  </si>
  <si>
    <t>CKightlinger</t>
  </si>
  <si>
    <t>Indianapolis, Ind.</t>
  </si>
  <si>
    <t>director of comms, @indyignitevb | writer | marketer | believer | mom to ringo, a fluffy dog | views = my own</t>
  </si>
  <si>
    <t>U.S. Regional</t>
  </si>
  <si>
    <t>RT @indystar: 'Fast-paced and a roller coaster:' Indy Ignite electrify fans in season opening win https://t.co/XfpWNLq4B0</t>
  </si>
  <si>
    <t>Matthew Glenesk</t>
  </si>
  <si>
    <t>Sports Content Coach</t>
  </si>
  <si>
    <t>matthew.glenesk@indystar.com</t>
  </si>
  <si>
    <t>MattGlenesk</t>
  </si>
  <si>
    <t>Carmel, IN</t>
  </si>
  <si>
    <t>Often mistaken for Rick Moranis. When I'm not shrinking my two kids, I'm a sports editor (Pacers, Fever, high schools) for @indystarsports. #COYS</t>
  </si>
  <si>
    <t>RT @IndyStarSports: Indy's newest pro sports team gets off to a rollicking start. @IndyIgniteVB https://t.co/JjuD3VOk5X</t>
  </si>
  <si>
    <t>Akeem Glaspie</t>
  </si>
  <si>
    <t>Butler Men’s Basketball Beat Reporter</t>
  </si>
  <si>
    <t>aglaspie@gannett.com</t>
  </si>
  <si>
    <t>THEAkeemGlaspie</t>
  </si>
  <si>
    <t>Elgin, IL ↘️ Indianapolis, IN</t>
  </si>
  <si>
    <t>Butler Men’s Basketball Beat Reporter @IndyStarSports | Email: aglaspie@gannett.com</t>
  </si>
  <si>
    <t>Gregg Doyel</t>
  </si>
  <si>
    <t>Sports Columnist</t>
  </si>
  <si>
    <t>gregg.doyel@indystar.com</t>
  </si>
  <si>
    <t>GreggDoyelStar</t>
  </si>
  <si>
    <t>AND STILL columnist @IndyStarSports🏆❤️my 🐶Cap. Retired pro dog-walker. #ColumnComing. Lean not✝️</t>
  </si>
  <si>
    <t>Dustin Dopirak</t>
  </si>
  <si>
    <t>Indiana Pacers Beat Writer</t>
  </si>
  <si>
    <t>DDopirak@gannett.com</t>
  </si>
  <si>
    <t>DustinDopirak</t>
  </si>
  <si>
    <t>Indiana Pacers beat writer at the Indianapolis Star.</t>
  </si>
  <si>
    <t>RT @indystar: Photos: Indy Ignite season opener against Orlando Valkyries https://t.co/8KGsLJWzaV</t>
  </si>
  <si>
    <t>Tim Spears</t>
  </si>
  <si>
    <t>Weekend Evening Anchor and Investigative Reporter</t>
  </si>
  <si>
    <t>tim.spears@wishtv.com</t>
  </si>
  <si>
    <t>tspearstv</t>
  </si>
  <si>
    <t>Weekend Evening Anchor &amp; Investigative Reporter at @WISHNews8 || SCOOPS: Tim.Spears@WISHTV.com</t>
  </si>
  <si>
    <t>Limited tickets available, but the game is also streaming on YouTube https://t.co/MumHCHXv4R</t>
  </si>
  <si>
    <t>Tim Evans</t>
  </si>
  <si>
    <t>Investigative Editor</t>
  </si>
  <si>
    <t>tim.evans@indystar.com</t>
  </si>
  <si>
    <t>starwatchtim</t>
  </si>
  <si>
    <t>Indianapolis, Indiana</t>
  </si>
  <si>
    <t>Investigations Editor @IndyStar. Indiana Journalism Hall of Fame. Husband. Father. Mousetrap collector. I tweet about my work and stuff I find interesting.</t>
  </si>
  <si>
    <t>Business and Finance,Crime and Justice,U.S. Regional</t>
  </si>
  <si>
    <t>RT @indystar: A Carmel HS star, an NCAA champion: Meet the women of Indy's new pro volleyball team https://t.co/JlZuCKaRLF</t>
  </si>
  <si>
    <t>A pig wrestling champ, a lucid dreamer, a Starbucks strawberry refresher addict, a player who says the ABCs backward &amp; one whose favorite meal is jollof rice, plantain, goat meat, oxtail. ⁦@MichelleRocket⁩ &amp; I got to know ⁦@IndyIgniteVB⁩  https://t.co/fASUQwYemj</t>
  </si>
  <si>
    <t>Dustin Schutte</t>
  </si>
  <si>
    <t>Content Creator</t>
  </si>
  <si>
    <t>dustin_schutte@yahoo.com</t>
  </si>
  <si>
    <t>SchutteDustin</t>
  </si>
  <si>
    <t>St Louis, MO</t>
  </si>
  <si>
    <t>Covering Purdue sports for Purdue Boilermakers on SI</t>
  </si>
  <si>
    <t>Sports,U.S.</t>
  </si>
  <si>
    <t>Outsider</t>
  </si>
  <si>
    <t>RT @IndyIgniteVB: There’s a new pro mascot in town.👀
Meet Pepper: https://t.co/NrtonY6Eoa
@WISHNews8</t>
  </si>
  <si>
    <t>'Absolutely a volleyball state:' Indy Ignite sells out home opener at Fishers Event Center https://t.co/ATpwalLLmU via @indystar</t>
  </si>
  <si>
    <t>Brian Haenchen</t>
  </si>
  <si>
    <t>Bhaenchen@gannett.com</t>
  </si>
  <si>
    <t>Brian_Haenchen</t>
  </si>
  <si>
    <t>@IndyStarSports writer. St. Louis native. seasonally spooky 👻, always #VeryAsian.</t>
  </si>
  <si>
    <t>RT @DanaBenbow: 'Absolutely a volleyball state:' Indy Ignite sells out home opener at Fishers Event Center https://t.co/ATpwalLLmU via @ind…</t>
  </si>
  <si>
    <t>RT @indystar: 'Absolutely a volleyball state:' Indy Ignite sells out home opener at Fishers Event Center https://t.co/bX0uGFLxGI</t>
  </si>
  <si>
    <t>Alia Blackburn</t>
  </si>
  <si>
    <t>Reporter, Weekend Evening Anchor</t>
  </si>
  <si>
    <t>ablackburn@fox59.com</t>
  </si>
  <si>
    <t>AliaBonTV</t>
  </si>
  <si>
    <t>📍Indianapolis, IN</t>
  </si>
  <si>
    <t>📺🎥 Award-winning &amp; 5x EMMY-nominated anchor (@FOX59). 💗AKA💚. @AaronE08💍. @BallState alum❤️. Runs on lots of ☕️ &amp; little 😴. #RavensFlock. Indy native.</t>
  </si>
  <si>
    <t>WTTV-TV (Indianapolis, IN),WXIN-TV (Indianapolis, IN)</t>
  </si>
  <si>
    <t>and just like that, officials say tickets are already SOLD OUT for @IndyIgniteVB's Saturday night debut at @FishersEventCtr!  🔥🔥🔥🔥 
The team stopped by the @FOX59 morning show to talk about their inaugural season &amp; what's ahead: https://t.co/cOt1ztIY3B</t>
  </si>
  <si>
    <t>RT @IndyStarSports: 63 mph: Her parents fled war as refugees. Now she's Indy Ignite's volleyball power hitter https://t.co/lf2Y6UwwE7</t>
  </si>
  <si>
    <t>Getting to know Indy's new pro women's volleyball team and the amazing women on it. First up: Leketor Member-Meneh “63 mph: Her parents fled war as refugees. Now she's Indy Ignite's volleyball power hitter”
⁦@mykalmphoto⁩ 📸📸 https://t.co/OIBnQA5D23 via @indystar</t>
  </si>
  <si>
    <t>Columbus, OH</t>
  </si>
  <si>
    <t>Noblesville, IN</t>
  </si>
  <si>
    <t>Pittsburgh, PA</t>
  </si>
  <si>
    <t>Fishers, IN</t>
  </si>
  <si>
    <t>USA</t>
  </si>
  <si>
    <t>Nashville, TN</t>
  </si>
  <si>
    <t>Global</t>
  </si>
  <si>
    <t>San Diego, CA</t>
  </si>
  <si>
    <t>Canada</t>
  </si>
  <si>
    <t>Malaysia</t>
  </si>
  <si>
    <t>New Zealand</t>
  </si>
  <si>
    <t>Spain</t>
  </si>
  <si>
    <t>New York City, NY</t>
  </si>
  <si>
    <t>Muncie, IN</t>
  </si>
  <si>
    <t>Hampton-Roads, VA</t>
  </si>
  <si>
    <t>Orlando, FL</t>
  </si>
  <si>
    <t>Lexington, KY</t>
  </si>
  <si>
    <t>Raleigh, NC</t>
  </si>
  <si>
    <t>Fresno, CA</t>
  </si>
  <si>
    <t>Macon, GA</t>
  </si>
  <si>
    <t>Belleville, IL</t>
  </si>
  <si>
    <t>Charlotte, NC</t>
  </si>
  <si>
    <t>Myrtle Beach, SC</t>
  </si>
  <si>
    <t>Merced, CA</t>
  </si>
  <si>
    <t>RocK Hill, SC</t>
  </si>
  <si>
    <t>Columbus, GA</t>
  </si>
  <si>
    <t>Biloxi, MS</t>
  </si>
  <si>
    <t>Kansas City, MO</t>
  </si>
  <si>
    <t>State College, PA</t>
  </si>
  <si>
    <t>Youngstown, OH</t>
  </si>
  <si>
    <t>Wichita, KS</t>
  </si>
  <si>
    <t>Tacoma, WA</t>
  </si>
  <si>
    <t>Bellingham, WA</t>
  </si>
  <si>
    <t>Hilton Head, SC</t>
  </si>
  <si>
    <t>Modesto, CA</t>
  </si>
  <si>
    <t>Boise, ID</t>
  </si>
  <si>
    <t>Bradenton, FL</t>
  </si>
  <si>
    <t>Sacramento, CA</t>
  </si>
  <si>
    <t>Durham, NC</t>
  </si>
  <si>
    <t>Olympia, WA</t>
  </si>
  <si>
    <t>San Luis Obispo, CA</t>
  </si>
  <si>
    <t>Fort Worth, TX</t>
  </si>
  <si>
    <t>Kennewick, WA</t>
  </si>
  <si>
    <t>Fond du Lac, WI</t>
  </si>
  <si>
    <t>Bangor, ME</t>
  </si>
  <si>
    <t>Bloomington, IN</t>
  </si>
  <si>
    <t>San Francisco, CA</t>
  </si>
  <si>
    <t>Louisville, KY</t>
  </si>
  <si>
    <t>Greenfield, IN</t>
  </si>
  <si>
    <t>Greenwood, IN</t>
  </si>
  <si>
    <t>Madison, WI</t>
  </si>
  <si>
    <t>Location Category</t>
  </si>
  <si>
    <t>Local</t>
  </si>
  <si>
    <t>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</si>
</sst>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yyyy\-mm\-dd"/>
    <numFmt numFmtId="165" formatCode="&quot;$&quot;#,##0.00_-"/>
    <numFmt numFmtId="166" formatCode="yyyy\-mm\-dd\ hh:mm:ss"/>
  </numFmts>
  <fonts count="4" x14ac:knownFonts="1">
    <font>
      <sz val="11"/>
      <color theme="1"/>
      <name val="Calibri"/>
      <family val="2"/>
      <scheme val="minor"/>
    </font>
    <font>
      <b/>
      <sz val="10"/>
      <name val="Arial"/>
      <family val="2"/>
    </font>
    <font>
      <sz val="10"/>
      <name val="Arial"/>
      <family val="2"/>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diagonal/>
    </border>
  </borders>
  <cellStyleXfs count="6">
    <xf numFmtId="0" fontId="0" fillId="0" borderId="0"/>
    <xf numFmtId="0" fontId="1" fillId="0" borderId="1"/>
    <xf numFmtId="0" fontId="2" fillId="0" borderId="1">
      <alignment vertical="top" wrapText="1"/>
    </xf>
    <xf numFmtId="164" fontId="2" fillId="0" borderId="1">
      <alignment vertical="top" wrapText="1"/>
    </xf>
    <xf numFmtId="165" fontId="2" fillId="0" borderId="1">
      <alignment vertical="top" wrapText="1"/>
    </xf>
    <xf numFmtId="166" fontId="2" fillId="0" borderId="1">
      <alignment vertical="top" wrapText="1"/>
    </xf>
  </cellStyleXfs>
  <cellXfs count="10">
    <xf numFmtId="0" fontId="0" fillId="0" borderId="0" xfId="0"/>
    <xf numFmtId="0" fontId="1" fillId="0" borderId="1" xfId="1"/>
    <xf numFmtId="0" fontId="2" fillId="0" borderId="1" xfId="2">
      <alignment vertical="top" wrapText="1"/>
    </xf>
    <xf numFmtId="164" fontId="2" fillId="0" borderId="1" xfId="3">
      <alignment vertical="top" wrapText="1"/>
    </xf>
    <xf numFmtId="165" fontId="2" fillId="0" borderId="1" xfId="4">
      <alignment vertical="top" wrapText="1"/>
    </xf>
    <xf numFmtId="166" fontId="2" fillId="0" borderId="1" xfId="5">
      <alignment vertical="top" wrapText="1"/>
    </xf>
    <xf numFmtId="165" fontId="0" fillId="0" borderId="0" xfId="0" applyNumberFormat="1"/>
    <xf numFmtId="0" fontId="3" fillId="0" borderId="0" xfId="0" applyFont="1"/>
    <xf numFmtId="0" fontId="0" fillId="2" borderId="0" xfId="0" applyFill="1"/>
    <xf numFmtId="8" fontId="0" fillId="2" borderId="0" xfId="0" applyNumberFormat="1" applyFill="1"/>
  </cellXfs>
  <cellStyles count="6">
    <cellStyle name="mr_currency" xfId="4" xr:uid="{00000000-0005-0000-0000-000004000000}"/>
    <cellStyle name="mr_date" xfId="3" xr:uid="{00000000-0005-0000-0000-000003000000}"/>
    <cellStyle name="mr_datetime" xfId="5" xr:uid="{00000000-0005-0000-0000-000005000000}"/>
    <cellStyle name="mr_header" xfId="1" xr:uid="{00000000-0005-0000-0000-000001000000}"/>
    <cellStyle name="mr_normal" xfId="2" xr:uid="{00000000-0005-0000-0000-000002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selection activeCell="D11" sqref="D11"/>
    </sheetView>
  </sheetViews>
  <sheetFormatPr defaultRowHeight="14.4" x14ac:dyDescent="0.3"/>
  <cols>
    <col min="1" max="1" width="34" customWidth="1"/>
    <col min="2" max="2" width="32" customWidth="1"/>
    <col min="3" max="3" width="14.109375" bestFit="1" customWidth="1"/>
  </cols>
  <sheetData>
    <row r="1" spans="1:3" x14ac:dyDescent="0.3">
      <c r="A1" s="1" t="s">
        <v>0</v>
      </c>
      <c r="B1" s="2" t="s">
        <v>1</v>
      </c>
    </row>
    <row r="2" spans="1:3" ht="39.6" x14ac:dyDescent="0.3">
      <c r="A2" s="1" t="s">
        <v>2</v>
      </c>
      <c r="B2" s="2" t="str">
        <f>HYPERLINK("https://indy-ignite-pro-volleyball.muckrack.com/coverage-reports/gYfe/edit/")</f>
        <v>https://indy-ignite-pro-volleyball.muckrack.com/coverage-reports/gYfe/edit/</v>
      </c>
    </row>
    <row r="3" spans="1:3" x14ac:dyDescent="0.3">
      <c r="A3" s="1" t="s">
        <v>3</v>
      </c>
      <c r="B3" s="3">
        <v>45818</v>
      </c>
    </row>
    <row r="4" spans="1:3" x14ac:dyDescent="0.3">
      <c r="A4" s="1" t="s">
        <v>4</v>
      </c>
      <c r="B4" s="2" t="s">
        <v>5</v>
      </c>
    </row>
    <row r="6" spans="1:3" x14ac:dyDescent="0.3">
      <c r="A6" s="1" t="s">
        <v>6</v>
      </c>
      <c r="B6" s="2">
        <v>311</v>
      </c>
      <c r="C6" s="8">
        <v>211</v>
      </c>
    </row>
    <row r="7" spans="1:3" x14ac:dyDescent="0.3">
      <c r="A7" s="1" t="s">
        <v>7</v>
      </c>
      <c r="B7" s="2">
        <v>4463</v>
      </c>
      <c r="C7" s="8">
        <v>3287</v>
      </c>
    </row>
    <row r="8" spans="1:3" x14ac:dyDescent="0.3">
      <c r="A8" s="1" t="s">
        <v>8</v>
      </c>
      <c r="B8" s="2">
        <v>14</v>
      </c>
      <c r="C8" s="8">
        <v>15.6</v>
      </c>
    </row>
    <row r="9" spans="1:3" x14ac:dyDescent="0.3">
      <c r="A9" s="1" t="s">
        <v>9</v>
      </c>
      <c r="B9" s="2">
        <v>3311566796</v>
      </c>
      <c r="C9" s="8">
        <v>3255643213</v>
      </c>
    </row>
    <row r="10" spans="1:3" x14ac:dyDescent="0.3">
      <c r="A10" s="1" t="s">
        <v>10</v>
      </c>
      <c r="B10" s="4">
        <v>30631992.859999999</v>
      </c>
      <c r="C10" s="9">
        <v>30114699.719999999</v>
      </c>
    </row>
    <row r="11" spans="1:3" x14ac:dyDescent="0.3">
      <c r="A11" s="1" t="s">
        <v>11</v>
      </c>
      <c r="B11" s="2">
        <v>28</v>
      </c>
      <c r="C11" s="8">
        <v>27</v>
      </c>
    </row>
    <row r="12" spans="1:3" x14ac:dyDescent="0.3">
      <c r="A12" s="1" t="s">
        <v>12</v>
      </c>
      <c r="B12" s="2">
        <v>456780</v>
      </c>
      <c r="C12" s="8">
        <v>455755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13"/>
  <sheetViews>
    <sheetView topLeftCell="F210" workbookViewId="0">
      <selection activeCell="I215" sqref="I215"/>
    </sheetView>
  </sheetViews>
  <sheetFormatPr defaultRowHeight="14.4" x14ac:dyDescent="0.3"/>
  <cols>
    <col min="1" max="1" width="48" customWidth="1"/>
    <col min="2" max="2" width="32" customWidth="1"/>
    <col min="3" max="4" width="24" customWidth="1"/>
    <col min="5" max="5" width="19" customWidth="1"/>
    <col min="6" max="6" width="48" customWidth="1"/>
    <col min="7" max="7" width="28" customWidth="1"/>
    <col min="8" max="8" width="17" customWidth="1"/>
    <col min="9" max="10" width="16" customWidth="1"/>
    <col min="11" max="11" width="13" customWidth="1"/>
    <col min="12" max="12" width="29" customWidth="1"/>
    <col min="13" max="13" width="24" customWidth="1"/>
    <col min="14" max="14" width="17.5546875" bestFit="1" customWidth="1"/>
    <col min="15" max="15" width="17.33203125" bestFit="1" customWidth="1"/>
  </cols>
  <sheetData>
    <row r="1" spans="1:15" x14ac:dyDescent="0.3">
      <c r="A1" s="1" t="s">
        <v>13</v>
      </c>
      <c r="B1" s="1" t="s">
        <v>2</v>
      </c>
      <c r="C1" s="1" t="s">
        <v>14</v>
      </c>
      <c r="D1" s="1" t="s">
        <v>15</v>
      </c>
      <c r="E1" s="1" t="s">
        <v>16</v>
      </c>
      <c r="F1" s="1" t="s">
        <v>17</v>
      </c>
      <c r="G1" s="1" t="s">
        <v>18</v>
      </c>
      <c r="H1" s="1" t="s">
        <v>19</v>
      </c>
      <c r="I1" s="1" t="s">
        <v>20</v>
      </c>
      <c r="J1" s="1" t="s">
        <v>7</v>
      </c>
      <c r="K1" s="1" t="s">
        <v>21</v>
      </c>
      <c r="L1" s="1" t="s">
        <v>22</v>
      </c>
      <c r="M1" s="1" t="s">
        <v>23</v>
      </c>
      <c r="N1" s="7" t="s">
        <v>498</v>
      </c>
      <c r="O1" s="1" t="s">
        <v>682</v>
      </c>
    </row>
    <row r="2" spans="1:15" ht="79.2" x14ac:dyDescent="0.3">
      <c r="A2" s="2" t="s">
        <v>25</v>
      </c>
      <c r="B2" s="2" t="str">
        <f>HYPERLINK("https://www.dispatch.com/picture-gallery/news/2025/01/31/ohio-state-football-columbus-blue-jackets-high-school-baskeball-snow/77968944007/")</f>
        <v>https://www.dispatch.com/picture-gallery/news/2025/01/31/ohio-state-football-columbus-blue-jackets-high-school-baskeball-snow/77968944007/</v>
      </c>
      <c r="C2" s="2"/>
      <c r="D2" s="2" t="s">
        <v>26</v>
      </c>
      <c r="E2" s="5">
        <v>45688.547164351847</v>
      </c>
      <c r="F2" s="2" t="s">
        <v>27</v>
      </c>
      <c r="G2" s="2">
        <v>3297034</v>
      </c>
      <c r="H2" s="2">
        <v>0</v>
      </c>
      <c r="I2" s="2">
        <v>0</v>
      </c>
      <c r="J2" s="2">
        <v>3</v>
      </c>
      <c r="K2" s="2" t="s">
        <v>24</v>
      </c>
      <c r="L2" s="4">
        <v>30497.56</v>
      </c>
      <c r="M2" s="2"/>
      <c r="N2" t="s">
        <v>631</v>
      </c>
      <c r="O2" t="s">
        <v>635</v>
      </c>
    </row>
    <row r="3" spans="1:15" ht="79.2" x14ac:dyDescent="0.3">
      <c r="A3" s="2" t="s">
        <v>28</v>
      </c>
      <c r="B3" s="2" t="str">
        <f>HYPERLINK("https://www.indystar.com/picture-gallery/news/local/2025/01/31/indystar-photojournalists-share-their-favorite-best-photos-from-january-2025/77740714007/")</f>
        <v>https://www.indystar.com/picture-gallery/news/local/2025/01/31/indystar-photojournalists-share-their-favorite-best-photos-from-january-2025/77740714007/</v>
      </c>
      <c r="C3" s="2" t="s">
        <v>29</v>
      </c>
      <c r="D3" s="2" t="s">
        <v>30</v>
      </c>
      <c r="E3" s="5">
        <v>45688.544444444437</v>
      </c>
      <c r="F3" s="2" t="s">
        <v>31</v>
      </c>
      <c r="G3" s="2">
        <v>3191890</v>
      </c>
      <c r="H3" s="2">
        <v>1</v>
      </c>
      <c r="I3" s="2">
        <v>2591</v>
      </c>
      <c r="J3" s="2">
        <v>20</v>
      </c>
      <c r="K3" s="2" t="s">
        <v>24</v>
      </c>
      <c r="L3" s="4">
        <v>29524.98</v>
      </c>
      <c r="M3" s="2"/>
      <c r="N3" t="s">
        <v>510</v>
      </c>
      <c r="O3" t="s">
        <v>683</v>
      </c>
    </row>
    <row r="4" spans="1:15" ht="79.2" x14ac:dyDescent="0.3">
      <c r="A4" s="2" t="s">
        <v>32</v>
      </c>
      <c r="B4" s="2" t="str">
        <f>HYPERLINK("https://readthereporter.com/momentum-continues-at-fishers-event-center-as-excitement-builds-for-pro-volleyball-federations-inaugural-all-star-match/")</f>
        <v>https://readthereporter.com/momentum-continues-at-fishers-event-center-as-excitement-builds-for-pro-volleyball-federations-inaugural-all-star-match/</v>
      </c>
      <c r="C4" s="2" t="s">
        <v>33</v>
      </c>
      <c r="D4" s="2" t="s">
        <v>34</v>
      </c>
      <c r="E4" s="5">
        <v>45688</v>
      </c>
      <c r="F4" s="2" t="s">
        <v>35</v>
      </c>
      <c r="G4" s="2">
        <v>22316</v>
      </c>
      <c r="H4" s="2">
        <v>0</v>
      </c>
      <c r="I4" s="2">
        <v>0</v>
      </c>
      <c r="J4" s="2">
        <v>0</v>
      </c>
      <c r="K4" s="2" t="s">
        <v>24</v>
      </c>
      <c r="L4" s="4">
        <v>206.42</v>
      </c>
      <c r="M4" s="2"/>
      <c r="N4" t="s">
        <v>632</v>
      </c>
      <c r="O4" t="s">
        <v>683</v>
      </c>
    </row>
    <row r="5" spans="1:15" ht="66" x14ac:dyDescent="0.3">
      <c r="A5" s="2" t="s">
        <v>36</v>
      </c>
      <c r="B5" s="2" t="str">
        <f>HYPERLINK("https://pittnews.com/article/193852/sports/pvf-and-lovb-markers-of-a-growing-womens-sports-industry/")</f>
        <v>https://pittnews.com/article/193852/sports/pvf-and-lovb-markers-of-a-growing-womens-sports-industry/</v>
      </c>
      <c r="C5" s="2" t="s">
        <v>37</v>
      </c>
      <c r="D5" s="2" t="s">
        <v>38</v>
      </c>
      <c r="E5" s="5">
        <v>45687.967245370368</v>
      </c>
      <c r="F5" s="2" t="s">
        <v>39</v>
      </c>
      <c r="G5" s="2">
        <v>35743</v>
      </c>
      <c r="H5" s="2">
        <v>0</v>
      </c>
      <c r="I5" s="2">
        <v>0</v>
      </c>
      <c r="J5" s="2">
        <v>0</v>
      </c>
      <c r="K5" s="2" t="s">
        <v>24</v>
      </c>
      <c r="L5" s="4">
        <v>330.62</v>
      </c>
      <c r="M5" s="2"/>
      <c r="N5" t="s">
        <v>633</v>
      </c>
      <c r="O5" t="s">
        <v>635</v>
      </c>
    </row>
    <row r="6" spans="1:15" ht="79.2" x14ac:dyDescent="0.3">
      <c r="A6" s="2" t="s">
        <v>40</v>
      </c>
      <c r="B6" s="2" t="str">
        <f>HYPERLINK("https://www.larryinfishers.com/2025/01/30/fishers-event-center-prepares-to-host-inaugural-pro-volleyball-federation-all-star-match/")</f>
        <v>https://www.larryinfishers.com/2025/01/30/fishers-event-center-prepares-to-host-inaugural-pro-volleyball-federation-all-star-match/</v>
      </c>
      <c r="C6" s="2"/>
      <c r="D6" s="2" t="s">
        <v>41</v>
      </c>
      <c r="E6" s="5">
        <v>45687.55091435185</v>
      </c>
      <c r="F6" s="2" t="s">
        <v>42</v>
      </c>
      <c r="G6" s="2">
        <v>3011</v>
      </c>
      <c r="H6" s="2">
        <v>0</v>
      </c>
      <c r="I6" s="2">
        <v>0</v>
      </c>
      <c r="J6" s="2">
        <v>1</v>
      </c>
      <c r="K6" s="2" t="s">
        <v>24</v>
      </c>
      <c r="L6" s="4">
        <v>27.85</v>
      </c>
      <c r="M6" s="2"/>
      <c r="N6" t="s">
        <v>634</v>
      </c>
      <c r="O6" t="s">
        <v>683</v>
      </c>
    </row>
    <row r="7" spans="1:15" ht="66" x14ac:dyDescent="0.3">
      <c r="A7" s="2" t="s">
        <v>43</v>
      </c>
      <c r="B7" s="2" t="str">
        <f>HYPERLINK("https://indy-ignite-pro-volleyball.muckrack.com/link/eMUr9m/olympic-medalist-set-for-volleyball-all-star-game-at-fishers")</f>
        <v>https://indy-ignite-pro-volleyball.muckrack.com/link/eMUr9m/olympic-medalist-set-for-volleyball-all-star-game-at-fishers</v>
      </c>
      <c r="C7" s="2" t="s">
        <v>44</v>
      </c>
      <c r="D7" s="2" t="s">
        <v>30</v>
      </c>
      <c r="E7" s="5">
        <v>45687.291666666657</v>
      </c>
      <c r="F7" s="2" t="s">
        <v>45</v>
      </c>
      <c r="G7" s="2"/>
      <c r="H7" s="2">
        <v>0</v>
      </c>
      <c r="I7" s="2">
        <v>0</v>
      </c>
      <c r="J7" s="2">
        <v>0</v>
      </c>
      <c r="K7" s="2" t="s">
        <v>24</v>
      </c>
      <c r="L7" s="4">
        <v>21007</v>
      </c>
      <c r="M7" s="2"/>
      <c r="N7" t="s">
        <v>510</v>
      </c>
      <c r="O7" t="s">
        <v>683</v>
      </c>
    </row>
    <row r="8" spans="1:15" ht="79.2" x14ac:dyDescent="0.3">
      <c r="A8" s="2" t="s">
        <v>46</v>
      </c>
      <c r="B8" s="2" t="str">
        <f>HYPERLINK("https://www.sportsdestinations.com/destinations/indiana/news/four-time-olympic-medalist-shawn-johnson-east-co-35450")</f>
        <v>https://www.sportsdestinations.com/destinations/indiana/news/four-time-olympic-medalist-shawn-johnson-east-co-35450</v>
      </c>
      <c r="C8" s="2"/>
      <c r="D8" s="2" t="s">
        <v>47</v>
      </c>
      <c r="E8" s="5">
        <v>45686.696122685193</v>
      </c>
      <c r="F8" s="2" t="s">
        <v>48</v>
      </c>
      <c r="G8" s="2">
        <v>11275</v>
      </c>
      <c r="H8" s="2">
        <v>0</v>
      </c>
      <c r="I8" s="2">
        <v>0</v>
      </c>
      <c r="J8" s="2">
        <v>0</v>
      </c>
      <c r="K8" s="2" t="s">
        <v>24</v>
      </c>
      <c r="L8" s="4">
        <v>104.29</v>
      </c>
      <c r="M8" s="2"/>
      <c r="N8" t="s">
        <v>635</v>
      </c>
      <c r="O8" t="s">
        <v>635</v>
      </c>
    </row>
    <row r="9" spans="1:15" ht="92.4" x14ac:dyDescent="0.3">
      <c r="A9" s="2" t="s">
        <v>51</v>
      </c>
      <c r="B9" s="2" t="str">
        <f>HYPERLINK("https://vucommodores.com/vanderbilt-volleyball-represented-in-the-pros/")</f>
        <v>https://vucommodores.com/vanderbilt-volleyball-represented-in-the-pros/</v>
      </c>
      <c r="C9" s="2"/>
      <c r="D9" s="2" t="s">
        <v>52</v>
      </c>
      <c r="E9" s="5">
        <v>45686.496736111112</v>
      </c>
      <c r="F9" s="2" t="s">
        <v>53</v>
      </c>
      <c r="G9" s="2"/>
      <c r="H9" s="2">
        <v>0</v>
      </c>
      <c r="I9" s="2">
        <v>0</v>
      </c>
      <c r="J9" s="2">
        <v>0</v>
      </c>
      <c r="K9" s="2" t="s">
        <v>24</v>
      </c>
      <c r="L9" s="2"/>
      <c r="M9" s="2"/>
      <c r="N9" t="s">
        <v>636</v>
      </c>
      <c r="O9" t="s">
        <v>635</v>
      </c>
    </row>
    <row r="10" spans="1:15" ht="224.4" x14ac:dyDescent="0.3">
      <c r="A10" s="2" t="s">
        <v>55</v>
      </c>
      <c r="B10" s="2" t="str">
        <f>HYPERLINK("https://www.indystar.com/story/sports/2025/01/28/shawn-johnson-east-appear-co-host-pvf-all-star-game-in-fishers/78000689007/")</f>
        <v>https://www.indystar.com/story/sports/2025/01/28/shawn-johnson-east-appear-co-host-pvf-all-star-game-in-fishers/78000689007/</v>
      </c>
      <c r="C10" s="2"/>
      <c r="D10" s="2" t="s">
        <v>30</v>
      </c>
      <c r="E10" s="5">
        <v>45685.656817129631</v>
      </c>
      <c r="F10" s="2" t="s">
        <v>56</v>
      </c>
      <c r="G10" s="2">
        <v>3191890</v>
      </c>
      <c r="H10" s="2">
        <v>1</v>
      </c>
      <c r="I10" s="2">
        <v>4917</v>
      </c>
      <c r="J10" s="2">
        <v>38</v>
      </c>
      <c r="K10" s="2" t="s">
        <v>24</v>
      </c>
      <c r="L10" s="4">
        <v>29524.98</v>
      </c>
      <c r="M10" s="2"/>
      <c r="N10" t="s">
        <v>510</v>
      </c>
      <c r="O10" t="s">
        <v>683</v>
      </c>
    </row>
    <row r="11" spans="1:15" ht="145.19999999999999" x14ac:dyDescent="0.3">
      <c r="A11" s="2" t="s">
        <v>55</v>
      </c>
      <c r="B11" s="2" t="str">
        <f>HYPERLINK("https://sports.yahoo.com/shawn-johnson-east-us-olympic-204549419.html")</f>
        <v>https://sports.yahoo.com/shawn-johnson-east-us-olympic-204549419.html</v>
      </c>
      <c r="C11" s="2" t="s">
        <v>44</v>
      </c>
      <c r="D11" s="2" t="s">
        <v>57</v>
      </c>
      <c r="E11" s="5">
        <v>45685.656817129631</v>
      </c>
      <c r="F11" s="2" t="s">
        <v>58</v>
      </c>
      <c r="G11" s="2">
        <v>23223632</v>
      </c>
      <c r="H11" s="2">
        <v>0</v>
      </c>
      <c r="I11" s="2">
        <v>0</v>
      </c>
      <c r="J11" s="2">
        <v>0</v>
      </c>
      <c r="K11" s="2" t="s">
        <v>50</v>
      </c>
      <c r="L11" s="4">
        <v>214818.6</v>
      </c>
      <c r="M11" s="2"/>
      <c r="N11" t="s">
        <v>635</v>
      </c>
      <c r="O11" t="s">
        <v>635</v>
      </c>
    </row>
    <row r="12" spans="1:15" ht="52.8" x14ac:dyDescent="0.3">
      <c r="A12" s="2" t="s">
        <v>59</v>
      </c>
      <c r="B12" s="2" t="str">
        <f>HYPERLINK("https://www.oursportscentral.com/services/releases/snyder-named-pro-volleyball-federation-player-of-the-week/n-6185720")</f>
        <v>https://www.oursportscentral.com/services/releases/snyder-named-pro-volleyball-federation-player-of-the-week/n-6185720</v>
      </c>
      <c r="C12" s="2"/>
      <c r="D12" s="2" t="s">
        <v>49</v>
      </c>
      <c r="E12" s="5">
        <v>45685.511805555558</v>
      </c>
      <c r="F12" s="2" t="s">
        <v>60</v>
      </c>
      <c r="G12" s="2">
        <v>62699</v>
      </c>
      <c r="H12" s="2">
        <v>0</v>
      </c>
      <c r="I12" s="2">
        <v>0</v>
      </c>
      <c r="J12" s="2">
        <v>0</v>
      </c>
      <c r="K12" s="2" t="s">
        <v>50</v>
      </c>
      <c r="L12" s="4">
        <v>579.97</v>
      </c>
      <c r="M12" s="2"/>
      <c r="N12" t="s">
        <v>635</v>
      </c>
      <c r="O12" t="s">
        <v>635</v>
      </c>
    </row>
    <row r="13" spans="1:15" ht="66" x14ac:dyDescent="0.3">
      <c r="A13" s="2" t="s">
        <v>61</v>
      </c>
      <c r="B13" s="2" t="str">
        <f>HYPERLINK("https://thesportsrush.com/wnba-news-can-have-a-huge-impact-caitlin-clark-discusses-her-viral-moment-with-young-girl-at-indy-ignite-pro-volleyball-game/")</f>
        <v>https://thesportsrush.com/wnba-news-can-have-a-huge-impact-caitlin-clark-discusses-her-viral-moment-with-young-girl-at-indy-ignite-pro-volleyball-game/</v>
      </c>
      <c r="C13" s="2" t="s">
        <v>62</v>
      </c>
      <c r="D13" s="2" t="s">
        <v>63</v>
      </c>
      <c r="E13" s="5">
        <v>45685.447465277779</v>
      </c>
      <c r="F13" s="2" t="s">
        <v>64</v>
      </c>
      <c r="G13" s="2">
        <v>861432</v>
      </c>
      <c r="H13" s="2">
        <v>0</v>
      </c>
      <c r="I13" s="2">
        <v>0</v>
      </c>
      <c r="J13" s="2">
        <v>0</v>
      </c>
      <c r="K13" s="2" t="s">
        <v>24</v>
      </c>
      <c r="L13" s="4">
        <v>7968.25</v>
      </c>
      <c r="M13" s="2"/>
      <c r="N13" t="s">
        <v>635</v>
      </c>
      <c r="O13" t="s">
        <v>635</v>
      </c>
    </row>
    <row r="14" spans="1:15" ht="79.2" x14ac:dyDescent="0.3">
      <c r="A14" s="2" t="s">
        <v>65</v>
      </c>
      <c r="B14" s="2" t="str">
        <f>HYPERLINK("https://www.oursportscentral.com/services/releases/shawn-johnson-east-to-co-host-pvf-all-star-match/n-6185627")</f>
        <v>https://www.oursportscentral.com/services/releases/shawn-johnson-east-to-co-host-pvf-all-star-match/n-6185627</v>
      </c>
      <c r="C14" s="2"/>
      <c r="D14" s="2" t="s">
        <v>49</v>
      </c>
      <c r="E14" s="5">
        <v>45685.322222222218</v>
      </c>
      <c r="F14" s="2" t="s">
        <v>66</v>
      </c>
      <c r="G14" s="2">
        <v>62699</v>
      </c>
      <c r="H14" s="2">
        <v>0</v>
      </c>
      <c r="I14" s="2">
        <v>0</v>
      </c>
      <c r="J14" s="2">
        <v>0</v>
      </c>
      <c r="K14" s="2" t="s">
        <v>24</v>
      </c>
      <c r="L14" s="4">
        <v>579.97</v>
      </c>
      <c r="M14" s="2"/>
      <c r="N14" t="s">
        <v>635</v>
      </c>
      <c r="O14" t="s">
        <v>635</v>
      </c>
    </row>
    <row r="15" spans="1:15" ht="79.2" x14ac:dyDescent="0.3">
      <c r="A15" s="2" t="s">
        <v>67</v>
      </c>
      <c r="B15" s="2" t="str">
        <f>HYPERLINK("https://indianapolisrecorder.com/indy-ignite-first-loss-2025/")</f>
        <v>https://indianapolisrecorder.com/indy-ignite-first-loss-2025/</v>
      </c>
      <c r="C15" s="2" t="s">
        <v>68</v>
      </c>
      <c r="D15" s="2" t="s">
        <v>69</v>
      </c>
      <c r="E15" s="5">
        <v>45685</v>
      </c>
      <c r="F15" s="2" t="s">
        <v>70</v>
      </c>
      <c r="G15" s="2">
        <v>40036</v>
      </c>
      <c r="H15" s="2">
        <v>0</v>
      </c>
      <c r="I15" s="2">
        <v>0</v>
      </c>
      <c r="J15" s="2">
        <v>0</v>
      </c>
      <c r="K15" s="2" t="s">
        <v>50</v>
      </c>
      <c r="L15" s="4">
        <v>370.33</v>
      </c>
      <c r="M15" s="2"/>
      <c r="N15" t="s">
        <v>510</v>
      </c>
      <c r="O15" t="s">
        <v>683</v>
      </c>
    </row>
    <row r="16" spans="1:15" ht="39.6" x14ac:dyDescent="0.3">
      <c r="A16" s="2" t="s">
        <v>67</v>
      </c>
      <c r="B16" s="2" t="str">
        <f>HYPERLINK("https://article.wn.com/view/2025/01/28/Indy_Ignite_falls_to_San_Diego_Mojo_for_first_loss_of_the_se/")</f>
        <v>https://article.wn.com/view/2025/01/28/Indy_Ignite_falls_to_San_Diego_Mojo_for_first_loss_of_the_se/</v>
      </c>
      <c r="C16" s="2"/>
      <c r="D16" s="2" t="s">
        <v>71</v>
      </c>
      <c r="E16" s="5">
        <v>45685</v>
      </c>
      <c r="F16" s="2"/>
      <c r="G16" s="2">
        <v>220681</v>
      </c>
      <c r="H16" s="2">
        <v>0</v>
      </c>
      <c r="I16" s="2">
        <v>0</v>
      </c>
      <c r="J16" s="2">
        <v>0</v>
      </c>
      <c r="K16" s="2"/>
      <c r="L16" s="4">
        <v>2041.3</v>
      </c>
      <c r="M16" s="2"/>
      <c r="N16" t="s">
        <v>637</v>
      </c>
      <c r="O16" t="s">
        <v>684</v>
      </c>
    </row>
    <row r="17" spans="1:15" ht="66" x14ac:dyDescent="0.3">
      <c r="A17" s="2" t="s">
        <v>72</v>
      </c>
      <c r="B17" s="2" t="str">
        <f>HYPERLINK("https://www.essentiallysports.com/wnba-basketball-news-little-girl-who-hijacked-caitlin-clarks-date-night-gets-her-identity-revealed-by-wnba-star/")</f>
        <v>https://www.essentiallysports.com/wnba-basketball-news-little-girl-who-hijacked-caitlin-clarks-date-night-gets-her-identity-revealed-by-wnba-star/</v>
      </c>
      <c r="C17" s="2" t="s">
        <v>73</v>
      </c>
      <c r="D17" s="2" t="s">
        <v>74</v>
      </c>
      <c r="E17" s="5">
        <v>45684.888865740737</v>
      </c>
      <c r="F17" s="2" t="s">
        <v>75</v>
      </c>
      <c r="G17" s="2">
        <v>10912895</v>
      </c>
      <c r="H17" s="2">
        <v>0</v>
      </c>
      <c r="I17" s="2">
        <v>0</v>
      </c>
      <c r="J17" s="2">
        <v>0</v>
      </c>
      <c r="K17" s="2" t="s">
        <v>24</v>
      </c>
      <c r="L17" s="4">
        <v>100944.28</v>
      </c>
      <c r="M17" s="2"/>
      <c r="N17" t="s">
        <v>635</v>
      </c>
      <c r="O17" t="s">
        <v>635</v>
      </c>
    </row>
    <row r="18" spans="1:15" ht="79.2" x14ac:dyDescent="0.3">
      <c r="A18" s="2" t="s">
        <v>76</v>
      </c>
      <c r="B18" s="2" t="str">
        <f>HYPERLINK("https://www.essentiallysports.com/us-sports-news-volleyball-news-lived-in-a-refugee-camp-once-volleyball-star-reveals-pittsburgh-universitys-help-when-she-almost-hung-up-the-shoes/")</f>
        <v>https://www.essentiallysports.com/us-sports-news-volleyball-news-lived-in-a-refugee-camp-once-volleyball-star-reveals-pittsburgh-universitys-help-when-she-almost-hung-up-the-shoes/</v>
      </c>
      <c r="C18" s="2" t="s">
        <v>77</v>
      </c>
      <c r="D18" s="2" t="s">
        <v>74</v>
      </c>
      <c r="E18" s="5">
        <v>45684.34034722222</v>
      </c>
      <c r="F18" s="2" t="s">
        <v>78</v>
      </c>
      <c r="G18" s="2">
        <v>10912895</v>
      </c>
      <c r="H18" s="2">
        <v>0</v>
      </c>
      <c r="I18" s="2">
        <v>0</v>
      </c>
      <c r="J18" s="2">
        <v>0</v>
      </c>
      <c r="K18" s="2" t="s">
        <v>24</v>
      </c>
      <c r="L18" s="4">
        <v>100944.28</v>
      </c>
      <c r="M18" s="2"/>
      <c r="N18" t="s">
        <v>635</v>
      </c>
      <c r="O18" t="s">
        <v>635</v>
      </c>
    </row>
    <row r="19" spans="1:15" ht="52.8" x14ac:dyDescent="0.3">
      <c r="A19" s="2" t="s">
        <v>79</v>
      </c>
      <c r="B19" s="2" t="str">
        <f>HYPERLINK("https://en.volleyballworld.com/news/mojo-take-ignite-down-san-diego")</f>
        <v>https://en.volleyballworld.com/news/mojo-take-ignite-down-san-diego</v>
      </c>
      <c r="C19" s="2"/>
      <c r="D19" s="2" t="s">
        <v>54</v>
      </c>
      <c r="E19" s="5">
        <v>45683.923275462963</v>
      </c>
      <c r="F19" s="2" t="s">
        <v>80</v>
      </c>
      <c r="G19" s="2">
        <v>162951</v>
      </c>
      <c r="H19" s="2">
        <v>0</v>
      </c>
      <c r="I19" s="2">
        <v>0</v>
      </c>
      <c r="J19" s="2">
        <v>4</v>
      </c>
      <c r="K19" s="2" t="s">
        <v>50</v>
      </c>
      <c r="L19" s="4">
        <v>1507.3</v>
      </c>
      <c r="M19" s="2"/>
      <c r="N19" t="s">
        <v>635</v>
      </c>
      <c r="O19" t="s">
        <v>635</v>
      </c>
    </row>
    <row r="20" spans="1:15" ht="92.4" x14ac:dyDescent="0.3">
      <c r="A20" s="2" t="s">
        <v>81</v>
      </c>
      <c r="B20" s="2" t="str">
        <f>HYPERLINK("https://www.keepingupincarmel.com/post/the-in-list-2024-1-27-2-2")</f>
        <v>https://www.keepingupincarmel.com/post/the-in-list-2024-1-27-2-2</v>
      </c>
      <c r="C20" s="2" t="s">
        <v>82</v>
      </c>
      <c r="D20" s="2" t="s">
        <v>83</v>
      </c>
      <c r="E20" s="5">
        <v>45683.25439814815</v>
      </c>
      <c r="F20" s="2" t="s">
        <v>84</v>
      </c>
      <c r="G20" s="2">
        <v>473</v>
      </c>
      <c r="H20" s="2">
        <v>0</v>
      </c>
      <c r="I20" s="2">
        <v>0</v>
      </c>
      <c r="J20" s="2">
        <v>0</v>
      </c>
      <c r="K20" s="2" t="s">
        <v>50</v>
      </c>
      <c r="L20" s="4">
        <v>4.38</v>
      </c>
      <c r="M20" s="2"/>
      <c r="N20" t="s">
        <v>570</v>
      </c>
      <c r="O20" t="s">
        <v>683</v>
      </c>
    </row>
    <row r="21" spans="1:15" ht="158.4" x14ac:dyDescent="0.3">
      <c r="A21" s="2" t="s">
        <v>85</v>
      </c>
      <c r="B21" s="2" t="str">
        <f>HYPERLINK("https://editorialge.com/who-is-clarks-new-partner/")</f>
        <v>https://editorialge.com/who-is-clarks-new-partner/</v>
      </c>
      <c r="C21" s="2" t="s">
        <v>86</v>
      </c>
      <c r="D21" s="2" t="s">
        <v>87</v>
      </c>
      <c r="E21" s="5">
        <v>45682.550196759257</v>
      </c>
      <c r="F21" s="2" t="s">
        <v>88</v>
      </c>
      <c r="G21" s="2"/>
      <c r="H21" s="2">
        <v>0</v>
      </c>
      <c r="I21" s="2">
        <v>0</v>
      </c>
      <c r="J21" s="2">
        <v>0</v>
      </c>
      <c r="K21" s="2" t="s">
        <v>24</v>
      </c>
      <c r="L21" s="2"/>
      <c r="M21" s="2"/>
      <c r="N21" t="s">
        <v>637</v>
      </c>
      <c r="O21" t="s">
        <v>684</v>
      </c>
    </row>
    <row r="22" spans="1:15" ht="118.8" x14ac:dyDescent="0.3">
      <c r="A22" s="2" t="s">
        <v>89</v>
      </c>
      <c r="B22" s="2" t="str">
        <f>HYPERLINK("https://editorialge.com/are-caitlin-clark-and-connor-still-together/")</f>
        <v>https://editorialge.com/are-caitlin-clark-and-connor-still-together/</v>
      </c>
      <c r="C22" s="2" t="s">
        <v>86</v>
      </c>
      <c r="D22" s="2" t="s">
        <v>87</v>
      </c>
      <c r="E22" s="5">
        <v>45682.324687499997</v>
      </c>
      <c r="F22" s="2" t="s">
        <v>90</v>
      </c>
      <c r="G22" s="2"/>
      <c r="H22" s="2">
        <v>0</v>
      </c>
      <c r="I22" s="2">
        <v>0</v>
      </c>
      <c r="J22" s="2">
        <v>0</v>
      </c>
      <c r="K22" s="2" t="s">
        <v>24</v>
      </c>
      <c r="L22" s="2"/>
      <c r="M22" s="2"/>
      <c r="N22" t="s">
        <v>637</v>
      </c>
      <c r="O22" t="s">
        <v>684</v>
      </c>
    </row>
    <row r="23" spans="1:15" ht="105.6" x14ac:dyDescent="0.3">
      <c r="A23" s="2" t="s">
        <v>91</v>
      </c>
      <c r="B23" s="2" t="str">
        <f>HYPERLINK("https://www.oursportscentral.com/services/releases/ignite-fall-for-first-time-in-2025-season/n-6184775")</f>
        <v>https://www.oursportscentral.com/services/releases/ignite-fall-for-first-time-in-2025-season/n-6184775</v>
      </c>
      <c r="C23" s="2"/>
      <c r="D23" s="2" t="s">
        <v>49</v>
      </c>
      <c r="E23" s="5">
        <v>45682.297222222223</v>
      </c>
      <c r="F23" s="2" t="s">
        <v>92</v>
      </c>
      <c r="G23" s="2">
        <v>62699</v>
      </c>
      <c r="H23" s="2">
        <v>0</v>
      </c>
      <c r="I23" s="2">
        <v>0</v>
      </c>
      <c r="J23" s="2">
        <v>0</v>
      </c>
      <c r="K23" s="2" t="s">
        <v>50</v>
      </c>
      <c r="L23" s="4">
        <v>579.97</v>
      </c>
      <c r="M23" s="2"/>
      <c r="N23" t="s">
        <v>635</v>
      </c>
      <c r="O23" t="s">
        <v>635</v>
      </c>
    </row>
    <row r="24" spans="1:15" ht="184.8" x14ac:dyDescent="0.3">
      <c r="A24" s="2" t="s">
        <v>93</v>
      </c>
      <c r="B24" s="2" t="str">
        <f>HYPERLINK("https://editorialge.com/who-is-caitlin-clark-in-a-relationship-with/")</f>
        <v>https://editorialge.com/who-is-caitlin-clark-in-a-relationship-with/</v>
      </c>
      <c r="C24" s="2" t="s">
        <v>86</v>
      </c>
      <c r="D24" s="2" t="s">
        <v>87</v>
      </c>
      <c r="E24" s="5">
        <v>45682.296574074076</v>
      </c>
      <c r="F24" s="2" t="s">
        <v>94</v>
      </c>
      <c r="G24" s="2"/>
      <c r="H24" s="2">
        <v>0</v>
      </c>
      <c r="I24" s="2">
        <v>0</v>
      </c>
      <c r="J24" s="2">
        <v>0</v>
      </c>
      <c r="K24" s="2" t="s">
        <v>24</v>
      </c>
      <c r="L24" s="2"/>
      <c r="M24" s="2"/>
      <c r="N24" t="s">
        <v>637</v>
      </c>
      <c r="O24" t="s">
        <v>684</v>
      </c>
    </row>
    <row r="25" spans="1:15" ht="92.4" x14ac:dyDescent="0.3">
      <c r="A25" s="2" t="s">
        <v>95</v>
      </c>
      <c r="B25" s="2" t="str">
        <f>HYPERLINK("https://www.oursportscentral.com/services/releases/mojo-extinguish-indy-ignite-in-four-sets/n-6184742")</f>
        <v>https://www.oursportscentral.com/services/releases/mojo-extinguish-indy-ignite-in-four-sets/n-6184742</v>
      </c>
      <c r="C25" s="2"/>
      <c r="D25" s="2" t="s">
        <v>49</v>
      </c>
      <c r="E25" s="5">
        <v>45682.02847222222</v>
      </c>
      <c r="F25" s="2" t="s">
        <v>96</v>
      </c>
      <c r="G25" s="2">
        <v>62699</v>
      </c>
      <c r="H25" s="2">
        <v>0</v>
      </c>
      <c r="I25" s="2">
        <v>0</v>
      </c>
      <c r="J25" s="2">
        <v>0</v>
      </c>
      <c r="K25" s="2" t="s">
        <v>50</v>
      </c>
      <c r="L25" s="4">
        <v>579.97</v>
      </c>
      <c r="M25" s="2"/>
      <c r="N25" t="s">
        <v>635</v>
      </c>
      <c r="O25" t="s">
        <v>635</v>
      </c>
    </row>
    <row r="26" spans="1:15" ht="224.4" x14ac:dyDescent="0.3">
      <c r="A26" s="2" t="s">
        <v>97</v>
      </c>
      <c r="B26" s="2" t="str">
        <f>HYPERLINK("https://www.indystar.com/story/sports/2025/01/25/indy-ignite-volleyball-suffers-loss-after-pat-mcafee-shows-support/77943108007/")</f>
        <v>https://www.indystar.com/story/sports/2025/01/25/indy-ignite-volleyball-suffers-loss-after-pat-mcafee-shows-support/77943108007/</v>
      </c>
      <c r="C26" s="2"/>
      <c r="D26" s="2" t="s">
        <v>30</v>
      </c>
      <c r="E26" s="5">
        <v>45682</v>
      </c>
      <c r="F26" s="2" t="s">
        <v>98</v>
      </c>
      <c r="G26" s="2">
        <v>3191890</v>
      </c>
      <c r="H26" s="2">
        <v>1</v>
      </c>
      <c r="I26" s="2">
        <v>4917</v>
      </c>
      <c r="J26" s="2">
        <v>98</v>
      </c>
      <c r="K26" s="2" t="s">
        <v>50</v>
      </c>
      <c r="L26" s="4">
        <v>29524.98</v>
      </c>
      <c r="M26" s="2"/>
      <c r="N26" t="s">
        <v>510</v>
      </c>
      <c r="O26" t="s">
        <v>683</v>
      </c>
    </row>
    <row r="27" spans="1:15" ht="105.6" x14ac:dyDescent="0.3">
      <c r="A27" s="2" t="s">
        <v>97</v>
      </c>
      <c r="B27" s="2" t="str">
        <f>HYPERLINK("https://indy-ignite-pro-volleyball.muckrack.com/link/enVHW8/indy-ignite-volleyball-a-wagon-pat-mcafee-says-before-franchises-first-loss")</f>
        <v>https://indy-ignite-pro-volleyball.muckrack.com/link/enVHW8/indy-ignite-volleyball-a-wagon-pat-mcafee-says-before-franchises-first-loss</v>
      </c>
      <c r="C27" s="2"/>
      <c r="D27" s="2" t="s">
        <v>30</v>
      </c>
      <c r="E27" s="5">
        <v>45682</v>
      </c>
      <c r="F27" s="2" t="s">
        <v>99</v>
      </c>
      <c r="G27" s="2"/>
      <c r="H27" s="2">
        <v>0</v>
      </c>
      <c r="I27" s="2">
        <v>0</v>
      </c>
      <c r="J27" s="2">
        <v>0</v>
      </c>
      <c r="K27" s="2" t="s">
        <v>50</v>
      </c>
      <c r="L27" s="4">
        <v>21007</v>
      </c>
      <c r="M27" s="2"/>
      <c r="N27" t="s">
        <v>510</v>
      </c>
      <c r="O27" t="s">
        <v>683</v>
      </c>
    </row>
    <row r="28" spans="1:15" ht="237.6" x14ac:dyDescent="0.3">
      <c r="A28" s="2" t="s">
        <v>100</v>
      </c>
      <c r="B28" s="2" t="str">
        <f>HYPERLINK("https://www.sportskeeda.com/us/olympics/news-former-louisville-volleyball-star-anna-debeer-pens-4-word-message-relaxing-pool-awaits-pro-debut-indy-ignite")</f>
        <v>https://www.sportskeeda.com/us/olympics/news-former-louisville-volleyball-star-anna-debeer-pens-4-word-message-relaxing-pool-awaits-pro-debut-indy-ignite</v>
      </c>
      <c r="C28" s="2" t="s">
        <v>101</v>
      </c>
      <c r="D28" s="2" t="s">
        <v>102</v>
      </c>
      <c r="E28" s="5">
        <v>45681.596342592587</v>
      </c>
      <c r="F28" s="2" t="s">
        <v>103</v>
      </c>
      <c r="G28" s="2">
        <v>32382109</v>
      </c>
      <c r="H28" s="2">
        <v>0</v>
      </c>
      <c r="I28" s="2">
        <v>0</v>
      </c>
      <c r="J28" s="2">
        <v>10</v>
      </c>
      <c r="K28" s="2" t="s">
        <v>24</v>
      </c>
      <c r="L28" s="4">
        <v>299534.51</v>
      </c>
      <c r="M28" s="2"/>
      <c r="N28" t="s">
        <v>635</v>
      </c>
      <c r="O28" t="s">
        <v>635</v>
      </c>
    </row>
    <row r="29" spans="1:15" ht="79.2" x14ac:dyDescent="0.3">
      <c r="A29" s="2" t="s">
        <v>104</v>
      </c>
      <c r="B29" s="2" t="str">
        <f>HYPERLINK("https://www.ibj.com/articles/derek-schultz-igniting-indy")</f>
        <v>https://www.ibj.com/articles/derek-schultz-igniting-indy</v>
      </c>
      <c r="C29" s="2" t="s">
        <v>105</v>
      </c>
      <c r="D29" s="2" t="s">
        <v>106</v>
      </c>
      <c r="E29" s="5">
        <v>45681.59479166667</v>
      </c>
      <c r="F29" s="2" t="s">
        <v>107</v>
      </c>
      <c r="G29" s="2">
        <v>96182</v>
      </c>
      <c r="H29" s="2">
        <v>1</v>
      </c>
      <c r="I29" s="2">
        <v>19680</v>
      </c>
      <c r="J29" s="2">
        <v>1</v>
      </c>
      <c r="K29" s="2" t="s">
        <v>24</v>
      </c>
      <c r="L29" s="4">
        <v>889.68</v>
      </c>
      <c r="M29" s="2"/>
      <c r="N29" t="s">
        <v>510</v>
      </c>
      <c r="O29" t="s">
        <v>683</v>
      </c>
    </row>
    <row r="30" spans="1:15" ht="409.6" x14ac:dyDescent="0.3">
      <c r="A30" s="2" t="s">
        <v>108</v>
      </c>
      <c r="B30" s="2" t="str">
        <f>HYPERLINK("https://www.sandiegoreader.com/events/2025/jan/24/san-diego-mojo-vs-indy-ignite/")</f>
        <v>https://www.sandiegoreader.com/events/2025/jan/24/san-diego-mojo-vs-indy-ignite/</v>
      </c>
      <c r="C30" s="2"/>
      <c r="D30" s="2" t="s">
        <v>109</v>
      </c>
      <c r="E30" s="5">
        <v>45681.143935185188</v>
      </c>
      <c r="F30" s="2" t="s">
        <v>110</v>
      </c>
      <c r="G30" s="2">
        <v>134969</v>
      </c>
      <c r="H30" s="2">
        <v>0</v>
      </c>
      <c r="I30" s="2">
        <v>0</v>
      </c>
      <c r="J30" s="2">
        <v>0</v>
      </c>
      <c r="K30" s="2" t="s">
        <v>50</v>
      </c>
      <c r="L30" s="4">
        <v>1248.46</v>
      </c>
      <c r="M30" s="2"/>
      <c r="N30" t="s">
        <v>638</v>
      </c>
      <c r="O30" t="s">
        <v>635</v>
      </c>
    </row>
    <row r="31" spans="1:15" ht="79.2" x14ac:dyDescent="0.3">
      <c r="A31" s="2" t="s">
        <v>111</v>
      </c>
      <c r="B31" s="2" t="str">
        <f>HYPERLINK("http://www.esdsports.com/article.php?Team=PVF_SD&amp;ArticleID=2025-01-24-mojo-ignite-pvf-volleyball-da-yeong-lee.html")</f>
        <v>http://www.esdsports.com/article.php?Team=PVF_SD&amp;ArticleID=2025-01-24-mojo-ignite-pvf-volleyball-da-yeong-lee.html</v>
      </c>
      <c r="C31" s="2" t="s">
        <v>112</v>
      </c>
      <c r="D31" s="2" t="s">
        <v>111</v>
      </c>
      <c r="E31" s="5">
        <v>45681</v>
      </c>
      <c r="F31" s="2" t="s">
        <v>113</v>
      </c>
      <c r="G31" s="2">
        <v>278</v>
      </c>
      <c r="H31" s="2">
        <v>0</v>
      </c>
      <c r="I31" s="2">
        <v>0</v>
      </c>
      <c r="J31" s="2">
        <v>0</v>
      </c>
      <c r="K31" s="2" t="s">
        <v>50</v>
      </c>
      <c r="L31" s="4">
        <v>2.57</v>
      </c>
      <c r="M31" s="2"/>
      <c r="N31" t="s">
        <v>638</v>
      </c>
      <c r="O31" t="s">
        <v>635</v>
      </c>
    </row>
    <row r="32" spans="1:15" ht="92.4" x14ac:dyDescent="0.3">
      <c r="A32" s="2" t="s">
        <v>114</v>
      </c>
      <c r="B32" s="2" t="str">
        <f>HYPERLINK("https://ca.news.yahoo.com/caitlin-clark-boyfriend-connor-mccaffery-190001332.html")</f>
        <v>https://ca.news.yahoo.com/caitlin-clark-boyfriend-connor-mccaffery-190001332.html</v>
      </c>
      <c r="C32" s="2" t="s">
        <v>115</v>
      </c>
      <c r="D32" s="2" t="s">
        <v>116</v>
      </c>
      <c r="E32" s="5">
        <v>45680.590428240743</v>
      </c>
      <c r="F32" s="2" t="s">
        <v>117</v>
      </c>
      <c r="G32" s="2">
        <v>1746127</v>
      </c>
      <c r="H32" s="2">
        <v>0</v>
      </c>
      <c r="I32" s="2">
        <v>0</v>
      </c>
      <c r="J32" s="2">
        <v>0</v>
      </c>
      <c r="K32" s="2" t="s">
        <v>24</v>
      </c>
      <c r="L32" s="4">
        <v>16151.67</v>
      </c>
      <c r="M32" s="2"/>
      <c r="N32" t="s">
        <v>639</v>
      </c>
      <c r="O32" t="s">
        <v>684</v>
      </c>
    </row>
    <row r="33" spans="1:15" ht="92.4" x14ac:dyDescent="0.3">
      <c r="A33" s="2" t="s">
        <v>114</v>
      </c>
      <c r="B33" s="2" t="str">
        <f>HYPERLINK("https://people.com/caitlin-clark-boyfriend-connor-mccaffrey-tell-each-other-love-you-her-birthday-8779252")</f>
        <v>https://people.com/caitlin-clark-boyfriend-connor-mccaffrey-tell-each-other-love-you-her-birthday-8779252</v>
      </c>
      <c r="C33" s="2" t="s">
        <v>115</v>
      </c>
      <c r="D33" s="2" t="s">
        <v>118</v>
      </c>
      <c r="E33" s="5">
        <v>45680.587847222218</v>
      </c>
      <c r="F33" s="2" t="s">
        <v>119</v>
      </c>
      <c r="G33" s="2">
        <v>71915670</v>
      </c>
      <c r="H33" s="2">
        <v>0</v>
      </c>
      <c r="I33" s="2">
        <v>0</v>
      </c>
      <c r="J33" s="2">
        <v>0</v>
      </c>
      <c r="K33" s="2" t="s">
        <v>24</v>
      </c>
      <c r="L33" s="4">
        <v>665219.94999999995</v>
      </c>
      <c r="M33" s="2"/>
      <c r="N33" t="s">
        <v>635</v>
      </c>
      <c r="O33" t="s">
        <v>635</v>
      </c>
    </row>
    <row r="34" spans="1:15" ht="92.4" x14ac:dyDescent="0.3">
      <c r="A34" s="2" t="s">
        <v>120</v>
      </c>
      <c r="B34" s="2" t="str">
        <f>HYPERLINK("https://www.aol.com/lifestyle/caitlin-clark-boyfriend-connor-mccaffery-190001340.html")</f>
        <v>https://www.aol.com/lifestyle/caitlin-clark-boyfriend-connor-mccaffery-190001340.html</v>
      </c>
      <c r="C34" s="2"/>
      <c r="D34" s="2" t="s">
        <v>121</v>
      </c>
      <c r="E34" s="5">
        <v>45680.583344907413</v>
      </c>
      <c r="F34" s="2" t="s">
        <v>122</v>
      </c>
      <c r="G34" s="2">
        <v>34968755</v>
      </c>
      <c r="H34" s="2">
        <v>0</v>
      </c>
      <c r="I34" s="2">
        <v>0</v>
      </c>
      <c r="J34" s="2">
        <v>0</v>
      </c>
      <c r="K34" s="2" t="s">
        <v>24</v>
      </c>
      <c r="L34" s="4">
        <v>323460.98</v>
      </c>
      <c r="M34" s="2"/>
      <c r="N34" t="s">
        <v>635</v>
      </c>
      <c r="O34" t="s">
        <v>635</v>
      </c>
    </row>
    <row r="35" spans="1:15" ht="92.4" x14ac:dyDescent="0.3">
      <c r="A35" s="2" t="s">
        <v>114</v>
      </c>
      <c r="B35" s="2" t="str">
        <f>HYPERLINK("https://malaysia.news.yahoo.com/caitlin-clark-boyfriend-connor-mccaffery-190001332.html")</f>
        <v>https://malaysia.news.yahoo.com/caitlin-clark-boyfriend-connor-mccaffery-190001332.html</v>
      </c>
      <c r="C35" s="2" t="s">
        <v>115</v>
      </c>
      <c r="D35" s="2" t="s">
        <v>123</v>
      </c>
      <c r="E35" s="5">
        <v>45680.583344907413</v>
      </c>
      <c r="F35" s="2" t="s">
        <v>117</v>
      </c>
      <c r="G35" s="2">
        <v>393800</v>
      </c>
      <c r="H35" s="2">
        <v>0</v>
      </c>
      <c r="I35" s="2">
        <v>0</v>
      </c>
      <c r="J35" s="2">
        <v>0</v>
      </c>
      <c r="K35" s="2" t="s">
        <v>24</v>
      </c>
      <c r="L35" s="4">
        <v>3642.65</v>
      </c>
      <c r="M35" s="2"/>
      <c r="N35" t="s">
        <v>640</v>
      </c>
      <c r="O35" t="s">
        <v>684</v>
      </c>
    </row>
    <row r="36" spans="1:15" ht="92.4" x14ac:dyDescent="0.3">
      <c r="A36" s="2" t="s">
        <v>114</v>
      </c>
      <c r="B36" s="2" t="str">
        <f>HYPERLINK("https://www.yahoo.com/entertainment/caitlin-clark-boyfriend-connor-mccaffery-190001332.html")</f>
        <v>https://www.yahoo.com/entertainment/caitlin-clark-boyfriend-connor-mccaffery-190001332.html</v>
      </c>
      <c r="C36" s="2" t="s">
        <v>115</v>
      </c>
      <c r="D36" s="2" t="s">
        <v>124</v>
      </c>
      <c r="E36" s="5">
        <v>45680.583344907413</v>
      </c>
      <c r="F36" s="2" t="s">
        <v>117</v>
      </c>
      <c r="G36" s="2">
        <v>407199536</v>
      </c>
      <c r="H36" s="2">
        <v>0</v>
      </c>
      <c r="I36" s="2">
        <v>0</v>
      </c>
      <c r="J36" s="2">
        <v>1</v>
      </c>
      <c r="K36" s="2" t="s">
        <v>24</v>
      </c>
      <c r="L36" s="4">
        <v>3766595.71</v>
      </c>
      <c r="M36" s="2"/>
      <c r="N36" t="s">
        <v>637</v>
      </c>
      <c r="O36" t="s">
        <v>684</v>
      </c>
    </row>
    <row r="37" spans="1:15" ht="92.4" x14ac:dyDescent="0.3">
      <c r="A37" s="2" t="s">
        <v>114</v>
      </c>
      <c r="B37" s="2" t="str">
        <f>HYPERLINK("https://nz.news.yahoo.com/caitlin-clark-boyfriend-connor-mccaffery-190001332.html")</f>
        <v>https://nz.news.yahoo.com/caitlin-clark-boyfriend-connor-mccaffery-190001332.html</v>
      </c>
      <c r="C37" s="2" t="s">
        <v>115</v>
      </c>
      <c r="D37" s="2" t="s">
        <v>125</v>
      </c>
      <c r="E37" s="5">
        <v>45680.583344907413</v>
      </c>
      <c r="F37" s="2" t="s">
        <v>117</v>
      </c>
      <c r="G37" s="2">
        <v>265659</v>
      </c>
      <c r="H37" s="2">
        <v>0</v>
      </c>
      <c r="I37" s="2">
        <v>0</v>
      </c>
      <c r="J37" s="2">
        <v>0</v>
      </c>
      <c r="K37" s="2" t="s">
        <v>24</v>
      </c>
      <c r="L37" s="4">
        <v>2457.35</v>
      </c>
      <c r="M37" s="2"/>
      <c r="N37" t="s">
        <v>641</v>
      </c>
      <c r="O37" t="s">
        <v>684</v>
      </c>
    </row>
    <row r="38" spans="1:15" ht="92.4" x14ac:dyDescent="0.3">
      <c r="A38" s="2" t="s">
        <v>126</v>
      </c>
      <c r="B38" s="2" t="str">
        <f>HYPERLINK("https://www.marca.com/en/basketball/wnba/indiana-fever/2025/01/23/6791b0a746163fc8218b45bc.html")</f>
        <v>https://www.marca.com/en/basketball/wnba/indiana-fever/2025/01/23/6791b0a746163fc8218b45bc.html</v>
      </c>
      <c r="C38" s="2"/>
      <c r="D38" s="2" t="s">
        <v>127</v>
      </c>
      <c r="E38" s="5">
        <v>45679.973900462966</v>
      </c>
      <c r="F38" s="2" t="s">
        <v>128</v>
      </c>
      <c r="G38" s="2">
        <v>41703082</v>
      </c>
      <c r="H38" s="2">
        <v>0</v>
      </c>
      <c r="I38" s="2">
        <v>0</v>
      </c>
      <c r="J38" s="2">
        <v>0</v>
      </c>
      <c r="K38" s="2" t="s">
        <v>24</v>
      </c>
      <c r="L38" s="4">
        <v>385753.51</v>
      </c>
      <c r="M38" s="2"/>
      <c r="N38" t="s">
        <v>642</v>
      </c>
      <c r="O38" t="s">
        <v>684</v>
      </c>
    </row>
    <row r="39" spans="1:15" ht="52.8" x14ac:dyDescent="0.3">
      <c r="A39" s="2" t="s">
        <v>129</v>
      </c>
      <c r="B39" s="2" t="str">
        <f>HYPERLINK("https://nybreaking.com/caitlin-clark-left-stunned-by-indiana-fever-coaches-surprise-on-her-birthday/")</f>
        <v>https://nybreaking.com/caitlin-clark-left-stunned-by-indiana-fever-coaches-surprise-on-her-birthday/</v>
      </c>
      <c r="C39" s="2"/>
      <c r="D39" s="2" t="s">
        <v>130</v>
      </c>
      <c r="E39" s="5">
        <v>45679.835335648153</v>
      </c>
      <c r="F39" s="2" t="s">
        <v>131</v>
      </c>
      <c r="G39" s="2">
        <v>23397</v>
      </c>
      <c r="H39" s="2">
        <v>0</v>
      </c>
      <c r="I39" s="2">
        <v>0</v>
      </c>
      <c r="J39" s="2">
        <v>0</v>
      </c>
      <c r="K39" s="2" t="s">
        <v>24</v>
      </c>
      <c r="L39" s="4">
        <v>216.42</v>
      </c>
      <c r="M39" s="2"/>
      <c r="N39" t="s">
        <v>643</v>
      </c>
      <c r="O39" t="s">
        <v>635</v>
      </c>
    </row>
    <row r="40" spans="1:15" ht="132" x14ac:dyDescent="0.3">
      <c r="A40" s="2" t="s">
        <v>132</v>
      </c>
      <c r="B40" s="2" t="str">
        <f>HYPERLINK("https://expressdigest.com/caitlin-clark-left-stunned-by-indiana-fever-coaches-surprise-on-her-birthday/")</f>
        <v>https://expressdigest.com/caitlin-clark-left-stunned-by-indiana-fever-coaches-surprise-on-her-birthday/</v>
      </c>
      <c r="C40" s="2" t="s">
        <v>133</v>
      </c>
      <c r="D40" s="2" t="s">
        <v>134</v>
      </c>
      <c r="E40" s="5">
        <v>45679.829907407409</v>
      </c>
      <c r="F40" s="2" t="s">
        <v>135</v>
      </c>
      <c r="G40" s="2">
        <v>29283</v>
      </c>
      <c r="H40" s="2">
        <v>0</v>
      </c>
      <c r="I40" s="2">
        <v>0</v>
      </c>
      <c r="J40" s="2">
        <v>0</v>
      </c>
      <c r="K40" s="2" t="s">
        <v>24</v>
      </c>
      <c r="L40" s="4">
        <v>270.87</v>
      </c>
      <c r="M40" s="2"/>
      <c r="N40" t="s">
        <v>637</v>
      </c>
      <c r="O40" t="s">
        <v>684</v>
      </c>
    </row>
    <row r="41" spans="1:15" ht="66" x14ac:dyDescent="0.3">
      <c r="A41" s="2" t="s">
        <v>132</v>
      </c>
      <c r="B41" s="2" t="str">
        <f>HYPERLINK("https://www.dailymail.co.uk/sport/wnba/article-14315351/caitlin-clark-birthday-indiana-fever-surprise.html")</f>
        <v>https://www.dailymail.co.uk/sport/wnba/article-14315351/caitlin-clark-birthday-indiana-fever-surprise.html</v>
      </c>
      <c r="C41" s="2" t="s">
        <v>133</v>
      </c>
      <c r="D41" s="2" t="s">
        <v>136</v>
      </c>
      <c r="E41" s="5">
        <v>45679.827314814807</v>
      </c>
      <c r="F41" s="2" t="s">
        <v>137</v>
      </c>
      <c r="G41" s="2">
        <v>61968441</v>
      </c>
      <c r="H41" s="2">
        <v>0</v>
      </c>
      <c r="I41" s="2">
        <v>0</v>
      </c>
      <c r="J41" s="2">
        <v>0</v>
      </c>
      <c r="K41" s="2" t="s">
        <v>24</v>
      </c>
      <c r="L41" s="4">
        <v>573208.07999999996</v>
      </c>
      <c r="M41" s="2"/>
      <c r="N41" t="s">
        <v>637</v>
      </c>
      <c r="O41" t="s">
        <v>684</v>
      </c>
    </row>
    <row r="42" spans="1:15" ht="66" x14ac:dyDescent="0.3">
      <c r="A42" s="2" t="s">
        <v>138</v>
      </c>
      <c r="B42" s="2" t="str">
        <f>HYPERLINK("https://www.si.com/onsi/athlete-lifestyle/relationships/connor-mccaffery-posts-emotional-caitlin-clark-birthday-note-adorable-photos")</f>
        <v>https://www.si.com/onsi/athlete-lifestyle/relationships/connor-mccaffery-posts-emotional-caitlin-clark-birthday-note-adorable-photos</v>
      </c>
      <c r="C42" s="2" t="s">
        <v>139</v>
      </c>
      <c r="D42" s="2" t="s">
        <v>140</v>
      </c>
      <c r="E42" s="5">
        <v>45679.801562499997</v>
      </c>
      <c r="F42" s="2" t="s">
        <v>141</v>
      </c>
      <c r="G42" s="2">
        <v>32744612</v>
      </c>
      <c r="H42" s="2">
        <v>0</v>
      </c>
      <c r="I42" s="2">
        <v>0</v>
      </c>
      <c r="J42" s="2">
        <v>0</v>
      </c>
      <c r="K42" s="2" t="s">
        <v>24</v>
      </c>
      <c r="L42" s="4">
        <v>302887.65999999997</v>
      </c>
      <c r="M42" s="2"/>
      <c r="N42" t="s">
        <v>635</v>
      </c>
      <c r="O42" t="s">
        <v>635</v>
      </c>
    </row>
    <row r="43" spans="1:15" ht="66" x14ac:dyDescent="0.3">
      <c r="A43" s="2" t="s">
        <v>142</v>
      </c>
      <c r="B43" s="2" t="str">
        <f>HYPERLINK("https://en.volleyballworld.com/news/ignite-aim-continue-flying-high-pro-volleyball-federation")</f>
        <v>https://en.volleyballworld.com/news/ignite-aim-continue-flying-high-pro-volleyball-federation</v>
      </c>
      <c r="C43" s="2"/>
      <c r="D43" s="2" t="s">
        <v>54</v>
      </c>
      <c r="E43" s="5">
        <v>45679.50886574074</v>
      </c>
      <c r="F43" s="2" t="s">
        <v>143</v>
      </c>
      <c r="G43" s="2">
        <v>162951</v>
      </c>
      <c r="H43" s="2">
        <v>0</v>
      </c>
      <c r="I43" s="2">
        <v>0</v>
      </c>
      <c r="J43" s="2">
        <v>13</v>
      </c>
      <c r="K43" s="2" t="s">
        <v>24</v>
      </c>
      <c r="L43" s="4">
        <v>1507.3</v>
      </c>
      <c r="M43" s="2"/>
      <c r="N43" t="s">
        <v>637</v>
      </c>
      <c r="O43" t="s">
        <v>684</v>
      </c>
    </row>
    <row r="44" spans="1:15" ht="105.6" x14ac:dyDescent="0.3">
      <c r="A44" s="2" t="s">
        <v>144</v>
      </c>
      <c r="B44" s="2" t="str">
        <f>HYPERLINK("https://ftw.usatoday.com/lists/caitlin-clark-wnba-offseason-video-photos")</f>
        <v>https://ftw.usatoday.com/lists/caitlin-clark-wnba-offseason-video-photos</v>
      </c>
      <c r="C44" s="2" t="s">
        <v>145</v>
      </c>
      <c r="D44" s="2" t="s">
        <v>146</v>
      </c>
      <c r="E44" s="5">
        <v>45679.47991898148</v>
      </c>
      <c r="F44" s="2" t="s">
        <v>147</v>
      </c>
      <c r="G44" s="2">
        <v>3949934</v>
      </c>
      <c r="H44" s="2">
        <v>0</v>
      </c>
      <c r="I44" s="2">
        <v>0</v>
      </c>
      <c r="J44" s="2">
        <v>9</v>
      </c>
      <c r="K44" s="2" t="s">
        <v>24</v>
      </c>
      <c r="L44" s="4">
        <v>36536.89</v>
      </c>
      <c r="M44" s="2"/>
      <c r="N44" t="s">
        <v>635</v>
      </c>
      <c r="O44" t="s">
        <v>635</v>
      </c>
    </row>
    <row r="45" spans="1:15" ht="132" x14ac:dyDescent="0.3">
      <c r="A45" s="2" t="s">
        <v>148</v>
      </c>
      <c r="B45" s="2" t="str">
        <f>HYPERLINK("https://www.oursportscentral.com/services/releases/game-preview-indy-ignite-at-san-diego-mojo-january-24-2025/n-6183838")</f>
        <v>https://www.oursportscentral.com/services/releases/game-preview-indy-ignite-at-san-diego-mojo-january-24-2025/n-6183838</v>
      </c>
      <c r="C45" s="2"/>
      <c r="D45" s="2" t="s">
        <v>49</v>
      </c>
      <c r="E45" s="5">
        <v>45679</v>
      </c>
      <c r="F45" s="2" t="s">
        <v>149</v>
      </c>
      <c r="G45" s="2">
        <v>62699</v>
      </c>
      <c r="H45" s="2">
        <v>0</v>
      </c>
      <c r="I45" s="2">
        <v>0</v>
      </c>
      <c r="J45" s="2">
        <v>0</v>
      </c>
      <c r="K45" s="2" t="s">
        <v>50</v>
      </c>
      <c r="L45" s="4">
        <v>579.97</v>
      </c>
      <c r="M45" s="2"/>
      <c r="N45" t="s">
        <v>635</v>
      </c>
      <c r="O45" t="s">
        <v>635</v>
      </c>
    </row>
    <row r="46" spans="1:15" ht="79.2" x14ac:dyDescent="0.3">
      <c r="A46" s="2" t="s">
        <v>150</v>
      </c>
      <c r="B46" s="2" t="str">
        <f>HYPERLINK("https://indymaven.com/articles/indy-ignite-levels-up-womens-sports-in-indy/")</f>
        <v>https://indymaven.com/articles/indy-ignite-levels-up-womens-sports-in-indy/</v>
      </c>
      <c r="C46" s="2" t="s">
        <v>151</v>
      </c>
      <c r="D46" s="2" t="s">
        <v>152</v>
      </c>
      <c r="E46" s="5">
        <v>45678.838495370372</v>
      </c>
      <c r="F46" s="2" t="s">
        <v>153</v>
      </c>
      <c r="G46" s="2">
        <v>8342</v>
      </c>
      <c r="H46" s="2">
        <v>0</v>
      </c>
      <c r="I46" s="2">
        <v>0</v>
      </c>
      <c r="J46" s="2">
        <v>109</v>
      </c>
      <c r="K46" s="2" t="s">
        <v>24</v>
      </c>
      <c r="L46" s="4">
        <v>77.16</v>
      </c>
      <c r="M46" s="2"/>
      <c r="N46" t="s">
        <v>510</v>
      </c>
      <c r="O46" t="s">
        <v>683</v>
      </c>
    </row>
    <row r="47" spans="1:15" ht="105.6" x14ac:dyDescent="0.3">
      <c r="A47" s="2" t="s">
        <v>154</v>
      </c>
      <c r="B47" s="2" t="str">
        <f>HYPERLINK("https://www.oursportscentral.com/services/releases/ignite-stay-undefeated-with-thrilling-five-set-victory/n-6183289")</f>
        <v>https://www.oursportscentral.com/services/releases/ignite-stay-undefeated-with-thrilling-five-set-victory/n-6183289</v>
      </c>
      <c r="C47" s="2"/>
      <c r="D47" s="2" t="s">
        <v>49</v>
      </c>
      <c r="E47" s="5">
        <v>45677.563194444447</v>
      </c>
      <c r="F47" s="2" t="s">
        <v>155</v>
      </c>
      <c r="G47" s="2">
        <v>62699</v>
      </c>
      <c r="H47" s="2">
        <v>0</v>
      </c>
      <c r="I47" s="2">
        <v>0</v>
      </c>
      <c r="J47" s="2">
        <v>0</v>
      </c>
      <c r="K47" s="2" t="s">
        <v>24</v>
      </c>
      <c r="L47" s="4">
        <v>579.97</v>
      </c>
      <c r="M47" s="2"/>
      <c r="N47" t="s">
        <v>635</v>
      </c>
      <c r="O47" t="s">
        <v>635</v>
      </c>
    </row>
    <row r="48" spans="1:15" ht="343.2" x14ac:dyDescent="0.3">
      <c r="A48" s="2" t="s">
        <v>156</v>
      </c>
      <c r="B48" s="2" t="str">
        <f>HYPERLINK("https://www.yardbarker.com/wnba/articles/women_supporting_women_indiana_fever_loves_caitlin_clarks_latest_move/s1_17382_41606743")</f>
        <v>https://www.yardbarker.com/wnba/articles/women_supporting_women_indiana_fever_loves_caitlin_clarks_latest_move/s1_17382_41606743</v>
      </c>
      <c r="C48" s="2"/>
      <c r="D48" s="2" t="s">
        <v>157</v>
      </c>
      <c r="E48" s="5">
        <v>45677.439965277779</v>
      </c>
      <c r="F48" s="2" t="s">
        <v>158</v>
      </c>
      <c r="G48" s="2">
        <v>5367961</v>
      </c>
      <c r="H48" s="2">
        <v>0</v>
      </c>
      <c r="I48" s="2">
        <v>0</v>
      </c>
      <c r="J48" s="2">
        <v>0</v>
      </c>
      <c r="K48" s="2" t="s">
        <v>24</v>
      </c>
      <c r="L48" s="4">
        <v>49653.64</v>
      </c>
      <c r="M48" s="2"/>
      <c r="N48" t="s">
        <v>635</v>
      </c>
      <c r="O48" t="s">
        <v>635</v>
      </c>
    </row>
    <row r="49" spans="1:15" ht="39.6" x14ac:dyDescent="0.3">
      <c r="A49" s="2" t="s">
        <v>159</v>
      </c>
      <c r="B49" s="2" t="str">
        <f>HYPERLINK("https://www.woofboomnews.com/2025/01/muncie-news-summary-jan-20-2025/")</f>
        <v>https://www.woofboomnews.com/2025/01/muncie-news-summary-jan-20-2025/</v>
      </c>
      <c r="C49" s="2"/>
      <c r="D49" s="2" t="s">
        <v>160</v>
      </c>
      <c r="E49" s="5">
        <v>45677.386377314811</v>
      </c>
      <c r="F49" s="2" t="s">
        <v>161</v>
      </c>
      <c r="G49" s="2">
        <v>504</v>
      </c>
      <c r="H49" s="2">
        <v>0</v>
      </c>
      <c r="I49" s="2">
        <v>0</v>
      </c>
      <c r="J49" s="2">
        <v>0</v>
      </c>
      <c r="K49" s="2" t="s">
        <v>50</v>
      </c>
      <c r="L49" s="4">
        <v>4.66</v>
      </c>
      <c r="M49" s="2"/>
      <c r="N49" t="s">
        <v>644</v>
      </c>
      <c r="O49" t="s">
        <v>683</v>
      </c>
    </row>
    <row r="50" spans="1:15" ht="52.8" x14ac:dyDescent="0.3">
      <c r="A50" s="2" t="s">
        <v>162</v>
      </c>
      <c r="B50" s="2" t="str">
        <f>HYPERLINK("https://www.si.com/onsi/athlete-lifestyle/relationships/caitlin-clark-nikola-jokic-wife-natalija-moots-wnba-fans-frenzy")</f>
        <v>https://www.si.com/onsi/athlete-lifestyle/relationships/caitlin-clark-nikola-jokic-wife-natalija-moots-wnba-fans-frenzy</v>
      </c>
      <c r="C50" s="2" t="s">
        <v>139</v>
      </c>
      <c r="D50" s="2" t="s">
        <v>140</v>
      </c>
      <c r="E50" s="5">
        <v>45677</v>
      </c>
      <c r="F50" s="2" t="s">
        <v>163</v>
      </c>
      <c r="G50" s="2">
        <v>32744612</v>
      </c>
      <c r="H50" s="2">
        <v>0</v>
      </c>
      <c r="I50" s="2">
        <v>0</v>
      </c>
      <c r="J50" s="2">
        <v>0</v>
      </c>
      <c r="K50" s="2" t="s">
        <v>50</v>
      </c>
      <c r="L50" s="4">
        <v>302887.65999999997</v>
      </c>
      <c r="M50" s="2"/>
      <c r="N50" t="s">
        <v>635</v>
      </c>
      <c r="O50" t="s">
        <v>635</v>
      </c>
    </row>
    <row r="51" spans="1:15" ht="105.6" x14ac:dyDescent="0.3">
      <c r="A51" s="2" t="s">
        <v>164</v>
      </c>
      <c r="B51" s="2" t="str">
        <f>HYPERLINK("https://indy-ignite-pro-volleyball.muckrack.com/link/etECAE/fury-loses-in-5-sets-drops-to-0-3-fury-loses-in-5-sets-drops-to-0-3")</f>
        <v>https://indy-ignite-pro-volleyball.muckrack.com/link/etECAE/fury-loses-in-5-sets-drops-to-0-3-fury-loses-in-5-sets-drops-to-0-3</v>
      </c>
      <c r="C51" s="2"/>
      <c r="D51" s="2" t="s">
        <v>26</v>
      </c>
      <c r="E51" s="5">
        <v>45677</v>
      </c>
      <c r="F51" s="2" t="s">
        <v>165</v>
      </c>
      <c r="G51" s="2"/>
      <c r="H51" s="2">
        <v>0</v>
      </c>
      <c r="I51" s="2">
        <v>0</v>
      </c>
      <c r="J51" s="2">
        <v>0</v>
      </c>
      <c r="K51" s="2" t="s">
        <v>50</v>
      </c>
      <c r="L51" s="4">
        <v>30996</v>
      </c>
      <c r="M51" s="2"/>
      <c r="N51" t="s">
        <v>631</v>
      </c>
      <c r="O51" t="s">
        <v>635</v>
      </c>
    </row>
    <row r="52" spans="1:15" ht="66" x14ac:dyDescent="0.3">
      <c r="A52" s="2" t="s">
        <v>166</v>
      </c>
      <c r="B52" s="2" t="str">
        <f>HYPERLINK("https://en.volleyballworld.com/news/rookies-ignite-still-undefeated-after-pro-volleyball-federation-week-2")</f>
        <v>https://en.volleyballworld.com/news/rookies-ignite-still-undefeated-after-pro-volleyball-federation-week-2</v>
      </c>
      <c r="C52" s="2"/>
      <c r="D52" s="2" t="s">
        <v>54</v>
      </c>
      <c r="E52" s="5">
        <v>45676.969525462962</v>
      </c>
      <c r="F52" s="2" t="s">
        <v>167</v>
      </c>
      <c r="G52" s="2">
        <v>162951</v>
      </c>
      <c r="H52" s="2">
        <v>0</v>
      </c>
      <c r="I52" s="2">
        <v>0</v>
      </c>
      <c r="J52" s="2">
        <v>3</v>
      </c>
      <c r="K52" s="2" t="s">
        <v>24</v>
      </c>
      <c r="L52" s="4">
        <v>1507.3</v>
      </c>
      <c r="M52" s="2"/>
      <c r="N52" t="s">
        <v>635</v>
      </c>
      <c r="O52" t="s">
        <v>635</v>
      </c>
    </row>
    <row r="53" spans="1:15" ht="92.4" x14ac:dyDescent="0.3">
      <c r="A53" s="2" t="s">
        <v>168</v>
      </c>
      <c r="B53" s="2" t="str">
        <f>HYPERLINK("https://www.si.com/onsi/athlete-lifestyle/news/caitlin-clark-taylor-swift-viral-chiefs-nfl-playoff-moment-ripped-skip-bayless")</f>
        <v>https://www.si.com/onsi/athlete-lifestyle/news/caitlin-clark-taylor-swift-viral-chiefs-nfl-playoff-moment-ripped-skip-bayless</v>
      </c>
      <c r="C53" s="2" t="s">
        <v>139</v>
      </c>
      <c r="D53" s="2" t="s">
        <v>140</v>
      </c>
      <c r="E53" s="5">
        <v>45676.471168981479</v>
      </c>
      <c r="F53" s="2" t="s">
        <v>169</v>
      </c>
      <c r="G53" s="2">
        <v>32744612</v>
      </c>
      <c r="H53" s="2">
        <v>0</v>
      </c>
      <c r="I53" s="2">
        <v>0</v>
      </c>
      <c r="J53" s="2">
        <v>1</v>
      </c>
      <c r="K53" s="2" t="s">
        <v>24</v>
      </c>
      <c r="L53" s="4">
        <v>302887.65999999997</v>
      </c>
      <c r="M53" s="2"/>
      <c r="N53" t="s">
        <v>635</v>
      </c>
      <c r="O53" t="s">
        <v>635</v>
      </c>
    </row>
    <row r="54" spans="1:15" ht="105.6" x14ac:dyDescent="0.3">
      <c r="A54" s="2" t="s">
        <v>170</v>
      </c>
      <c r="B54" s="2" t="str">
        <f>HYPERLINK("https://www.dispatch.com/story/sports/pro/2025/01/19/pro-volleyball-indy-ignite-tops-columbus-fury-in-4-sets/77825637007/")</f>
        <v>https://www.dispatch.com/story/sports/pro/2025/01/19/pro-volleyball-indy-ignite-tops-columbus-fury-in-4-sets/77825637007/</v>
      </c>
      <c r="C54" s="2" t="s">
        <v>171</v>
      </c>
      <c r="D54" s="2" t="s">
        <v>26</v>
      </c>
      <c r="E54" s="5">
        <v>45676</v>
      </c>
      <c r="F54" s="2" t="s">
        <v>172</v>
      </c>
      <c r="G54" s="2">
        <v>3297034</v>
      </c>
      <c r="H54" s="2">
        <v>0</v>
      </c>
      <c r="I54" s="2">
        <v>0</v>
      </c>
      <c r="J54" s="2">
        <v>0</v>
      </c>
      <c r="K54" s="2" t="s">
        <v>50</v>
      </c>
      <c r="L54" s="4">
        <v>30497.56</v>
      </c>
      <c r="M54" s="2"/>
      <c r="N54" t="s">
        <v>631</v>
      </c>
      <c r="O54" t="s">
        <v>635</v>
      </c>
    </row>
    <row r="55" spans="1:15" ht="39.6" x14ac:dyDescent="0.3">
      <c r="A55" s="2" t="s">
        <v>170</v>
      </c>
      <c r="B55" s="2" t="str">
        <f>HYPERLINK("https://article.wn.com/view/2025/01/19/Pro_volleyball_Indy_Ignite_tops_Columbus_Fury_in_4_sets/")</f>
        <v>https://article.wn.com/view/2025/01/19/Pro_volleyball_Indy_Ignite_tops_Columbus_Fury_in_4_sets/</v>
      </c>
      <c r="C55" s="2"/>
      <c r="D55" s="2" t="s">
        <v>71</v>
      </c>
      <c r="E55" s="5">
        <v>45676</v>
      </c>
      <c r="F55" s="2"/>
      <c r="G55" s="2">
        <v>220681</v>
      </c>
      <c r="H55" s="2">
        <v>0</v>
      </c>
      <c r="I55" s="2">
        <v>0</v>
      </c>
      <c r="J55" s="2">
        <v>0</v>
      </c>
      <c r="K55" s="2"/>
      <c r="L55" s="4">
        <v>2041.3</v>
      </c>
      <c r="M55" s="2"/>
      <c r="N55" t="s">
        <v>637</v>
      </c>
      <c r="O55" t="s">
        <v>684</v>
      </c>
    </row>
    <row r="56" spans="1:15" ht="105.6" x14ac:dyDescent="0.3">
      <c r="A56" s="2" t="s">
        <v>170</v>
      </c>
      <c r="B56" s="2" t="str">
        <f>HYPERLINK("https://sports.yahoo.com/pro-volleyball-indy-ignite-tops-144125065.html")</f>
        <v>https://sports.yahoo.com/pro-volleyball-indy-ignite-tops-144125065.html</v>
      </c>
      <c r="C56" s="2"/>
      <c r="D56" s="2" t="s">
        <v>57</v>
      </c>
      <c r="E56" s="5">
        <v>45676</v>
      </c>
      <c r="F56" s="2" t="s">
        <v>165</v>
      </c>
      <c r="G56" s="2">
        <v>23223632</v>
      </c>
      <c r="H56" s="2">
        <v>0</v>
      </c>
      <c r="I56" s="2">
        <v>0</v>
      </c>
      <c r="J56" s="2">
        <v>0</v>
      </c>
      <c r="K56" s="2" t="s">
        <v>50</v>
      </c>
      <c r="L56" s="4">
        <v>214818.6</v>
      </c>
      <c r="M56" s="2"/>
      <c r="N56" t="s">
        <v>635</v>
      </c>
      <c r="O56" t="s">
        <v>635</v>
      </c>
    </row>
    <row r="57" spans="1:15" ht="105.6" x14ac:dyDescent="0.3">
      <c r="A57" s="2" t="s">
        <v>170</v>
      </c>
      <c r="B57" s="2" t="str">
        <f>HYPERLINK("https://indy-ignite-pro-volleyball.muckrack.com/link/etbfo6/pro-volleyball-indy-ignite-tops-columbus-fury-in-4-sets")</f>
        <v>https://indy-ignite-pro-volleyball.muckrack.com/link/etbfo6/pro-volleyball-indy-ignite-tops-columbus-fury-in-4-sets</v>
      </c>
      <c r="C57" s="2"/>
      <c r="D57" s="2" t="s">
        <v>26</v>
      </c>
      <c r="E57" s="5">
        <v>45676</v>
      </c>
      <c r="F57" s="2" t="s">
        <v>165</v>
      </c>
      <c r="G57" s="2"/>
      <c r="H57" s="2">
        <v>0</v>
      </c>
      <c r="I57" s="2">
        <v>0</v>
      </c>
      <c r="J57" s="2">
        <v>0</v>
      </c>
      <c r="K57" s="2" t="s">
        <v>50</v>
      </c>
      <c r="L57" s="4">
        <v>30996</v>
      </c>
      <c r="M57" s="2"/>
      <c r="N57" t="s">
        <v>631</v>
      </c>
      <c r="O57" t="s">
        <v>635</v>
      </c>
    </row>
    <row r="58" spans="1:15" ht="39.6" x14ac:dyDescent="0.3">
      <c r="A58" s="2" t="s">
        <v>173</v>
      </c>
      <c r="B58" s="2" t="str">
        <f>HYPERLINK("https://article.wn.com/view/2025/01/19/Columbus_Fury_battles_the_Indy_Ignite_in_the_Pro_Volleyball_/")</f>
        <v>https://article.wn.com/view/2025/01/19/Columbus_Fury_battles_the_Indy_Ignite_in_the_Pro_Volleyball_/</v>
      </c>
      <c r="C58" s="2"/>
      <c r="D58" s="2" t="s">
        <v>71</v>
      </c>
      <c r="E58" s="5">
        <v>45675.916550925933</v>
      </c>
      <c r="F58" s="2"/>
      <c r="G58" s="2">
        <v>220681</v>
      </c>
      <c r="H58" s="2">
        <v>0</v>
      </c>
      <c r="I58" s="2">
        <v>0</v>
      </c>
      <c r="J58" s="2">
        <v>0</v>
      </c>
      <c r="K58" s="2"/>
      <c r="L58" s="4">
        <v>2041.3</v>
      </c>
      <c r="M58" s="2"/>
      <c r="N58" t="s">
        <v>637</v>
      </c>
      <c r="O58" t="s">
        <v>684</v>
      </c>
    </row>
    <row r="59" spans="1:15" ht="52.8" x14ac:dyDescent="0.3">
      <c r="A59" s="2" t="s">
        <v>174</v>
      </c>
      <c r="B59" s="2" t="str">
        <f>HYPERLINK("https://timesng.com/indy-ignite-sweeps-grand/")</f>
        <v>https://timesng.com/indy-ignite-sweeps-grand/</v>
      </c>
      <c r="C59" s="2"/>
      <c r="D59" s="2" t="s">
        <v>175</v>
      </c>
      <c r="E59" s="5">
        <v>45675.784675925926</v>
      </c>
      <c r="F59" s="2" t="s">
        <v>176</v>
      </c>
      <c r="G59" s="2">
        <v>242</v>
      </c>
      <c r="H59" s="2">
        <v>0</v>
      </c>
      <c r="I59" s="2">
        <v>0</v>
      </c>
      <c r="J59" s="2">
        <v>0</v>
      </c>
      <c r="K59" s="2" t="s">
        <v>24</v>
      </c>
      <c r="L59" s="4">
        <v>2.2400000000000002</v>
      </c>
      <c r="M59" s="2"/>
      <c r="N59" t="s">
        <v>637</v>
      </c>
      <c r="O59" t="s">
        <v>684</v>
      </c>
    </row>
    <row r="60" spans="1:15" ht="105.6" x14ac:dyDescent="0.3">
      <c r="A60" s="2" t="s">
        <v>177</v>
      </c>
      <c r="B60" s="2" t="str">
        <f>HYPERLINK("https://www.si.com/onsi/athlete-lifestyle/news/caitlin-clark-taylor-swift-chiefs-playoff-game-live-out-wnba-star-swiftie-dream")</f>
        <v>https://www.si.com/onsi/athlete-lifestyle/news/caitlin-clark-taylor-swift-chiefs-playoff-game-live-out-wnba-star-swiftie-dream</v>
      </c>
      <c r="C60" s="2" t="s">
        <v>139</v>
      </c>
      <c r="D60" s="2" t="s">
        <v>140</v>
      </c>
      <c r="E60" s="5">
        <v>45675.77039351852</v>
      </c>
      <c r="F60" s="2" t="s">
        <v>178</v>
      </c>
      <c r="G60" s="2">
        <v>32744612</v>
      </c>
      <c r="H60" s="2">
        <v>0</v>
      </c>
      <c r="I60" s="2">
        <v>0</v>
      </c>
      <c r="J60" s="2">
        <v>16</v>
      </c>
      <c r="K60" s="2" t="s">
        <v>24</v>
      </c>
      <c r="L60" s="4">
        <v>302887.65999999997</v>
      </c>
      <c r="M60" s="2"/>
      <c r="N60" t="s">
        <v>635</v>
      </c>
      <c r="O60" t="s">
        <v>635</v>
      </c>
    </row>
    <row r="61" spans="1:15" ht="184.8" x14ac:dyDescent="0.3">
      <c r="A61" s="2" t="s">
        <v>179</v>
      </c>
      <c r="B61" s="2" t="str">
        <f>HYPERLINK("https://www.stadiumjourney.com/stadiums/fishers-event-center-indy-ignite")</f>
        <v>https://www.stadiumjourney.com/stadiums/fishers-event-center-indy-ignite</v>
      </c>
      <c r="C61" s="2" t="s">
        <v>180</v>
      </c>
      <c r="D61" s="2" t="s">
        <v>181</v>
      </c>
      <c r="E61" s="5">
        <v>45675.605902777781</v>
      </c>
      <c r="F61" s="2" t="s">
        <v>182</v>
      </c>
      <c r="G61" s="2">
        <v>23954</v>
      </c>
      <c r="H61" s="2">
        <v>0</v>
      </c>
      <c r="I61" s="2">
        <v>0</v>
      </c>
      <c r="J61" s="2">
        <v>19</v>
      </c>
      <c r="K61" s="2" t="s">
        <v>50</v>
      </c>
      <c r="L61" s="4">
        <v>221.57</v>
      </c>
      <c r="M61" s="2"/>
      <c r="N61" t="s">
        <v>637</v>
      </c>
      <c r="O61" t="s">
        <v>684</v>
      </c>
    </row>
    <row r="62" spans="1:15" ht="39.6" x14ac:dyDescent="0.3">
      <c r="A62" s="2" t="s">
        <v>183</v>
      </c>
      <c r="B62" s="2" t="str">
        <f>HYPERLINK("https://indy-ignite-pro-volleyball.muckrack.com/link/et7Z6e/on-the-air")</f>
        <v>https://indy-ignite-pro-volleyball.muckrack.com/link/et7Z6e/on-the-air</v>
      </c>
      <c r="C62" s="2"/>
      <c r="D62" s="2" t="s">
        <v>184</v>
      </c>
      <c r="E62" s="5">
        <v>45675.291666666657</v>
      </c>
      <c r="F62" s="2" t="s">
        <v>185</v>
      </c>
      <c r="G62" s="2"/>
      <c r="H62" s="2">
        <v>0</v>
      </c>
      <c r="I62" s="2">
        <v>0</v>
      </c>
      <c r="J62" s="2">
        <v>0</v>
      </c>
      <c r="K62" s="2" t="s">
        <v>24</v>
      </c>
      <c r="L62" s="4">
        <v>25715</v>
      </c>
      <c r="M62" s="2"/>
      <c r="N62" t="s">
        <v>645</v>
      </c>
      <c r="O62" t="s">
        <v>635</v>
      </c>
    </row>
    <row r="63" spans="1:15" ht="66" x14ac:dyDescent="0.3">
      <c r="A63" s="2" t="s">
        <v>186</v>
      </c>
      <c r="B63" s="2" t="str">
        <f>HYPERLINK("https://indy-ignite-pro-volleyball.muckrack.com/link/et7Nl9/team-in-awe-of-what-indiana-has-brought-to-arena")</f>
        <v>https://indy-ignite-pro-volleyball.muckrack.com/link/et7Nl9/team-in-awe-of-what-indiana-has-brought-to-arena</v>
      </c>
      <c r="C63" s="2" t="s">
        <v>187</v>
      </c>
      <c r="D63" s="2" t="s">
        <v>30</v>
      </c>
      <c r="E63" s="5">
        <v>45675.291666666657</v>
      </c>
      <c r="F63" s="2" t="s">
        <v>188</v>
      </c>
      <c r="G63" s="2"/>
      <c r="H63" s="2">
        <v>0</v>
      </c>
      <c r="I63" s="2">
        <v>0</v>
      </c>
      <c r="J63" s="2">
        <v>0</v>
      </c>
      <c r="K63" s="2" t="s">
        <v>24</v>
      </c>
      <c r="L63" s="4">
        <v>21007</v>
      </c>
      <c r="M63" s="2"/>
      <c r="N63" t="s">
        <v>510</v>
      </c>
      <c r="O63" t="s">
        <v>683</v>
      </c>
    </row>
    <row r="64" spans="1:15" ht="39.6" x14ac:dyDescent="0.3">
      <c r="A64" s="2" t="s">
        <v>189</v>
      </c>
      <c r="B64" s="2" t="str">
        <f>HYPERLINK("https://indy-ignite-pro-volleyball.muckrack.com/link/e0CyWW/top-tv")</f>
        <v>https://indy-ignite-pro-volleyball.muckrack.com/link/e0CyWW/top-tv</v>
      </c>
      <c r="C64" s="2"/>
      <c r="D64" s="2" t="s">
        <v>190</v>
      </c>
      <c r="E64" s="5">
        <v>45675.291666666657</v>
      </c>
      <c r="F64" s="2" t="s">
        <v>185</v>
      </c>
      <c r="G64" s="2"/>
      <c r="H64" s="2">
        <v>0</v>
      </c>
      <c r="I64" s="2">
        <v>0</v>
      </c>
      <c r="J64" s="2">
        <v>0</v>
      </c>
      <c r="K64" s="2" t="s">
        <v>24</v>
      </c>
      <c r="L64" s="4">
        <v>12700</v>
      </c>
      <c r="M64" s="2"/>
      <c r="N64" t="s">
        <v>646</v>
      </c>
      <c r="O64" t="s">
        <v>635</v>
      </c>
    </row>
    <row r="65" spans="1:15" ht="105.6" x14ac:dyDescent="0.3">
      <c r="A65" s="2" t="s">
        <v>173</v>
      </c>
      <c r="B65" s="2" t="str">
        <f>HYPERLINK("https://www.dispatch.com/picture-gallery/sports/2025/01/18/columbus-fury-indy-ignite-pro-volleyball-federation-photos/77811744007/")</f>
        <v>https://www.dispatch.com/picture-gallery/sports/2025/01/18/columbus-fury-indy-ignite-pro-volleyball-federation-photos/77811744007/</v>
      </c>
      <c r="C65" s="2"/>
      <c r="D65" s="2" t="s">
        <v>26</v>
      </c>
      <c r="E65" s="5">
        <v>45675</v>
      </c>
      <c r="F65" s="2" t="s">
        <v>191</v>
      </c>
      <c r="G65" s="2">
        <v>3297034</v>
      </c>
      <c r="H65" s="2">
        <v>0</v>
      </c>
      <c r="I65" s="2">
        <v>0</v>
      </c>
      <c r="J65" s="2">
        <v>0</v>
      </c>
      <c r="K65" s="2" t="s">
        <v>50</v>
      </c>
      <c r="L65" s="4">
        <v>30497.56</v>
      </c>
      <c r="M65" s="2"/>
      <c r="N65" t="s">
        <v>631</v>
      </c>
      <c r="O65" t="s">
        <v>635</v>
      </c>
    </row>
    <row r="66" spans="1:15" ht="79.2" x14ac:dyDescent="0.3">
      <c r="A66" s="2" t="s">
        <v>192</v>
      </c>
      <c r="B66" s="2" t="str">
        <f>HYPERLINK("https://www.irishstar.com/sport/other-sports/caitlin-clark-unrivaled-wnba-boyfriend-34505395")</f>
        <v>https://www.irishstar.com/sport/other-sports/caitlin-clark-unrivaled-wnba-boyfriend-34505395</v>
      </c>
      <c r="C66" s="2" t="s">
        <v>193</v>
      </c>
      <c r="D66" s="2" t="s">
        <v>194</v>
      </c>
      <c r="E66" s="5">
        <v>45674.915752314817</v>
      </c>
      <c r="F66" s="2" t="s">
        <v>195</v>
      </c>
      <c r="G66" s="2">
        <v>9294574</v>
      </c>
      <c r="H66" s="2">
        <v>0</v>
      </c>
      <c r="I66" s="2">
        <v>0</v>
      </c>
      <c r="J66" s="2">
        <v>1</v>
      </c>
      <c r="K66" s="2" t="s">
        <v>24</v>
      </c>
      <c r="L66" s="4">
        <v>85974.81</v>
      </c>
      <c r="M66" s="2"/>
      <c r="N66" t="s">
        <v>635</v>
      </c>
      <c r="O66" t="s">
        <v>635</v>
      </c>
    </row>
    <row r="67" spans="1:15" ht="92.4" x14ac:dyDescent="0.3">
      <c r="A67" s="2" t="s">
        <v>196</v>
      </c>
      <c r="B67" s="2" t="str">
        <f>HYPERLINK("https://newsminimalist.com/articles/caitlin-clark-and-connor-mccaffery-support-womens-sports-at-indy-ignite-volleyball-game-06a86184")</f>
        <v>https://newsminimalist.com/articles/caitlin-clark-and-connor-mccaffery-support-womens-sports-at-indy-ignite-volleyball-game-06a86184</v>
      </c>
      <c r="C67" s="2"/>
      <c r="D67" s="2" t="s">
        <v>197</v>
      </c>
      <c r="E67" s="5">
        <v>45674.756666666668</v>
      </c>
      <c r="F67" s="2" t="s">
        <v>198</v>
      </c>
      <c r="G67" s="2">
        <v>42004</v>
      </c>
      <c r="H67" s="2">
        <v>0</v>
      </c>
      <c r="I67" s="2">
        <v>0</v>
      </c>
      <c r="J67" s="2">
        <v>0</v>
      </c>
      <c r="K67" s="2" t="s">
        <v>24</v>
      </c>
      <c r="L67" s="4">
        <v>388.54</v>
      </c>
      <c r="M67" s="2"/>
      <c r="N67" t="s">
        <v>637</v>
      </c>
      <c r="O67" t="s">
        <v>684</v>
      </c>
    </row>
    <row r="68" spans="1:15" ht="105.6" x14ac:dyDescent="0.3">
      <c r="A68" s="2" t="s">
        <v>199</v>
      </c>
      <c r="B68" s="2" t="str">
        <f>HYPERLINK("https://expressdigest.com/caitlin-clark-and-connor-mccaffery-enjoy-volleyball-date-night-in-indiana/")</f>
        <v>https://expressdigest.com/caitlin-clark-and-connor-mccaffery-enjoy-volleyball-date-night-in-indiana/</v>
      </c>
      <c r="C68" s="2" t="s">
        <v>133</v>
      </c>
      <c r="D68" s="2" t="s">
        <v>134</v>
      </c>
      <c r="E68" s="5">
        <v>45674.682708333326</v>
      </c>
      <c r="F68" s="2" t="s">
        <v>200</v>
      </c>
      <c r="G68" s="2">
        <v>29283</v>
      </c>
      <c r="H68" s="2">
        <v>0</v>
      </c>
      <c r="I68" s="2">
        <v>0</v>
      </c>
      <c r="J68" s="2">
        <v>0</v>
      </c>
      <c r="K68" s="2" t="s">
        <v>24</v>
      </c>
      <c r="L68" s="4">
        <v>270.87</v>
      </c>
      <c r="M68" s="2"/>
      <c r="N68" t="s">
        <v>637</v>
      </c>
      <c r="O68" t="s">
        <v>684</v>
      </c>
    </row>
    <row r="69" spans="1:15" ht="66" x14ac:dyDescent="0.3">
      <c r="A69" s="2" t="s">
        <v>201</v>
      </c>
      <c r="B69" s="2" t="str">
        <f>HYPERLINK("https://newsminimalist.com/articles/caitlin-clark-and-connor-mccaffery-support-indy-ignite-in-volleyball-game-in-indiana-008f673c")</f>
        <v>https://newsminimalist.com/articles/caitlin-clark-and-connor-mccaffery-support-indy-ignite-in-volleyball-game-in-indiana-008f673c</v>
      </c>
      <c r="C69" s="2"/>
      <c r="D69" s="2" t="s">
        <v>197</v>
      </c>
      <c r="E69" s="5">
        <v>45674.674814814818</v>
      </c>
      <c r="F69" s="2" t="s">
        <v>202</v>
      </c>
      <c r="G69" s="2">
        <v>42004</v>
      </c>
      <c r="H69" s="2">
        <v>0</v>
      </c>
      <c r="I69" s="2">
        <v>0</v>
      </c>
      <c r="J69" s="2">
        <v>0</v>
      </c>
      <c r="K69" s="2" t="s">
        <v>24</v>
      </c>
      <c r="L69" s="4">
        <v>388.54</v>
      </c>
      <c r="M69" s="2"/>
      <c r="N69" t="s">
        <v>637</v>
      </c>
      <c r="O69" t="s">
        <v>684</v>
      </c>
    </row>
    <row r="70" spans="1:15" ht="184.8" x14ac:dyDescent="0.3">
      <c r="A70" s="2" t="s">
        <v>203</v>
      </c>
      <c r="B70" s="2" t="str">
        <f>HYPERLINK("https://whatsnew2day.com/caitlin-clark-date-volleyball-indiana-htmlns_mchannelrssns_campaign1490ito1490/")</f>
        <v>https://whatsnew2day.com/caitlin-clark-date-volleyball-indiana-htmlns_mchannelrssns_campaign1490ito1490/</v>
      </c>
      <c r="C70" s="2"/>
      <c r="D70" s="2" t="s">
        <v>204</v>
      </c>
      <c r="E70" s="5">
        <v>45674.662152777782</v>
      </c>
      <c r="F70" s="2" t="s">
        <v>205</v>
      </c>
      <c r="G70" s="2">
        <v>30893</v>
      </c>
      <c r="H70" s="2">
        <v>0</v>
      </c>
      <c r="I70" s="2">
        <v>0</v>
      </c>
      <c r="J70" s="2">
        <v>0</v>
      </c>
      <c r="K70" s="2" t="s">
        <v>24</v>
      </c>
      <c r="L70" s="4">
        <v>285.76</v>
      </c>
      <c r="M70" s="2"/>
      <c r="N70" t="s">
        <v>637</v>
      </c>
      <c r="O70" t="s">
        <v>684</v>
      </c>
    </row>
    <row r="71" spans="1:15" ht="79.2" x14ac:dyDescent="0.3">
      <c r="A71" s="2" t="s">
        <v>199</v>
      </c>
      <c r="B71" s="2" t="str">
        <f>HYPERLINK("https://mahalsa.co.uk/caitlin-clark-and-connor-mccaffery-enjoy-volleyball-date-night-in-indiana/")</f>
        <v>https://mahalsa.co.uk/caitlin-clark-and-connor-mccaffery-enjoy-volleyball-date-night-in-indiana/</v>
      </c>
      <c r="C71" s="2"/>
      <c r="D71" s="2" t="s">
        <v>206</v>
      </c>
      <c r="E71" s="5">
        <v>45674.656331018523</v>
      </c>
      <c r="F71" s="2" t="s">
        <v>207</v>
      </c>
      <c r="G71" s="2">
        <v>2178</v>
      </c>
      <c r="H71" s="2">
        <v>0</v>
      </c>
      <c r="I71" s="2">
        <v>0</v>
      </c>
      <c r="J71" s="2">
        <v>0</v>
      </c>
      <c r="K71" s="2" t="s">
        <v>24</v>
      </c>
      <c r="L71" s="4">
        <v>20.149999999999999</v>
      </c>
      <c r="M71" s="2"/>
      <c r="N71" t="s">
        <v>637</v>
      </c>
      <c r="O71" t="s">
        <v>684</v>
      </c>
    </row>
    <row r="72" spans="1:15" ht="145.19999999999999" x14ac:dyDescent="0.3">
      <c r="A72" s="2" t="s">
        <v>208</v>
      </c>
      <c r="B72" s="2" t="str">
        <f>HYPERLINK("https://www.marca.com/en/basketball/wnba/indiana-fever/2025/01/17/678aa311e2704e965c8b45ba.html")</f>
        <v>https://www.marca.com/en/basketball/wnba/indiana-fever/2025/01/17/678aa311e2704e965c8b45ba.html</v>
      </c>
      <c r="C72" s="2"/>
      <c r="D72" s="2" t="s">
        <v>127</v>
      </c>
      <c r="E72" s="5">
        <v>45674.636840277781</v>
      </c>
      <c r="F72" s="2" t="s">
        <v>209</v>
      </c>
      <c r="G72" s="2">
        <v>41703082</v>
      </c>
      <c r="H72" s="2">
        <v>0</v>
      </c>
      <c r="I72" s="2">
        <v>0</v>
      </c>
      <c r="J72" s="2">
        <v>0</v>
      </c>
      <c r="K72" s="2" t="s">
        <v>24</v>
      </c>
      <c r="L72" s="4">
        <v>385753.51</v>
      </c>
      <c r="M72" s="2"/>
      <c r="N72" t="s">
        <v>642</v>
      </c>
      <c r="O72" t="s">
        <v>684</v>
      </c>
    </row>
    <row r="73" spans="1:15" ht="105.6" x14ac:dyDescent="0.3">
      <c r="A73" s="2" t="s">
        <v>210</v>
      </c>
      <c r="B73" s="2" t="str">
        <f>HYPERLINK("https://www.si.com/onsi/athlete-lifestyle/news/caitlin-clark-connor-mccaffery-date-night-indy-ignite-team-photo-surprise")</f>
        <v>https://www.si.com/onsi/athlete-lifestyle/news/caitlin-clark-connor-mccaffery-date-night-indy-ignite-team-photo-surprise</v>
      </c>
      <c r="C73" s="2" t="s">
        <v>139</v>
      </c>
      <c r="D73" s="2" t="s">
        <v>140</v>
      </c>
      <c r="E73" s="5">
        <v>45674.631909722222</v>
      </c>
      <c r="F73" s="2" t="s">
        <v>211</v>
      </c>
      <c r="G73" s="2">
        <v>32744612</v>
      </c>
      <c r="H73" s="2">
        <v>0</v>
      </c>
      <c r="I73" s="2">
        <v>0</v>
      </c>
      <c r="J73" s="2">
        <v>1</v>
      </c>
      <c r="K73" s="2" t="s">
        <v>24</v>
      </c>
      <c r="L73" s="4">
        <v>302887.65999999997</v>
      </c>
      <c r="M73" s="2"/>
      <c r="N73" t="s">
        <v>635</v>
      </c>
      <c r="O73" t="s">
        <v>635</v>
      </c>
    </row>
    <row r="74" spans="1:15" ht="52.8" x14ac:dyDescent="0.3">
      <c r="A74" s="2" t="s">
        <v>212</v>
      </c>
      <c r="B74" s="2" t="str">
        <f>HYPERLINK("https://www.marca.com/en/basketball/wnba/indiana-fever/2025/01/17/678aa30646163fff048b45ca.html")</f>
        <v>https://www.marca.com/en/basketball/wnba/indiana-fever/2025/01/17/678aa30646163fff048b45ca.html</v>
      </c>
      <c r="C74" s="2"/>
      <c r="D74" s="2" t="s">
        <v>127</v>
      </c>
      <c r="E74" s="5">
        <v>45674.566840277781</v>
      </c>
      <c r="F74" s="2" t="s">
        <v>213</v>
      </c>
      <c r="G74" s="2">
        <v>41703082</v>
      </c>
      <c r="H74" s="2">
        <v>0</v>
      </c>
      <c r="I74" s="2">
        <v>0</v>
      </c>
      <c r="J74" s="2">
        <v>0</v>
      </c>
      <c r="K74" s="2" t="s">
        <v>24</v>
      </c>
      <c r="L74" s="4">
        <v>385753.51</v>
      </c>
      <c r="M74" s="2"/>
      <c r="N74" t="s">
        <v>642</v>
      </c>
      <c r="O74" t="s">
        <v>684</v>
      </c>
    </row>
    <row r="75" spans="1:15" ht="92.4" x14ac:dyDescent="0.3">
      <c r="A75" s="2" t="s">
        <v>214</v>
      </c>
      <c r="B75" s="2" t="str">
        <f>HYPERLINK("https://thespun.com/wnba/caitlin-clark-boyfriend-enjoy-date-night-at-volleyball-match")</f>
        <v>https://thespun.com/wnba/caitlin-clark-boyfriend-enjoy-date-night-at-volleyball-match</v>
      </c>
      <c r="C75" s="2" t="s">
        <v>215</v>
      </c>
      <c r="D75" s="2" t="s">
        <v>216</v>
      </c>
      <c r="E75" s="5">
        <v>45674.556793981479</v>
      </c>
      <c r="F75" s="2" t="s">
        <v>217</v>
      </c>
      <c r="G75" s="2">
        <v>5036100</v>
      </c>
      <c r="H75" s="2">
        <v>0</v>
      </c>
      <c r="I75" s="2">
        <v>0</v>
      </c>
      <c r="J75" s="2">
        <v>0</v>
      </c>
      <c r="K75" s="2" t="s">
        <v>24</v>
      </c>
      <c r="L75" s="4">
        <v>46583.92</v>
      </c>
      <c r="M75" s="2"/>
      <c r="N75" t="s">
        <v>635</v>
      </c>
      <c r="O75" t="s">
        <v>635</v>
      </c>
    </row>
    <row r="76" spans="1:15" ht="92.4" x14ac:dyDescent="0.3">
      <c r="A76" s="2" t="s">
        <v>218</v>
      </c>
      <c r="B76" s="2" t="str">
        <f>HYPERLINK("https://newsminimalist.com/articles/caitlin-clark-enjoys-date-night-with-boyfriend-at-volleyball-match-4b6299b7")</f>
        <v>https://newsminimalist.com/articles/caitlin-clark-enjoys-date-night-with-boyfriend-at-volleyball-match-4b6299b7</v>
      </c>
      <c r="C76" s="2"/>
      <c r="D76" s="2" t="s">
        <v>197</v>
      </c>
      <c r="E76" s="5">
        <v>45674.546898148154</v>
      </c>
      <c r="F76" s="2" t="s">
        <v>219</v>
      </c>
      <c r="G76" s="2">
        <v>42004</v>
      </c>
      <c r="H76" s="2">
        <v>0</v>
      </c>
      <c r="I76" s="2">
        <v>0</v>
      </c>
      <c r="J76" s="2">
        <v>0</v>
      </c>
      <c r="K76" s="2" t="s">
        <v>24</v>
      </c>
      <c r="L76" s="4">
        <v>388.54</v>
      </c>
      <c r="M76" s="2"/>
      <c r="N76" t="s">
        <v>637</v>
      </c>
      <c r="O76" t="s">
        <v>684</v>
      </c>
    </row>
    <row r="77" spans="1:15" ht="79.2" x14ac:dyDescent="0.3">
      <c r="A77" s="2" t="s">
        <v>220</v>
      </c>
      <c r="B77" s="2" t="str">
        <f>HYPERLINK("https://nybreaking.com/caitlin-clark-and-connor-mccaffery-enjoy-volleyball-date-night-in-indiana/")</f>
        <v>https://nybreaking.com/caitlin-clark-and-connor-mccaffery-enjoy-volleyball-date-night-in-indiana/</v>
      </c>
      <c r="C77" s="2"/>
      <c r="D77" s="2" t="s">
        <v>130</v>
      </c>
      <c r="E77" s="5">
        <v>45674.546064814807</v>
      </c>
      <c r="F77" s="2" t="s">
        <v>221</v>
      </c>
      <c r="G77" s="2">
        <v>23397</v>
      </c>
      <c r="H77" s="2">
        <v>0</v>
      </c>
      <c r="I77" s="2">
        <v>0</v>
      </c>
      <c r="J77" s="2">
        <v>0</v>
      </c>
      <c r="K77" s="2" t="s">
        <v>24</v>
      </c>
      <c r="L77" s="4">
        <v>216.42</v>
      </c>
      <c r="M77" s="2"/>
      <c r="N77" t="s">
        <v>643</v>
      </c>
      <c r="O77" t="s">
        <v>635</v>
      </c>
    </row>
    <row r="78" spans="1:15" ht="92.4" x14ac:dyDescent="0.3">
      <c r="A78" s="2" t="s">
        <v>222</v>
      </c>
      <c r="B78" s="2" t="str">
        <f>HYPERLINK("https://www.oursportscentral.com/services/releases/ignite-rise-to-occasion-sweep-grand-rapids/n-6182354")</f>
        <v>https://www.oursportscentral.com/services/releases/ignite-rise-to-occasion-sweep-grand-rapids/n-6182354</v>
      </c>
      <c r="C78" s="2"/>
      <c r="D78" s="2" t="s">
        <v>49</v>
      </c>
      <c r="E78" s="5">
        <v>45674.543055555558</v>
      </c>
      <c r="F78" s="2" t="s">
        <v>223</v>
      </c>
      <c r="G78" s="2">
        <v>62699</v>
      </c>
      <c r="H78" s="2">
        <v>0</v>
      </c>
      <c r="I78" s="2">
        <v>0</v>
      </c>
      <c r="J78" s="2">
        <v>0</v>
      </c>
      <c r="K78" s="2" t="s">
        <v>24</v>
      </c>
      <c r="L78" s="4">
        <v>579.97</v>
      </c>
      <c r="M78" s="2"/>
      <c r="N78" t="s">
        <v>635</v>
      </c>
      <c r="O78" t="s">
        <v>635</v>
      </c>
    </row>
    <row r="79" spans="1:15" ht="92.4" x14ac:dyDescent="0.3">
      <c r="A79" s="2" t="s">
        <v>225</v>
      </c>
      <c r="B79" s="2" t="str">
        <f>HYPERLINK("https://www.oursportscentral.com/services/releases/pvf-all-star-match-tickets-on-sale-logo-revealed/n-6182307")</f>
        <v>https://www.oursportscentral.com/services/releases/pvf-all-star-match-tickets-on-sale-logo-revealed/n-6182307</v>
      </c>
      <c r="C79" s="2"/>
      <c r="D79" s="2" t="s">
        <v>49</v>
      </c>
      <c r="E79" s="5">
        <v>45674.519444444442</v>
      </c>
      <c r="F79" s="2" t="s">
        <v>226</v>
      </c>
      <c r="G79" s="2">
        <v>62699</v>
      </c>
      <c r="H79" s="2">
        <v>0</v>
      </c>
      <c r="I79" s="2">
        <v>0</v>
      </c>
      <c r="J79" s="2">
        <v>0</v>
      </c>
      <c r="K79" s="2" t="s">
        <v>24</v>
      </c>
      <c r="L79" s="4">
        <v>579.97</v>
      </c>
      <c r="M79" s="2"/>
      <c r="N79" t="s">
        <v>635</v>
      </c>
      <c r="O79" t="s">
        <v>635</v>
      </c>
    </row>
    <row r="80" spans="1:15" ht="79.2" x14ac:dyDescent="0.3">
      <c r="A80" s="2" t="s">
        <v>227</v>
      </c>
      <c r="B80" s="2" t="str">
        <f>HYPERLINK("https://www.si.com/onsi/womens-fastbreak/news/indy-ignite-volleyball-players-discuss-pretty-sick-caitlin-clark-support-at-game-01jhtfszfece")</f>
        <v>https://www.si.com/onsi/womens-fastbreak/news/indy-ignite-volleyball-players-discuss-pretty-sick-caitlin-clark-support-at-game-01jhtfszfece</v>
      </c>
      <c r="C80" s="2" t="s">
        <v>228</v>
      </c>
      <c r="D80" s="2" t="s">
        <v>140</v>
      </c>
      <c r="E80" s="5">
        <v>45674.47457175926</v>
      </c>
      <c r="F80" s="2" t="s">
        <v>229</v>
      </c>
      <c r="G80" s="2">
        <v>32744612</v>
      </c>
      <c r="H80" s="2">
        <v>0</v>
      </c>
      <c r="I80" s="2">
        <v>0</v>
      </c>
      <c r="J80" s="2">
        <v>311</v>
      </c>
      <c r="K80" s="2" t="s">
        <v>24</v>
      </c>
      <c r="L80" s="4">
        <v>302887.65999999997</v>
      </c>
      <c r="M80" s="2"/>
      <c r="N80" t="s">
        <v>635</v>
      </c>
      <c r="O80" t="s">
        <v>635</v>
      </c>
    </row>
    <row r="81" spans="1:15" ht="356.4" x14ac:dyDescent="0.3">
      <c r="A81" s="2" t="s">
        <v>230</v>
      </c>
      <c r="B81" s="2" t="str">
        <f>HYPERLINK("http://www.chatsports.com/rumors-humor/a/source/caitlin-clark-enjoys-date-night-w-boyfriend-at-volleyball-match-18095917")</f>
        <v>http://www.chatsports.com/rumors-humor/a/source/caitlin-clark-enjoys-date-night-w-boyfriend-at-volleyball-match-18095917</v>
      </c>
      <c r="C81" s="2"/>
      <c r="D81" s="2" t="s">
        <v>231</v>
      </c>
      <c r="E81" s="5">
        <v>45674.447581018518</v>
      </c>
      <c r="F81" s="2" t="s">
        <v>232</v>
      </c>
      <c r="G81" s="2">
        <v>85599</v>
      </c>
      <c r="H81" s="2">
        <v>0</v>
      </c>
      <c r="I81" s="2">
        <v>0</v>
      </c>
      <c r="J81" s="2">
        <v>0</v>
      </c>
      <c r="K81" s="2" t="s">
        <v>24</v>
      </c>
      <c r="L81" s="4">
        <v>791.79</v>
      </c>
      <c r="M81" s="2"/>
      <c r="N81" t="s">
        <v>635</v>
      </c>
      <c r="O81" t="s">
        <v>635</v>
      </c>
    </row>
    <row r="82" spans="1:15" ht="39.6" x14ac:dyDescent="0.3">
      <c r="A82" s="2" t="s">
        <v>230</v>
      </c>
      <c r="B82" s="2" t="str">
        <f>HYPERLINK("https://www.tmz.com/2025/01/17/caitlin-clark-date-night-volleyball/")</f>
        <v>https://www.tmz.com/2025/01/17/caitlin-clark-date-night-volleyball/</v>
      </c>
      <c r="C82" s="2"/>
      <c r="D82" s="2" t="s">
        <v>233</v>
      </c>
      <c r="E82" s="5">
        <v>45674.441493055558</v>
      </c>
      <c r="F82" s="2" t="s">
        <v>234</v>
      </c>
      <c r="G82" s="2">
        <v>14086769</v>
      </c>
      <c r="H82" s="2">
        <v>0</v>
      </c>
      <c r="I82" s="2">
        <v>0</v>
      </c>
      <c r="J82" s="2">
        <v>29</v>
      </c>
      <c r="K82" s="2" t="s">
        <v>24</v>
      </c>
      <c r="L82" s="4">
        <v>130302.61</v>
      </c>
      <c r="M82" s="2"/>
      <c r="N82" t="s">
        <v>635</v>
      </c>
      <c r="O82" t="s">
        <v>635</v>
      </c>
    </row>
    <row r="83" spans="1:15" ht="52.8" x14ac:dyDescent="0.3">
      <c r="A83" s="2" t="s">
        <v>235</v>
      </c>
      <c r="B83" s="2" t="str">
        <f>HYPERLINK("https://www.wishtv.com/news/local-news/caitlin-clark-indy-ignite/")</f>
        <v>https://www.wishtv.com/news/local-news/caitlin-clark-indy-ignite/</v>
      </c>
      <c r="C83" s="2" t="s">
        <v>236</v>
      </c>
      <c r="D83" s="2" t="s">
        <v>237</v>
      </c>
      <c r="E83" s="5">
        <v>45674.410694444443</v>
      </c>
      <c r="F83" s="2" t="s">
        <v>238</v>
      </c>
      <c r="G83" s="2">
        <v>942280</v>
      </c>
      <c r="H83" s="2">
        <v>0</v>
      </c>
      <c r="I83" s="2">
        <v>0</v>
      </c>
      <c r="J83" s="2">
        <v>238</v>
      </c>
      <c r="K83" s="2" t="s">
        <v>24</v>
      </c>
      <c r="L83" s="4">
        <v>8716.09</v>
      </c>
      <c r="M83" s="2"/>
      <c r="N83" t="s">
        <v>510</v>
      </c>
      <c r="O83" t="s">
        <v>683</v>
      </c>
    </row>
    <row r="84" spans="1:15" ht="52.8" x14ac:dyDescent="0.3">
      <c r="A84" s="2" t="s">
        <v>239</v>
      </c>
      <c r="B84" s="2" t="str">
        <f>HYPERLINK("https://www.kentucky.com/sports/article298699358.html")</f>
        <v>https://www.kentucky.com/sports/article298699358.html</v>
      </c>
      <c r="C84" s="2" t="s">
        <v>240</v>
      </c>
      <c r="D84" s="2" t="s">
        <v>241</v>
      </c>
      <c r="E84" s="5">
        <v>45674.376597222217</v>
      </c>
      <c r="F84" s="2" t="s">
        <v>242</v>
      </c>
      <c r="G84" s="2">
        <v>544524</v>
      </c>
      <c r="H84" s="2">
        <v>0</v>
      </c>
      <c r="I84" s="2">
        <v>0</v>
      </c>
      <c r="J84" s="2">
        <v>0</v>
      </c>
      <c r="K84" s="2" t="s">
        <v>24</v>
      </c>
      <c r="L84" s="4">
        <v>5036.8500000000004</v>
      </c>
      <c r="M84" s="2"/>
      <c r="N84" t="s">
        <v>647</v>
      </c>
      <c r="O84" t="s">
        <v>635</v>
      </c>
    </row>
    <row r="85" spans="1:15" ht="52.8" x14ac:dyDescent="0.3">
      <c r="A85" s="2" t="s">
        <v>239</v>
      </c>
      <c r="B85" s="2" t="str">
        <f>HYPERLINK("https://www.newsobserver.com/sports/article298699358.html")</f>
        <v>https://www.newsobserver.com/sports/article298699358.html</v>
      </c>
      <c r="C85" s="2"/>
      <c r="D85" s="2" t="s">
        <v>243</v>
      </c>
      <c r="E85" s="5">
        <v>45674.375717592593</v>
      </c>
      <c r="F85" s="2" t="s">
        <v>242</v>
      </c>
      <c r="G85" s="2">
        <v>1613601</v>
      </c>
      <c r="H85" s="2">
        <v>0</v>
      </c>
      <c r="I85" s="2">
        <v>0</v>
      </c>
      <c r="J85" s="2">
        <v>0</v>
      </c>
      <c r="K85" s="2" t="s">
        <v>24</v>
      </c>
      <c r="L85" s="4">
        <v>14925.81</v>
      </c>
      <c r="M85" s="2"/>
      <c r="N85" t="s">
        <v>648</v>
      </c>
      <c r="O85" t="s">
        <v>635</v>
      </c>
    </row>
    <row r="86" spans="1:15" ht="52.8" x14ac:dyDescent="0.3">
      <c r="A86" s="2" t="s">
        <v>239</v>
      </c>
      <c r="B86" s="2" t="str">
        <f>HYPERLINK("https://www.fresnobee.com/sports/article298699358.html")</f>
        <v>https://www.fresnobee.com/sports/article298699358.html</v>
      </c>
      <c r="C86" s="2" t="s">
        <v>240</v>
      </c>
      <c r="D86" s="2" t="s">
        <v>244</v>
      </c>
      <c r="E86" s="5">
        <v>45674.375428240739</v>
      </c>
      <c r="F86" s="2" t="s">
        <v>242</v>
      </c>
      <c r="G86" s="2">
        <v>392116</v>
      </c>
      <c r="H86" s="2">
        <v>0</v>
      </c>
      <c r="I86" s="2">
        <v>0</v>
      </c>
      <c r="J86" s="2">
        <v>0</v>
      </c>
      <c r="K86" s="2" t="s">
        <v>24</v>
      </c>
      <c r="L86" s="4">
        <v>3627.07</v>
      </c>
      <c r="M86" s="2"/>
      <c r="N86" t="s">
        <v>649</v>
      </c>
      <c r="O86" t="s">
        <v>635</v>
      </c>
    </row>
    <row r="87" spans="1:15" ht="52.8" x14ac:dyDescent="0.3">
      <c r="A87" s="2" t="s">
        <v>239</v>
      </c>
      <c r="B87" s="2" t="str">
        <f>HYPERLINK("https://www.macon.com/sports/article298699358.html")</f>
        <v>https://www.macon.com/sports/article298699358.html</v>
      </c>
      <c r="C87" s="2" t="s">
        <v>240</v>
      </c>
      <c r="D87" s="2" t="s">
        <v>245</v>
      </c>
      <c r="E87" s="5">
        <v>45674.374907407408</v>
      </c>
      <c r="F87" s="2" t="s">
        <v>242</v>
      </c>
      <c r="G87" s="2">
        <v>191740</v>
      </c>
      <c r="H87" s="2">
        <v>0</v>
      </c>
      <c r="I87" s="2">
        <v>0</v>
      </c>
      <c r="J87" s="2">
        <v>0</v>
      </c>
      <c r="K87" s="2" t="s">
        <v>24</v>
      </c>
      <c r="L87" s="4">
        <v>1773.6</v>
      </c>
      <c r="M87" s="2"/>
      <c r="N87" t="s">
        <v>650</v>
      </c>
      <c r="O87" t="s">
        <v>635</v>
      </c>
    </row>
    <row r="88" spans="1:15" ht="52.8" x14ac:dyDescent="0.3">
      <c r="A88" s="2" t="s">
        <v>239</v>
      </c>
      <c r="B88" s="2" t="str">
        <f>HYPERLINK("https://www.bnd.com/sports/article298699358.html")</f>
        <v>https://www.bnd.com/sports/article298699358.html</v>
      </c>
      <c r="C88" s="2" t="s">
        <v>240</v>
      </c>
      <c r="D88" s="2" t="s">
        <v>246</v>
      </c>
      <c r="E88" s="5">
        <v>45674.374537037038</v>
      </c>
      <c r="F88" s="2" t="s">
        <v>242</v>
      </c>
      <c r="G88" s="2">
        <v>183251</v>
      </c>
      <c r="H88" s="2">
        <v>0</v>
      </c>
      <c r="I88" s="2">
        <v>0</v>
      </c>
      <c r="J88" s="2">
        <v>0</v>
      </c>
      <c r="K88" s="2" t="s">
        <v>24</v>
      </c>
      <c r="L88" s="4">
        <v>1695.07</v>
      </c>
      <c r="M88" s="2"/>
      <c r="N88" t="s">
        <v>651</v>
      </c>
      <c r="O88" t="s">
        <v>635</v>
      </c>
    </row>
    <row r="89" spans="1:15" ht="52.8" x14ac:dyDescent="0.3">
      <c r="A89" s="2" t="s">
        <v>239</v>
      </c>
      <c r="B89" s="2" t="str">
        <f>HYPERLINK("https://www.charlotteobserver.com/sports/article298699358.html")</f>
        <v>https://www.charlotteobserver.com/sports/article298699358.html</v>
      </c>
      <c r="C89" s="2"/>
      <c r="D89" s="2" t="s">
        <v>247</v>
      </c>
      <c r="E89" s="5">
        <v>45674.37427083333</v>
      </c>
      <c r="F89" s="2" t="s">
        <v>242</v>
      </c>
      <c r="G89" s="2">
        <v>1511858</v>
      </c>
      <c r="H89" s="2">
        <v>0</v>
      </c>
      <c r="I89" s="2">
        <v>0</v>
      </c>
      <c r="J89" s="2">
        <v>0</v>
      </c>
      <c r="K89" s="2" t="s">
        <v>24</v>
      </c>
      <c r="L89" s="4">
        <v>13984.69</v>
      </c>
      <c r="M89" s="2"/>
      <c r="N89" t="s">
        <v>652</v>
      </c>
      <c r="O89" t="s">
        <v>635</v>
      </c>
    </row>
    <row r="90" spans="1:15" ht="52.8" x14ac:dyDescent="0.3">
      <c r="A90" s="2" t="s">
        <v>239</v>
      </c>
      <c r="B90" s="2" t="str">
        <f>HYPERLINK("https://www.myrtlebeachonline.com/sports/article298699358.html")</f>
        <v>https://www.myrtlebeachonline.com/sports/article298699358.html</v>
      </c>
      <c r="C90" s="2" t="s">
        <v>240</v>
      </c>
      <c r="D90" s="2" t="s">
        <v>248</v>
      </c>
      <c r="E90" s="5">
        <v>45674.374108796299</v>
      </c>
      <c r="F90" s="2" t="s">
        <v>242</v>
      </c>
      <c r="G90" s="2">
        <v>229858</v>
      </c>
      <c r="H90" s="2">
        <v>0</v>
      </c>
      <c r="I90" s="2">
        <v>0</v>
      </c>
      <c r="J90" s="2">
        <v>0</v>
      </c>
      <c r="K90" s="2" t="s">
        <v>24</v>
      </c>
      <c r="L90" s="4">
        <v>2126.19</v>
      </c>
      <c r="M90" s="2"/>
      <c r="N90" t="s">
        <v>653</v>
      </c>
      <c r="O90" t="s">
        <v>635</v>
      </c>
    </row>
    <row r="91" spans="1:15" ht="52.8" x14ac:dyDescent="0.3">
      <c r="A91" s="2" t="s">
        <v>239</v>
      </c>
      <c r="B91" s="2" t="str">
        <f>HYPERLINK("https://www.mercedsunstar.com/sports/article298699358.html")</f>
        <v>https://www.mercedsunstar.com/sports/article298699358.html</v>
      </c>
      <c r="C91" s="2"/>
      <c r="D91" s="2" t="s">
        <v>249</v>
      </c>
      <c r="E91" s="5">
        <v>45674.37290509259</v>
      </c>
      <c r="F91" s="2" t="s">
        <v>242</v>
      </c>
      <c r="G91" s="2">
        <v>51718</v>
      </c>
      <c r="H91" s="2">
        <v>0</v>
      </c>
      <c r="I91" s="2">
        <v>0</v>
      </c>
      <c r="J91" s="2">
        <v>0</v>
      </c>
      <c r="K91" s="2" t="s">
        <v>24</v>
      </c>
      <c r="L91" s="4">
        <v>478.39</v>
      </c>
      <c r="M91" s="2"/>
      <c r="N91" t="s">
        <v>654</v>
      </c>
      <c r="O91" t="s">
        <v>635</v>
      </c>
    </row>
    <row r="92" spans="1:15" ht="52.8" x14ac:dyDescent="0.3">
      <c r="A92" s="2" t="s">
        <v>239</v>
      </c>
      <c r="B92" s="2" t="str">
        <f>HYPERLINK("https://www.heraldonline.com/sports/article298699358.html")</f>
        <v>https://www.heraldonline.com/sports/article298699358.html</v>
      </c>
      <c r="C92" s="2"/>
      <c r="D92" s="2" t="s">
        <v>250</v>
      </c>
      <c r="E92" s="5">
        <v>45674.372800925928</v>
      </c>
      <c r="F92" s="2" t="s">
        <v>242</v>
      </c>
      <c r="G92" s="2">
        <v>76450</v>
      </c>
      <c r="H92" s="2">
        <v>0</v>
      </c>
      <c r="I92" s="2">
        <v>0</v>
      </c>
      <c r="J92" s="2">
        <v>0</v>
      </c>
      <c r="K92" s="2" t="s">
        <v>24</v>
      </c>
      <c r="L92" s="4">
        <v>707.16</v>
      </c>
      <c r="M92" s="2"/>
      <c r="N92" t="s">
        <v>655</v>
      </c>
      <c r="O92" t="s">
        <v>635</v>
      </c>
    </row>
    <row r="93" spans="1:15" ht="52.8" x14ac:dyDescent="0.3">
      <c r="A93" s="2" t="s">
        <v>239</v>
      </c>
      <c r="B93" s="2" t="str">
        <f>HYPERLINK("https://www.ledger-enquirer.com/sports/article298699358.html")</f>
        <v>https://www.ledger-enquirer.com/sports/article298699358.html</v>
      </c>
      <c r="C93" s="2"/>
      <c r="D93" s="2" t="s">
        <v>251</v>
      </c>
      <c r="E93" s="5">
        <v>45674.371354166673</v>
      </c>
      <c r="F93" s="2" t="s">
        <v>242</v>
      </c>
      <c r="G93" s="2">
        <v>83408</v>
      </c>
      <c r="H93" s="2">
        <v>0</v>
      </c>
      <c r="I93" s="2">
        <v>0</v>
      </c>
      <c r="J93" s="2">
        <v>0</v>
      </c>
      <c r="K93" s="2" t="s">
        <v>24</v>
      </c>
      <c r="L93" s="4">
        <v>771.52</v>
      </c>
      <c r="M93" s="2"/>
      <c r="N93" t="s">
        <v>656</v>
      </c>
      <c r="O93" t="s">
        <v>635</v>
      </c>
    </row>
    <row r="94" spans="1:15" ht="52.8" x14ac:dyDescent="0.3">
      <c r="A94" s="2" t="s">
        <v>239</v>
      </c>
      <c r="B94" s="2" t="str">
        <f>HYPERLINK("https://www.kansascity.com/sports/article298699358.html")</f>
        <v>https://www.kansascity.com/sports/article298699358.html</v>
      </c>
      <c r="C94" s="2"/>
      <c r="D94" s="2" t="s">
        <v>252</v>
      </c>
      <c r="E94" s="5">
        <v>45674.37023148148</v>
      </c>
      <c r="F94" s="2" t="s">
        <v>242</v>
      </c>
      <c r="G94" s="2">
        <v>2368155</v>
      </c>
      <c r="H94" s="2">
        <v>0</v>
      </c>
      <c r="I94" s="2">
        <v>0</v>
      </c>
      <c r="J94" s="2">
        <v>0</v>
      </c>
      <c r="K94" s="2" t="s">
        <v>24</v>
      </c>
      <c r="L94" s="4">
        <v>21905.43</v>
      </c>
      <c r="M94" s="2"/>
      <c r="N94" t="s">
        <v>658</v>
      </c>
      <c r="O94" t="s">
        <v>635</v>
      </c>
    </row>
    <row r="95" spans="1:15" ht="52.8" x14ac:dyDescent="0.3">
      <c r="A95" s="2" t="s">
        <v>239</v>
      </c>
      <c r="B95" s="2" t="str">
        <f>HYPERLINK("https://www.sunherald.com/sports/article298699358.html")</f>
        <v>https://www.sunherald.com/sports/article298699358.html</v>
      </c>
      <c r="C95" s="2"/>
      <c r="D95" s="2" t="s">
        <v>253</v>
      </c>
      <c r="E95" s="5">
        <v>45674.370011574072</v>
      </c>
      <c r="F95" s="2" t="s">
        <v>242</v>
      </c>
      <c r="G95" s="2">
        <v>266143</v>
      </c>
      <c r="H95" s="2">
        <v>0</v>
      </c>
      <c r="I95" s="2">
        <v>0</v>
      </c>
      <c r="J95" s="2">
        <v>0</v>
      </c>
      <c r="K95" s="2" t="s">
        <v>24</v>
      </c>
      <c r="L95" s="4">
        <v>2461.8200000000002</v>
      </c>
      <c r="M95" s="2"/>
      <c r="N95" t="s">
        <v>657</v>
      </c>
      <c r="O95" t="s">
        <v>635</v>
      </c>
    </row>
    <row r="96" spans="1:15" ht="52.8" x14ac:dyDescent="0.3">
      <c r="A96" s="2" t="s">
        <v>239</v>
      </c>
      <c r="B96" s="2" t="str">
        <f>HYPERLINK("https://www.centredaily.com/sports/article298699358.html")</f>
        <v>https://www.centredaily.com/sports/article298699358.html</v>
      </c>
      <c r="C96" s="2"/>
      <c r="D96" s="2" t="s">
        <v>254</v>
      </c>
      <c r="E96" s="5">
        <v>45674.369560185187</v>
      </c>
      <c r="F96" s="2" t="s">
        <v>242</v>
      </c>
      <c r="G96" s="2">
        <v>199152</v>
      </c>
      <c r="H96" s="2">
        <v>0</v>
      </c>
      <c r="I96" s="2">
        <v>0</v>
      </c>
      <c r="J96" s="2">
        <v>0</v>
      </c>
      <c r="K96" s="2" t="s">
        <v>24</v>
      </c>
      <c r="L96" s="4">
        <v>1842.16</v>
      </c>
      <c r="M96" s="2"/>
      <c r="N96" t="s">
        <v>659</v>
      </c>
      <c r="O96" t="s">
        <v>635</v>
      </c>
    </row>
    <row r="97" spans="1:15" ht="52.8" x14ac:dyDescent="0.3">
      <c r="A97" s="2" t="s">
        <v>239</v>
      </c>
      <c r="B97" s="2" t="str">
        <f>HYPERLINK("https://athlonsports.com/wnba/indiana-fever/caitlin-clark-catches-attention-appearance-unexpected-game")</f>
        <v>https://athlonsports.com/wnba/indiana-fever/caitlin-clark-catches-attention-appearance-unexpected-game</v>
      </c>
      <c r="C97" s="2" t="s">
        <v>240</v>
      </c>
      <c r="D97" s="2" t="s">
        <v>255</v>
      </c>
      <c r="E97" s="5">
        <v>45674.344895833332</v>
      </c>
      <c r="F97" s="2" t="s">
        <v>242</v>
      </c>
      <c r="G97" s="2">
        <v>22557314</v>
      </c>
      <c r="H97" s="2">
        <v>0</v>
      </c>
      <c r="I97" s="2">
        <v>0</v>
      </c>
      <c r="J97" s="2">
        <v>0</v>
      </c>
      <c r="K97" s="2" t="s">
        <v>24</v>
      </c>
      <c r="L97" s="4">
        <v>208655.15</v>
      </c>
      <c r="M97" s="2"/>
      <c r="N97" t="s">
        <v>636</v>
      </c>
      <c r="O97" t="s">
        <v>635</v>
      </c>
    </row>
    <row r="98" spans="1:15" ht="52.8" x14ac:dyDescent="0.3">
      <c r="A98" s="2" t="s">
        <v>239</v>
      </c>
      <c r="B98" s="2" t="str">
        <f>HYPERLINK("https://www.mahoningmatters.com/sports/article298699358.html")</f>
        <v>https://www.mahoningmatters.com/sports/article298699358.html</v>
      </c>
      <c r="C98" s="2" t="s">
        <v>240</v>
      </c>
      <c r="D98" s="2" t="s">
        <v>256</v>
      </c>
      <c r="E98" s="5">
        <v>45674.338194444441</v>
      </c>
      <c r="F98" s="2" t="s">
        <v>242</v>
      </c>
      <c r="G98" s="2">
        <v>107502</v>
      </c>
      <c r="H98" s="2">
        <v>0</v>
      </c>
      <c r="I98" s="2">
        <v>0</v>
      </c>
      <c r="J98" s="2">
        <v>0</v>
      </c>
      <c r="K98" s="2" t="s">
        <v>24</v>
      </c>
      <c r="L98" s="4">
        <v>994.39</v>
      </c>
      <c r="M98" s="2"/>
      <c r="N98" t="s">
        <v>660</v>
      </c>
      <c r="O98" t="s">
        <v>635</v>
      </c>
    </row>
    <row r="99" spans="1:15" ht="52.8" x14ac:dyDescent="0.3">
      <c r="A99" s="2" t="s">
        <v>239</v>
      </c>
      <c r="B99" s="2" t="str">
        <f>HYPERLINK("https://www.kansas.com/sports/article298699358.html")</f>
        <v>https://www.kansas.com/sports/article298699358.html</v>
      </c>
      <c r="C99" s="2" t="s">
        <v>240</v>
      </c>
      <c r="D99" s="2" t="s">
        <v>257</v>
      </c>
      <c r="E99" s="5">
        <v>45674.338194444441</v>
      </c>
      <c r="F99" s="2" t="s">
        <v>242</v>
      </c>
      <c r="G99" s="2">
        <v>426140</v>
      </c>
      <c r="H99" s="2">
        <v>0</v>
      </c>
      <c r="I99" s="2">
        <v>0</v>
      </c>
      <c r="J99" s="2">
        <v>0</v>
      </c>
      <c r="K99" s="2" t="s">
        <v>24</v>
      </c>
      <c r="L99" s="4">
        <v>3941.8</v>
      </c>
      <c r="M99" s="2"/>
      <c r="N99" t="s">
        <v>661</v>
      </c>
      <c r="O99" t="s">
        <v>635</v>
      </c>
    </row>
    <row r="100" spans="1:15" ht="52.8" x14ac:dyDescent="0.3">
      <c r="A100" s="2" t="s">
        <v>239</v>
      </c>
      <c r="B100" s="2" t="str">
        <f>HYPERLINK("https://www.thenewstribune.com/sports/article298699358.html")</f>
        <v>https://www.thenewstribune.com/sports/article298699358.html</v>
      </c>
      <c r="C100" s="2" t="s">
        <v>240</v>
      </c>
      <c r="D100" s="2" t="s">
        <v>258</v>
      </c>
      <c r="E100" s="5">
        <v>45674.338194444441</v>
      </c>
      <c r="F100" s="2" t="s">
        <v>242</v>
      </c>
      <c r="G100" s="2">
        <v>406619</v>
      </c>
      <c r="H100" s="2">
        <v>0</v>
      </c>
      <c r="I100" s="2">
        <v>0</v>
      </c>
      <c r="J100" s="2">
        <v>0</v>
      </c>
      <c r="K100" s="2" t="s">
        <v>24</v>
      </c>
      <c r="L100" s="4">
        <v>3761.23</v>
      </c>
      <c r="M100" s="2"/>
      <c r="N100" t="s">
        <v>662</v>
      </c>
      <c r="O100" t="s">
        <v>635</v>
      </c>
    </row>
    <row r="101" spans="1:15" ht="52.8" x14ac:dyDescent="0.3">
      <c r="A101" s="2" t="s">
        <v>239</v>
      </c>
      <c r="B101" s="2" t="str">
        <f>HYPERLINK("https://www.bellinghamherald.com/sports/article298699358.html")</f>
        <v>https://www.bellinghamherald.com/sports/article298699358.html</v>
      </c>
      <c r="C101" s="2" t="s">
        <v>240</v>
      </c>
      <c r="D101" s="2" t="s">
        <v>259</v>
      </c>
      <c r="E101" s="5">
        <v>45674.338194444441</v>
      </c>
      <c r="F101" s="2" t="s">
        <v>242</v>
      </c>
      <c r="G101" s="2">
        <v>239136</v>
      </c>
      <c r="H101" s="2">
        <v>0</v>
      </c>
      <c r="I101" s="2">
        <v>0</v>
      </c>
      <c r="J101" s="2">
        <v>0</v>
      </c>
      <c r="K101" s="2" t="s">
        <v>24</v>
      </c>
      <c r="L101" s="4">
        <v>2212.0100000000002</v>
      </c>
      <c r="M101" s="2"/>
      <c r="N101" t="s">
        <v>663</v>
      </c>
      <c r="O101" t="s">
        <v>635</v>
      </c>
    </row>
    <row r="102" spans="1:15" ht="52.8" x14ac:dyDescent="0.3">
      <c r="A102" s="2" t="s">
        <v>239</v>
      </c>
      <c r="B102" s="2" t="str">
        <f>HYPERLINK("https://www.islandpacket.com/sports/article298699358.html")</f>
        <v>https://www.islandpacket.com/sports/article298699358.html</v>
      </c>
      <c r="C102" s="2" t="s">
        <v>240</v>
      </c>
      <c r="D102" s="2" t="s">
        <v>260</v>
      </c>
      <c r="E102" s="5">
        <v>45674.338194444441</v>
      </c>
      <c r="F102" s="2" t="s">
        <v>242</v>
      </c>
      <c r="G102" s="2">
        <v>158407</v>
      </c>
      <c r="H102" s="2">
        <v>0</v>
      </c>
      <c r="I102" s="2">
        <v>0</v>
      </c>
      <c r="J102" s="2">
        <v>0</v>
      </c>
      <c r="K102" s="2" t="s">
        <v>24</v>
      </c>
      <c r="L102" s="4">
        <v>1465.26</v>
      </c>
      <c r="M102" s="2"/>
      <c r="N102" t="s">
        <v>664</v>
      </c>
      <c r="O102" t="s">
        <v>635</v>
      </c>
    </row>
    <row r="103" spans="1:15" ht="52.8" x14ac:dyDescent="0.3">
      <c r="A103" s="2" t="s">
        <v>239</v>
      </c>
      <c r="B103" s="2" t="str">
        <f>HYPERLINK("https://www.modbee.com/sports/article298699358.html")</f>
        <v>https://www.modbee.com/sports/article298699358.html</v>
      </c>
      <c r="C103" s="2" t="s">
        <v>240</v>
      </c>
      <c r="D103" s="2" t="s">
        <v>261</v>
      </c>
      <c r="E103" s="5">
        <v>45674.338194444441</v>
      </c>
      <c r="F103" s="2" t="s">
        <v>242</v>
      </c>
      <c r="G103" s="2">
        <v>174734</v>
      </c>
      <c r="H103" s="2">
        <v>0</v>
      </c>
      <c r="I103" s="2">
        <v>0</v>
      </c>
      <c r="J103" s="2">
        <v>0</v>
      </c>
      <c r="K103" s="2" t="s">
        <v>24</v>
      </c>
      <c r="L103" s="4">
        <v>1616.29</v>
      </c>
      <c r="M103" s="2"/>
      <c r="N103" t="s">
        <v>665</v>
      </c>
      <c r="O103" t="s">
        <v>635</v>
      </c>
    </row>
    <row r="104" spans="1:15" ht="52.8" x14ac:dyDescent="0.3">
      <c r="A104" s="2" t="s">
        <v>239</v>
      </c>
      <c r="B104" s="2" t="str">
        <f>HYPERLINK("https://www.idahostatesman.com/sports/article298699358.html")</f>
        <v>https://www.idahostatesman.com/sports/article298699358.html</v>
      </c>
      <c r="C104" s="2" t="s">
        <v>240</v>
      </c>
      <c r="D104" s="2" t="s">
        <v>262</v>
      </c>
      <c r="E104" s="5">
        <v>45674.338194444441</v>
      </c>
      <c r="F104" s="2" t="s">
        <v>242</v>
      </c>
      <c r="G104" s="2">
        <v>537881</v>
      </c>
      <c r="H104" s="2">
        <v>0</v>
      </c>
      <c r="I104" s="2">
        <v>0</v>
      </c>
      <c r="J104" s="2">
        <v>0</v>
      </c>
      <c r="K104" s="2" t="s">
        <v>24</v>
      </c>
      <c r="L104" s="4">
        <v>4975.3999999999996</v>
      </c>
      <c r="M104" s="2"/>
      <c r="N104" t="s">
        <v>666</v>
      </c>
      <c r="O104" t="s">
        <v>635</v>
      </c>
    </row>
    <row r="105" spans="1:15" ht="52.8" x14ac:dyDescent="0.3">
      <c r="A105" s="2" t="s">
        <v>239</v>
      </c>
      <c r="B105" s="2" t="str">
        <f>HYPERLINK("https://www.bradenton.com/sports/article298699358.html")</f>
        <v>https://www.bradenton.com/sports/article298699358.html</v>
      </c>
      <c r="C105" s="2" t="s">
        <v>240</v>
      </c>
      <c r="D105" s="2" t="s">
        <v>263</v>
      </c>
      <c r="E105" s="5">
        <v>45674.338194444441</v>
      </c>
      <c r="F105" s="2" t="s">
        <v>242</v>
      </c>
      <c r="G105" s="2">
        <v>127439</v>
      </c>
      <c r="H105" s="2">
        <v>0</v>
      </c>
      <c r="I105" s="2">
        <v>0</v>
      </c>
      <c r="J105" s="2">
        <v>0</v>
      </c>
      <c r="K105" s="2" t="s">
        <v>24</v>
      </c>
      <c r="L105" s="4">
        <v>1178.81</v>
      </c>
      <c r="M105" s="2"/>
      <c r="N105" t="s">
        <v>667</v>
      </c>
      <c r="O105" t="s">
        <v>635</v>
      </c>
    </row>
    <row r="106" spans="1:15" ht="52.8" x14ac:dyDescent="0.3">
      <c r="A106" s="2" t="s">
        <v>239</v>
      </c>
      <c r="B106" s="2" t="str">
        <f>HYPERLINK("https://www.sacbee.com/sports/article298699358.html")</f>
        <v>https://www.sacbee.com/sports/article298699358.html</v>
      </c>
      <c r="C106" s="2" t="s">
        <v>240</v>
      </c>
      <c r="D106" s="2" t="s">
        <v>264</v>
      </c>
      <c r="E106" s="5">
        <v>45674.338194444441</v>
      </c>
      <c r="F106" s="2" t="s">
        <v>242</v>
      </c>
      <c r="G106" s="2">
        <v>1933498</v>
      </c>
      <c r="H106" s="2">
        <v>0</v>
      </c>
      <c r="I106" s="2">
        <v>0</v>
      </c>
      <c r="J106" s="2">
        <v>0</v>
      </c>
      <c r="K106" s="2" t="s">
        <v>24</v>
      </c>
      <c r="L106" s="4">
        <v>17884.86</v>
      </c>
      <c r="M106" s="2"/>
      <c r="N106" t="s">
        <v>668</v>
      </c>
      <c r="O106" t="s">
        <v>635</v>
      </c>
    </row>
    <row r="107" spans="1:15" ht="52.8" x14ac:dyDescent="0.3">
      <c r="A107" s="2" t="s">
        <v>239</v>
      </c>
      <c r="B107" s="2" t="str">
        <f>HYPERLINK("https://www.heraldsun.com/sports/article298699358.html")</f>
        <v>https://www.heraldsun.com/sports/article298699358.html</v>
      </c>
      <c r="C107" s="2" t="s">
        <v>240</v>
      </c>
      <c r="D107" s="2" t="s">
        <v>265</v>
      </c>
      <c r="E107" s="5">
        <v>45674.338194444441</v>
      </c>
      <c r="F107" s="2" t="s">
        <v>242</v>
      </c>
      <c r="G107" s="2">
        <v>27222</v>
      </c>
      <c r="H107" s="2">
        <v>0</v>
      </c>
      <c r="I107" s="2">
        <v>0</v>
      </c>
      <c r="J107" s="2">
        <v>0</v>
      </c>
      <c r="K107" s="2" t="s">
        <v>24</v>
      </c>
      <c r="L107" s="4">
        <v>251.8</v>
      </c>
      <c r="M107" s="2"/>
      <c r="N107" t="s">
        <v>669</v>
      </c>
      <c r="O107" t="s">
        <v>635</v>
      </c>
    </row>
    <row r="108" spans="1:15" ht="52.8" x14ac:dyDescent="0.3">
      <c r="A108" s="2" t="s">
        <v>239</v>
      </c>
      <c r="B108" s="2" t="str">
        <f>HYPERLINK("https://www.theolympian.com/sports/article298699358.html")</f>
        <v>https://www.theolympian.com/sports/article298699358.html</v>
      </c>
      <c r="C108" s="2" t="s">
        <v>240</v>
      </c>
      <c r="D108" s="2" t="s">
        <v>266</v>
      </c>
      <c r="E108" s="5">
        <v>45674.338194444441</v>
      </c>
      <c r="F108" s="2" t="s">
        <v>242</v>
      </c>
      <c r="G108" s="2">
        <v>143644</v>
      </c>
      <c r="H108" s="2">
        <v>0</v>
      </c>
      <c r="I108" s="2">
        <v>0</v>
      </c>
      <c r="J108" s="2">
        <v>0</v>
      </c>
      <c r="K108" s="2" t="s">
        <v>24</v>
      </c>
      <c r="L108" s="4">
        <v>1328.71</v>
      </c>
      <c r="M108" s="2"/>
      <c r="N108" t="s">
        <v>670</v>
      </c>
      <c r="O108" t="s">
        <v>635</v>
      </c>
    </row>
    <row r="109" spans="1:15" ht="52.8" x14ac:dyDescent="0.3">
      <c r="A109" s="2" t="s">
        <v>239</v>
      </c>
      <c r="B109" s="2" t="str">
        <f>HYPERLINK("https://www.sanluisobispo.com/sports/article298699358.html")</f>
        <v>https://www.sanluisobispo.com/sports/article298699358.html</v>
      </c>
      <c r="C109" s="2" t="s">
        <v>240</v>
      </c>
      <c r="D109" s="2" t="s">
        <v>267</v>
      </c>
      <c r="E109" s="5">
        <v>45674.338194444441</v>
      </c>
      <c r="F109" s="2" t="s">
        <v>242</v>
      </c>
      <c r="G109" s="2">
        <v>283934</v>
      </c>
      <c r="H109" s="2">
        <v>0</v>
      </c>
      <c r="I109" s="2">
        <v>0</v>
      </c>
      <c r="J109" s="2">
        <v>0</v>
      </c>
      <c r="K109" s="2" t="s">
        <v>24</v>
      </c>
      <c r="L109" s="4">
        <v>2626.39</v>
      </c>
      <c r="M109" s="2"/>
      <c r="N109" t="s">
        <v>671</v>
      </c>
      <c r="O109" t="s">
        <v>635</v>
      </c>
    </row>
    <row r="110" spans="1:15" ht="52.8" x14ac:dyDescent="0.3">
      <c r="A110" s="2" t="s">
        <v>239</v>
      </c>
      <c r="B110" s="2" t="str">
        <f>HYPERLINK("https://www.star-telegram.com/sports/article298699358.html")</f>
        <v>https://www.star-telegram.com/sports/article298699358.html</v>
      </c>
      <c r="C110" s="2" t="s">
        <v>240</v>
      </c>
      <c r="D110" s="2" t="s">
        <v>268</v>
      </c>
      <c r="E110" s="5">
        <v>45674.338194444441</v>
      </c>
      <c r="F110" s="2" t="s">
        <v>242</v>
      </c>
      <c r="G110" s="2">
        <v>1004872</v>
      </c>
      <c r="H110" s="2">
        <v>0</v>
      </c>
      <c r="I110" s="2">
        <v>0</v>
      </c>
      <c r="J110" s="2">
        <v>0</v>
      </c>
      <c r="K110" s="2" t="s">
        <v>24</v>
      </c>
      <c r="L110" s="4">
        <v>9295.07</v>
      </c>
      <c r="M110" s="2"/>
      <c r="N110" t="s">
        <v>672</v>
      </c>
      <c r="O110" t="s">
        <v>635</v>
      </c>
    </row>
    <row r="111" spans="1:15" ht="52.8" x14ac:dyDescent="0.3">
      <c r="A111" s="2" t="s">
        <v>239</v>
      </c>
      <c r="B111" s="2" t="str">
        <f>HYPERLINK("https://www.tri-cityherald.com/sports/article298699358.html")</f>
        <v>https://www.tri-cityherald.com/sports/article298699358.html</v>
      </c>
      <c r="C111" s="2" t="s">
        <v>240</v>
      </c>
      <c r="D111" s="2" t="s">
        <v>269</v>
      </c>
      <c r="E111" s="5">
        <v>45674.338194444441</v>
      </c>
      <c r="F111" s="2" t="s">
        <v>242</v>
      </c>
      <c r="G111" s="2">
        <v>294296</v>
      </c>
      <c r="H111" s="2">
        <v>0</v>
      </c>
      <c r="I111" s="2">
        <v>0</v>
      </c>
      <c r="J111" s="2">
        <v>0</v>
      </c>
      <c r="K111" s="2" t="s">
        <v>24</v>
      </c>
      <c r="L111" s="4">
        <v>2722.24</v>
      </c>
      <c r="M111" s="2"/>
      <c r="N111" t="s">
        <v>673</v>
      </c>
      <c r="O111" t="s">
        <v>635</v>
      </c>
    </row>
    <row r="112" spans="1:15" ht="79.2" x14ac:dyDescent="0.3">
      <c r="A112" s="2" t="s">
        <v>270</v>
      </c>
      <c r="B112" s="2" t="str">
        <f>HYPERLINK("https://www.larryinfishers.com/2025/01/17/indy-ignite-take-match-from-grand-rapids-in-3-straight-sets/")</f>
        <v>https://www.larryinfishers.com/2025/01/17/indy-ignite-take-match-from-grand-rapids-in-3-straight-sets/</v>
      </c>
      <c r="C112" s="2"/>
      <c r="D112" s="2" t="s">
        <v>41</v>
      </c>
      <c r="E112" s="5">
        <v>45674.329016203701</v>
      </c>
      <c r="F112" s="2" t="s">
        <v>271</v>
      </c>
      <c r="G112" s="2">
        <v>3011</v>
      </c>
      <c r="H112" s="2">
        <v>0</v>
      </c>
      <c r="I112" s="2">
        <v>0</v>
      </c>
      <c r="J112" s="2">
        <v>1</v>
      </c>
      <c r="K112" s="2" t="s">
        <v>24</v>
      </c>
      <c r="L112" s="4">
        <v>27.85</v>
      </c>
      <c r="M112" s="2"/>
      <c r="N112" t="s">
        <v>634</v>
      </c>
      <c r="O112" t="s">
        <v>683</v>
      </c>
    </row>
    <row r="113" spans="1:15" ht="66" x14ac:dyDescent="0.3">
      <c r="A113" s="2" t="s">
        <v>272</v>
      </c>
      <c r="B113" s="2" t="str">
        <f>HYPERLINK("https://www.indystar.com/story/sports/2025/01/17/indy-ignite-get-another-big-crowd-including-caitlin-clark-pro-volleyball-fishers-event-center/77769717007/")</f>
        <v>https://www.indystar.com/story/sports/2025/01/17/indy-ignite-get-another-big-crowd-including-caitlin-clark-pro-volleyball-fishers-event-center/77769717007/</v>
      </c>
      <c r="C113" s="2" t="s">
        <v>187</v>
      </c>
      <c r="D113" s="2" t="s">
        <v>30</v>
      </c>
      <c r="E113" s="5">
        <v>45674.315081018518</v>
      </c>
      <c r="F113" s="2" t="s">
        <v>188</v>
      </c>
      <c r="G113" s="2">
        <v>3191890</v>
      </c>
      <c r="H113" s="2">
        <v>2</v>
      </c>
      <c r="I113" s="2">
        <v>55743</v>
      </c>
      <c r="J113" s="2">
        <v>54</v>
      </c>
      <c r="K113" s="2" t="s">
        <v>24</v>
      </c>
      <c r="L113" s="4">
        <v>29524.98</v>
      </c>
      <c r="M113" s="2"/>
      <c r="N113" t="s">
        <v>510</v>
      </c>
      <c r="O113" t="s">
        <v>683</v>
      </c>
    </row>
    <row r="114" spans="1:15" ht="79.2" x14ac:dyDescent="0.3">
      <c r="A114" s="2" t="s">
        <v>273</v>
      </c>
      <c r="B114" s="2" t="str">
        <f>HYPERLINK("https://wisportsheroics.com/indy-ignite-cc-crawford-sydney-hilley-grand-rapids-rise-victory/")</f>
        <v>https://wisportsheroics.com/indy-ignite-cc-crawford-sydney-hilley-grand-rapids-rise-victory/</v>
      </c>
      <c r="C114" s="2" t="s">
        <v>274</v>
      </c>
      <c r="D114" s="2" t="s">
        <v>275</v>
      </c>
      <c r="E114" s="5">
        <v>45674.30945601852</v>
      </c>
      <c r="F114" s="2" t="s">
        <v>276</v>
      </c>
      <c r="G114" s="2">
        <v>888270</v>
      </c>
      <c r="H114" s="2">
        <v>0</v>
      </c>
      <c r="I114" s="2">
        <v>0</v>
      </c>
      <c r="J114" s="2">
        <v>0</v>
      </c>
      <c r="K114" s="2" t="s">
        <v>24</v>
      </c>
      <c r="L114" s="4">
        <v>8216.5</v>
      </c>
      <c r="M114" s="2"/>
      <c r="N114" t="s">
        <v>674</v>
      </c>
      <c r="O114" t="s">
        <v>635</v>
      </c>
    </row>
    <row r="115" spans="1:15" ht="66" x14ac:dyDescent="0.3">
      <c r="A115" s="2" t="s">
        <v>272</v>
      </c>
      <c r="B115" s="2" t="str">
        <f>HYPERLINK("https://indy-ignite-pro-volleyball.muckrack.com/link/etwQLE/ignite-night-2-in-awe-of-what-indiana-has-brought-to-our-arena-including-caitlin-clark")</f>
        <v>https://indy-ignite-pro-volleyball.muckrack.com/link/etwQLE/ignite-night-2-in-awe-of-what-indiana-has-brought-to-our-arena-including-caitlin-clark</v>
      </c>
      <c r="C115" s="2"/>
      <c r="D115" s="2" t="s">
        <v>30</v>
      </c>
      <c r="E115" s="5">
        <v>45674.291666666657</v>
      </c>
      <c r="F115" s="2" t="s">
        <v>188</v>
      </c>
      <c r="G115" s="2"/>
      <c r="H115" s="2">
        <v>0</v>
      </c>
      <c r="I115" s="2">
        <v>0</v>
      </c>
      <c r="J115" s="2">
        <v>0</v>
      </c>
      <c r="K115" s="2" t="s">
        <v>24</v>
      </c>
      <c r="L115" s="4">
        <v>21007</v>
      </c>
      <c r="M115" s="2"/>
      <c r="N115" t="s">
        <v>510</v>
      </c>
      <c r="O115" t="s">
        <v>683</v>
      </c>
    </row>
    <row r="116" spans="1:15" ht="52.8" x14ac:dyDescent="0.3">
      <c r="A116" s="2" t="s">
        <v>277</v>
      </c>
      <c r="B116" s="2" t="str">
        <f>HYPERLINK("https://www.si.com/onsi/athlete-lifestyle/news/blushing-caitlin-clark-played-by-adorable-little-girl-for-photo-op-courtside")</f>
        <v>https://www.si.com/onsi/athlete-lifestyle/news/blushing-caitlin-clark-played-by-adorable-little-girl-for-photo-op-courtside</v>
      </c>
      <c r="C116" s="2" t="s">
        <v>278</v>
      </c>
      <c r="D116" s="2" t="s">
        <v>140</v>
      </c>
      <c r="E116" s="5">
        <v>45674.010833333326</v>
      </c>
      <c r="F116" s="2" t="s">
        <v>279</v>
      </c>
      <c r="G116" s="2">
        <v>32744612</v>
      </c>
      <c r="H116" s="2">
        <v>0</v>
      </c>
      <c r="I116" s="2">
        <v>0</v>
      </c>
      <c r="J116" s="2">
        <v>0</v>
      </c>
      <c r="K116" s="2" t="s">
        <v>24</v>
      </c>
      <c r="L116" s="4">
        <v>302887.65999999997</v>
      </c>
      <c r="M116" s="2"/>
      <c r="N116" t="s">
        <v>635</v>
      </c>
      <c r="O116" t="s">
        <v>635</v>
      </c>
    </row>
    <row r="117" spans="1:15" ht="66" x14ac:dyDescent="0.3">
      <c r="A117" s="2" t="s">
        <v>230</v>
      </c>
      <c r="B117" s="2" t="str">
        <f>HYPERLINK("https://www.foxbangor.com/news/national/entertainment/caitlin-clark-enjoys-date-night-w-boyfriend-at-volleyball-match/article_03fd6cb1-f187-54ad-943c-aa5428503e49.html")</f>
        <v>https://www.foxbangor.com/news/national/entertainment/caitlin-clark-enjoys-date-night-w-boyfriend-at-volleyball-match/article_03fd6cb1-f187-54ad-943c-aa5428503e49.html</v>
      </c>
      <c r="C117" s="2"/>
      <c r="D117" s="2" t="s">
        <v>280</v>
      </c>
      <c r="E117" s="5">
        <v>45674</v>
      </c>
      <c r="F117" s="2" t="s">
        <v>281</v>
      </c>
      <c r="G117" s="2">
        <v>32179</v>
      </c>
      <c r="H117" s="2">
        <v>0</v>
      </c>
      <c r="I117" s="2">
        <v>0</v>
      </c>
      <c r="J117" s="2">
        <v>0</v>
      </c>
      <c r="K117" s="2" t="s">
        <v>24</v>
      </c>
      <c r="L117" s="4">
        <v>297.66000000000003</v>
      </c>
      <c r="M117" s="2"/>
      <c r="N117" t="s">
        <v>675</v>
      </c>
      <c r="O117" t="s">
        <v>635</v>
      </c>
    </row>
    <row r="118" spans="1:15" ht="66" x14ac:dyDescent="0.3">
      <c r="A118" s="2" t="s">
        <v>282</v>
      </c>
      <c r="B118" s="2" t="str">
        <f>HYPERLINK("https://www.nuvo.net/sports/indy-ignite-stays-perfect-with-thrilling-sweep-over-grand-rapids-rise/collection_d07269ea-d506-11ef-886d-1b6ccfd5abe2.html")</f>
        <v>https://www.nuvo.net/sports/indy-ignite-stays-perfect-with-thrilling-sweep-over-grand-rapids-rise/collection_d07269ea-d506-11ef-886d-1b6ccfd5abe2.html</v>
      </c>
      <c r="C118" s="2" t="s">
        <v>283</v>
      </c>
      <c r="D118" s="2" t="s">
        <v>284</v>
      </c>
      <c r="E118" s="5">
        <v>45674</v>
      </c>
      <c r="F118" s="2" t="s">
        <v>285</v>
      </c>
      <c r="G118" s="2">
        <v>16115</v>
      </c>
      <c r="H118" s="2">
        <v>0</v>
      </c>
      <c r="I118" s="2">
        <v>0</v>
      </c>
      <c r="J118" s="2">
        <v>15</v>
      </c>
      <c r="K118" s="2" t="s">
        <v>24</v>
      </c>
      <c r="L118" s="4">
        <v>149.06</v>
      </c>
      <c r="M118" s="2"/>
      <c r="N118" t="s">
        <v>510</v>
      </c>
      <c r="O118" t="s">
        <v>683</v>
      </c>
    </row>
    <row r="119" spans="1:15" ht="66" x14ac:dyDescent="0.3">
      <c r="A119" s="2" t="s">
        <v>286</v>
      </c>
      <c r="B119" s="2" t="str">
        <f>HYPERLINK("https://www.indystar.com/videos/sports/2025/01/17/indy-ignite-volleyball-wouldnt-be-volleyball-without-the-fans/77769846007/")</f>
        <v>https://www.indystar.com/videos/sports/2025/01/17/indy-ignite-volleyball-wouldnt-be-volleyball-without-the-fans/77769846007/</v>
      </c>
      <c r="C119" s="2"/>
      <c r="D119" s="2" t="s">
        <v>30</v>
      </c>
      <c r="E119" s="5">
        <v>45674</v>
      </c>
      <c r="F119" s="2" t="s">
        <v>287</v>
      </c>
      <c r="G119" s="2">
        <v>3191890</v>
      </c>
      <c r="H119" s="2">
        <v>0</v>
      </c>
      <c r="I119" s="2">
        <v>0</v>
      </c>
      <c r="J119" s="2">
        <v>0</v>
      </c>
      <c r="K119" s="2" t="s">
        <v>50</v>
      </c>
      <c r="L119" s="4">
        <v>29524.98</v>
      </c>
      <c r="M119" s="2"/>
      <c r="N119" t="s">
        <v>510</v>
      </c>
      <c r="O119" t="s">
        <v>683</v>
      </c>
    </row>
    <row r="120" spans="1:15" ht="79.2" x14ac:dyDescent="0.3">
      <c r="A120" s="2" t="s">
        <v>289</v>
      </c>
      <c r="B120" s="2" t="str">
        <f>HYPERLINK("https://www.essentiallysports.com/us-sports-news-volleyball-news-wnba-star-caitlin-clark-lends-support-to-pro-volleyball-team-despite-once-facing-communitys-heat/")</f>
        <v>https://www.essentiallysports.com/us-sports-news-volleyball-news-wnba-star-caitlin-clark-lends-support-to-pro-volleyball-team-despite-once-facing-communitys-heat/</v>
      </c>
      <c r="C120" s="2" t="s">
        <v>77</v>
      </c>
      <c r="D120" s="2" t="s">
        <v>74</v>
      </c>
      <c r="E120" s="5">
        <v>45673.999814814822</v>
      </c>
      <c r="F120" s="2" t="s">
        <v>290</v>
      </c>
      <c r="G120" s="2">
        <v>10912895</v>
      </c>
      <c r="H120" s="2">
        <v>0</v>
      </c>
      <c r="I120" s="2">
        <v>0</v>
      </c>
      <c r="J120" s="2">
        <v>4</v>
      </c>
      <c r="K120" s="2" t="s">
        <v>24</v>
      </c>
      <c r="L120" s="4">
        <v>100944.28</v>
      </c>
      <c r="M120" s="2"/>
      <c r="N120" t="s">
        <v>635</v>
      </c>
      <c r="O120" t="s">
        <v>635</v>
      </c>
    </row>
    <row r="121" spans="1:15" ht="92.4" x14ac:dyDescent="0.3">
      <c r="A121" s="2" t="s">
        <v>291</v>
      </c>
      <c r="B121" s="2" t="str">
        <f>HYPERLINK("https://indy-ignite-pro-volleyball.muckrack.com/link/etxcFw/how-caitlin-clark-of-the-indiana-fever-helps-another-womens-sport-get-off-the-ground")</f>
        <v>https://indy-ignite-pro-volleyball.muckrack.com/link/etxcFw/how-caitlin-clark-of-the-indiana-fever-helps-another-womens-sport-get-off-the-ground</v>
      </c>
      <c r="C121" s="2"/>
      <c r="D121" s="2" t="s">
        <v>30</v>
      </c>
      <c r="E121" s="5">
        <v>45673.934756944444</v>
      </c>
      <c r="F121" s="2" t="s">
        <v>292</v>
      </c>
      <c r="G121" s="2"/>
      <c r="H121" s="2">
        <v>0</v>
      </c>
      <c r="I121" s="2">
        <v>0</v>
      </c>
      <c r="J121" s="2">
        <v>0</v>
      </c>
      <c r="K121" s="2" t="s">
        <v>24</v>
      </c>
      <c r="L121" s="4">
        <v>21007</v>
      </c>
      <c r="M121" s="2"/>
      <c r="N121" t="s">
        <v>510</v>
      </c>
      <c r="O121" t="s">
        <v>683</v>
      </c>
    </row>
    <row r="122" spans="1:15" ht="92.4" x14ac:dyDescent="0.3">
      <c r="A122" s="2" t="s">
        <v>293</v>
      </c>
      <c r="B122" s="2" t="str">
        <f>HYPERLINK("https://athlonsports.com/wnba/caitlin-clark-and-connor-mccafferys-latest-public-appearance-draws-attention")</f>
        <v>https://athlonsports.com/wnba/caitlin-clark-and-connor-mccafferys-latest-public-appearance-draws-attention</v>
      </c>
      <c r="C122" s="2" t="s">
        <v>294</v>
      </c>
      <c r="D122" s="2" t="s">
        <v>255</v>
      </c>
      <c r="E122" s="5">
        <v>45673.931226851862</v>
      </c>
      <c r="F122" s="2" t="s">
        <v>295</v>
      </c>
      <c r="G122" s="2">
        <v>22557314</v>
      </c>
      <c r="H122" s="2">
        <v>0</v>
      </c>
      <c r="I122" s="2">
        <v>0</v>
      </c>
      <c r="J122" s="2">
        <v>3</v>
      </c>
      <c r="K122" s="2" t="s">
        <v>24</v>
      </c>
      <c r="L122" s="4">
        <v>208655.15</v>
      </c>
      <c r="M122" s="2"/>
      <c r="N122" t="s">
        <v>635</v>
      </c>
      <c r="O122" t="s">
        <v>635</v>
      </c>
    </row>
    <row r="123" spans="1:15" ht="92.4" x14ac:dyDescent="0.3">
      <c r="A123" s="2" t="s">
        <v>293</v>
      </c>
      <c r="B123" s="2" t="str">
        <f>HYPERLINK("https://www.kansascity.com/sports/article298685928.html")</f>
        <v>https://www.kansascity.com/sports/article298685928.html</v>
      </c>
      <c r="C123" s="2" t="s">
        <v>294</v>
      </c>
      <c r="D123" s="2" t="s">
        <v>252</v>
      </c>
      <c r="E123" s="5">
        <v>45673.906550925924</v>
      </c>
      <c r="F123" s="2" t="s">
        <v>295</v>
      </c>
      <c r="G123" s="2">
        <v>2368155</v>
      </c>
      <c r="H123" s="2">
        <v>0</v>
      </c>
      <c r="I123" s="2">
        <v>0</v>
      </c>
      <c r="J123" s="2">
        <v>0</v>
      </c>
      <c r="K123" s="2" t="s">
        <v>24</v>
      </c>
      <c r="L123" s="4">
        <v>21905.43</v>
      </c>
      <c r="M123" s="2"/>
      <c r="N123" t="s">
        <v>658</v>
      </c>
      <c r="O123" t="s">
        <v>635</v>
      </c>
    </row>
    <row r="124" spans="1:15" ht="79.2" x14ac:dyDescent="0.3">
      <c r="A124" s="2" t="s">
        <v>296</v>
      </c>
      <c r="B124" s="2" t="str">
        <f>HYPERLINK("https://www.essentiallysports.com/wnba-basketball-news-twenty-two-hours-after-boosting-boyfriend-connor-mccaffery-s-run-caitlin-clark-s-lucky-charm-now-vouches-for-indiana-debutants/")</f>
        <v>https://www.essentiallysports.com/wnba-basketball-news-twenty-two-hours-after-boosting-boyfriend-connor-mccaffery-s-run-caitlin-clark-s-lucky-charm-now-vouches-for-indiana-debutants/</v>
      </c>
      <c r="C124" s="2" t="s">
        <v>297</v>
      </c>
      <c r="D124" s="2" t="s">
        <v>74</v>
      </c>
      <c r="E124" s="5">
        <v>45673.89565972222</v>
      </c>
      <c r="F124" s="2" t="s">
        <v>298</v>
      </c>
      <c r="G124" s="2">
        <v>10912895</v>
      </c>
      <c r="H124" s="2">
        <v>0</v>
      </c>
      <c r="I124" s="2">
        <v>0</v>
      </c>
      <c r="J124" s="2">
        <v>0</v>
      </c>
      <c r="K124" s="2" t="s">
        <v>24</v>
      </c>
      <c r="L124" s="4">
        <v>100944.28</v>
      </c>
      <c r="M124" s="2"/>
      <c r="N124" t="s">
        <v>635</v>
      </c>
      <c r="O124" t="s">
        <v>635</v>
      </c>
    </row>
    <row r="125" spans="1:15" ht="92.4" x14ac:dyDescent="0.3">
      <c r="A125" s="2" t="s">
        <v>291</v>
      </c>
      <c r="B125" s="2" t="str">
        <f>HYPERLINK("https://www.indystar.com/story/sports/basketball/wnba/fever/2025/01/16/wnba-star-caitlin-clark-takes-in-indy-ignite-pro-volleyball-match/77757355007/")</f>
        <v>https://www.indystar.com/story/sports/basketball/wnba/fever/2025/01/16/wnba-star-caitlin-clark-takes-in-indy-ignite-pro-volleyball-match/77757355007/</v>
      </c>
      <c r="C125" s="2"/>
      <c r="D125" s="2" t="s">
        <v>30</v>
      </c>
      <c r="E125" s="5">
        <v>45673.845000000001</v>
      </c>
      <c r="F125" s="2" t="s">
        <v>292</v>
      </c>
      <c r="G125" s="2">
        <v>3191890</v>
      </c>
      <c r="H125" s="2">
        <v>0</v>
      </c>
      <c r="I125" s="2">
        <v>0</v>
      </c>
      <c r="J125" s="2">
        <v>1</v>
      </c>
      <c r="K125" s="2" t="s">
        <v>24</v>
      </c>
      <c r="L125" s="4">
        <v>29524.98</v>
      </c>
      <c r="M125" s="2"/>
      <c r="N125" t="s">
        <v>510</v>
      </c>
      <c r="O125" t="s">
        <v>683</v>
      </c>
    </row>
    <row r="126" spans="1:15" ht="118.8" x14ac:dyDescent="0.3">
      <c r="A126" s="2" t="s">
        <v>299</v>
      </c>
      <c r="B126" s="2" t="str">
        <f>HYPERLINK("https://www.oursportscentral.com/services/releases/indy-ignite-host-grand-rapids-on-pink-ribbon-night-presented-by-meijer/n-6182156")</f>
        <v>https://www.oursportscentral.com/services/releases/indy-ignite-host-grand-rapids-on-pink-ribbon-night-presented-by-meijer/n-6182156</v>
      </c>
      <c r="C126" s="2"/>
      <c r="D126" s="2" t="s">
        <v>49</v>
      </c>
      <c r="E126" s="5">
        <v>45673.808333333327</v>
      </c>
      <c r="F126" s="2" t="s">
        <v>300</v>
      </c>
      <c r="G126" s="2">
        <v>62699</v>
      </c>
      <c r="H126" s="2">
        <v>0</v>
      </c>
      <c r="I126" s="2">
        <v>0</v>
      </c>
      <c r="J126" s="2">
        <v>0</v>
      </c>
      <c r="K126" s="2" t="s">
        <v>24</v>
      </c>
      <c r="L126" s="4">
        <v>579.97</v>
      </c>
      <c r="M126" s="2"/>
      <c r="N126" t="s">
        <v>635</v>
      </c>
      <c r="O126" t="s">
        <v>635</v>
      </c>
    </row>
    <row r="127" spans="1:15" ht="66" x14ac:dyDescent="0.3">
      <c r="A127" s="2" t="s">
        <v>301</v>
      </c>
      <c r="B127" s="2" t="str">
        <f>HYPERLINK("https://www.wthr.com/article/sports/local-sports/indy-ignite-improve-to-2-0-with-sweep-of-grand-rapids-pvf-volleyball/531-45d611dd-f638-41dd-b96f-6e0d51e648d1")</f>
        <v>https://www.wthr.com/article/sports/local-sports/indy-ignite-improve-to-2-0-with-sweep-of-grand-rapids-pvf-volleyball/531-45d611dd-f638-41dd-b96f-6e0d51e648d1</v>
      </c>
      <c r="C127" s="2"/>
      <c r="D127" s="2" t="s">
        <v>302</v>
      </c>
      <c r="E127" s="5">
        <v>45673.802800925929</v>
      </c>
      <c r="F127" s="2" t="s">
        <v>303</v>
      </c>
      <c r="G127" s="2">
        <v>1401295</v>
      </c>
      <c r="H127" s="2">
        <v>0</v>
      </c>
      <c r="I127" s="2">
        <v>0</v>
      </c>
      <c r="J127" s="2">
        <v>31</v>
      </c>
      <c r="K127" s="2" t="s">
        <v>24</v>
      </c>
      <c r="L127" s="4">
        <v>12961.98</v>
      </c>
      <c r="M127" s="2"/>
      <c r="N127" t="s">
        <v>510</v>
      </c>
      <c r="O127" t="s">
        <v>683</v>
      </c>
    </row>
    <row r="128" spans="1:15" ht="79.2" x14ac:dyDescent="0.3">
      <c r="A128" s="2" t="s">
        <v>304</v>
      </c>
      <c r="B128" s="2" t="str">
        <f>HYPERLINK("https://www.indianapolismonthly.com/arts-and-culture/sports/indy-ignite-make-history-with-home-opening-win/")</f>
        <v>https://www.indianapolismonthly.com/arts-and-culture/sports/indy-ignite-make-history-with-home-opening-win/</v>
      </c>
      <c r="C128" s="2" t="s">
        <v>305</v>
      </c>
      <c r="D128" s="2" t="s">
        <v>306</v>
      </c>
      <c r="E128" s="5">
        <v>45673.671840277777</v>
      </c>
      <c r="F128" s="2" t="s">
        <v>307</v>
      </c>
      <c r="G128" s="2">
        <v>37147</v>
      </c>
      <c r="H128" s="2">
        <v>0</v>
      </c>
      <c r="I128" s="2">
        <v>0</v>
      </c>
      <c r="J128" s="2">
        <v>0</v>
      </c>
      <c r="K128" s="2" t="s">
        <v>24</v>
      </c>
      <c r="L128" s="4">
        <v>343.61</v>
      </c>
      <c r="M128" s="2"/>
      <c r="N128" t="s">
        <v>510</v>
      </c>
      <c r="O128" t="s">
        <v>683</v>
      </c>
    </row>
    <row r="129" spans="1:15" ht="79.2" x14ac:dyDescent="0.3">
      <c r="A129" s="2" t="s">
        <v>309</v>
      </c>
      <c r="B129" s="2" t="str">
        <f>HYPERLINK("https://weeklyview.net/2025/01/16/applause-jan-10-17/")</f>
        <v>https://weeklyview.net/2025/01/16/applause-jan-10-17/</v>
      </c>
      <c r="C129" s="2"/>
      <c r="D129" s="2" t="s">
        <v>310</v>
      </c>
      <c r="E129" s="5">
        <v>45673.051006944443</v>
      </c>
      <c r="F129" s="2" t="s">
        <v>311</v>
      </c>
      <c r="G129" s="2">
        <v>1972</v>
      </c>
      <c r="H129" s="2">
        <v>0</v>
      </c>
      <c r="I129" s="2">
        <v>0</v>
      </c>
      <c r="J129" s="2">
        <v>0</v>
      </c>
      <c r="K129" s="2" t="s">
        <v>24</v>
      </c>
      <c r="L129" s="4">
        <v>18.239999999999998</v>
      </c>
      <c r="M129" s="2"/>
      <c r="N129" t="s">
        <v>510</v>
      </c>
      <c r="O129" t="s">
        <v>683</v>
      </c>
    </row>
    <row r="130" spans="1:15" ht="92.4" x14ac:dyDescent="0.3">
      <c r="A130" s="2" t="s">
        <v>312</v>
      </c>
      <c r="B130" s="2" t="str">
        <f>HYPERLINK("https://www.oursportscentral.com/services/releases/rise-drop-third-straight-with-road-loss-at-indy/n-6182167")</f>
        <v>https://www.oursportscentral.com/services/releases/rise-drop-third-straight-with-road-loss-at-indy/n-6182167</v>
      </c>
      <c r="C130" s="2"/>
      <c r="D130" s="2" t="s">
        <v>49</v>
      </c>
      <c r="E130" s="5">
        <v>45673</v>
      </c>
      <c r="F130" s="2" t="s">
        <v>313</v>
      </c>
      <c r="G130" s="2">
        <v>62699</v>
      </c>
      <c r="H130" s="2">
        <v>0</v>
      </c>
      <c r="I130" s="2">
        <v>0</v>
      </c>
      <c r="J130" s="2">
        <v>0</v>
      </c>
      <c r="K130" s="2" t="s">
        <v>50</v>
      </c>
      <c r="L130" s="4">
        <v>579.97</v>
      </c>
      <c r="M130" s="2"/>
      <c r="N130" t="s">
        <v>635</v>
      </c>
      <c r="O130" t="s">
        <v>635</v>
      </c>
    </row>
    <row r="131" spans="1:15" ht="79.2" x14ac:dyDescent="0.3">
      <c r="A131" s="2" t="s">
        <v>314</v>
      </c>
      <c r="B131" s="2" t="str">
        <f>HYPERLINK("https://www.larryinfishers.com/2025/01/15/podcast-may-kay-huse-president-general-manager-indy-ignite/")</f>
        <v>https://www.larryinfishers.com/2025/01/15/podcast-may-kay-huse-president-general-manager-indy-ignite/</v>
      </c>
      <c r="C131" s="2"/>
      <c r="D131" s="2" t="s">
        <v>41</v>
      </c>
      <c r="E131" s="5">
        <v>45672.551238425927</v>
      </c>
      <c r="F131" s="2" t="s">
        <v>315</v>
      </c>
      <c r="G131" s="2">
        <v>3011</v>
      </c>
      <c r="H131" s="2">
        <v>0</v>
      </c>
      <c r="I131" s="2">
        <v>0</v>
      </c>
      <c r="J131" s="2">
        <v>0</v>
      </c>
      <c r="K131" s="2" t="s">
        <v>50</v>
      </c>
      <c r="L131" s="4">
        <v>27.85</v>
      </c>
      <c r="M131" s="2"/>
      <c r="N131" t="s">
        <v>634</v>
      </c>
      <c r="O131" t="s">
        <v>683</v>
      </c>
    </row>
    <row r="132" spans="1:15" ht="52.8" x14ac:dyDescent="0.3">
      <c r="A132" s="2" t="s">
        <v>316</v>
      </c>
      <c r="B132" s="2" t="str">
        <f>HYPERLINK("https://www.oursportscentral.com/services/releases/cbs-sports-network-to-broadcast-april-19-home-match-against-indy/n-6181695")</f>
        <v>https://www.oursportscentral.com/services/releases/cbs-sports-network-to-broadcast-april-19-home-match-against-indy/n-6181695</v>
      </c>
      <c r="C132" s="2"/>
      <c r="D132" s="2" t="s">
        <v>49</v>
      </c>
      <c r="E132" s="5">
        <v>45672.487500000003</v>
      </c>
      <c r="F132" s="2" t="s">
        <v>317</v>
      </c>
      <c r="G132" s="2">
        <v>62699</v>
      </c>
      <c r="H132" s="2">
        <v>0</v>
      </c>
      <c r="I132" s="2">
        <v>0</v>
      </c>
      <c r="J132" s="2">
        <v>0</v>
      </c>
      <c r="K132" s="2" t="s">
        <v>50</v>
      </c>
      <c r="L132" s="4">
        <v>579.97</v>
      </c>
      <c r="M132" s="2"/>
      <c r="N132" t="s">
        <v>635</v>
      </c>
      <c r="O132" t="s">
        <v>635</v>
      </c>
    </row>
    <row r="133" spans="1:15" ht="52.8" x14ac:dyDescent="0.3">
      <c r="A133" s="2" t="s">
        <v>318</v>
      </c>
      <c r="B133" s="2" t="str">
        <f>HYPERLINK("https://soundcloud.com/podcasts-by-larry-lannan/mary-kay-huse-indy-ignite")</f>
        <v>https://soundcloud.com/podcasts-by-larry-lannan/mary-kay-huse-indy-ignite</v>
      </c>
      <c r="C133" s="2"/>
      <c r="D133" s="2" t="s">
        <v>319</v>
      </c>
      <c r="E133" s="5">
        <v>45672</v>
      </c>
      <c r="F133" s="2" t="s">
        <v>320</v>
      </c>
      <c r="G133" s="2">
        <v>31742549</v>
      </c>
      <c r="H133" s="2">
        <v>0</v>
      </c>
      <c r="I133" s="2">
        <v>0</v>
      </c>
      <c r="J133" s="2">
        <v>1</v>
      </c>
      <c r="K133" s="2" t="s">
        <v>50</v>
      </c>
      <c r="L133" s="4">
        <v>293618.58</v>
      </c>
      <c r="M133" s="2"/>
      <c r="N133" t="s">
        <v>634</v>
      </c>
      <c r="O133" t="s">
        <v>683</v>
      </c>
    </row>
    <row r="134" spans="1:15" ht="105.6" x14ac:dyDescent="0.3">
      <c r="A134" s="2" t="s">
        <v>321</v>
      </c>
      <c r="B134" s="2" t="str">
        <f>HYPERLINK("https://www.oursportscentral.com/services/releases/last-week-around-the-leagues/n-6181220")</f>
        <v>https://www.oursportscentral.com/services/releases/last-week-around-the-leagues/n-6181220</v>
      </c>
      <c r="C134" s="2" t="s">
        <v>322</v>
      </c>
      <c r="D134" s="2" t="s">
        <v>49</v>
      </c>
      <c r="E134" s="5">
        <v>45671.002569444441</v>
      </c>
      <c r="F134" s="2" t="s">
        <v>323</v>
      </c>
      <c r="G134" s="2">
        <v>62699</v>
      </c>
      <c r="H134" s="2">
        <v>0</v>
      </c>
      <c r="I134" s="2">
        <v>0</v>
      </c>
      <c r="J134" s="2">
        <v>11</v>
      </c>
      <c r="K134" s="2" t="s">
        <v>24</v>
      </c>
      <c r="L134" s="4">
        <v>579.97</v>
      </c>
      <c r="M134" s="2"/>
      <c r="N134" t="s">
        <v>635</v>
      </c>
      <c r="O134" t="s">
        <v>635</v>
      </c>
    </row>
    <row r="135" spans="1:15" ht="79.2" x14ac:dyDescent="0.3">
      <c r="A135" s="2" t="s">
        <v>324</v>
      </c>
      <c r="B135" s="2" t="str">
        <f>HYPERLINK("https://www.indianapolismonthly.com/arts-and-culture/sports/photo-gallery-indy-ignite-home-opener/")</f>
        <v>https://www.indianapolismonthly.com/arts-and-culture/sports/photo-gallery-indy-ignite-home-opener/</v>
      </c>
      <c r="C135" s="2" t="s">
        <v>305</v>
      </c>
      <c r="D135" s="2" t="s">
        <v>306</v>
      </c>
      <c r="E135" s="5">
        <v>45671</v>
      </c>
      <c r="F135" s="2" t="s">
        <v>325</v>
      </c>
      <c r="G135" s="2">
        <v>37147</v>
      </c>
      <c r="H135" s="2">
        <v>0</v>
      </c>
      <c r="I135" s="2">
        <v>0</v>
      </c>
      <c r="J135" s="2">
        <v>0</v>
      </c>
      <c r="K135" s="2" t="s">
        <v>50</v>
      </c>
      <c r="L135" s="4">
        <v>343.61</v>
      </c>
      <c r="M135" s="2"/>
      <c r="N135" t="s">
        <v>510</v>
      </c>
      <c r="O135" t="s">
        <v>683</v>
      </c>
    </row>
    <row r="136" spans="1:15" ht="66" x14ac:dyDescent="0.3">
      <c r="A136" s="2" t="s">
        <v>326</v>
      </c>
      <c r="B136" s="2" t="str">
        <f>HYPERLINK("https://wibc.com/playlist/tony-katz-and-the-morning-news-3rd-hr-1-13-25-in-dems-still-dont-get-it-braun-beckwith-being-sworn-in-today-jerome-powell-fed-rates-indy-ignite/")</f>
        <v>https://wibc.com/playlist/tony-katz-and-the-morning-news-3rd-hr-1-13-25-in-dems-still-dont-get-it-braun-beckwith-being-sworn-in-today-jerome-powell-fed-rates-indy-ignite/</v>
      </c>
      <c r="C136" s="2" t="s">
        <v>327</v>
      </c>
      <c r="D136" s="2" t="s">
        <v>328</v>
      </c>
      <c r="E136" s="5">
        <v>45670.405821759261</v>
      </c>
      <c r="F136" s="2" t="s">
        <v>329</v>
      </c>
      <c r="G136" s="2">
        <v>49098</v>
      </c>
      <c r="H136" s="2">
        <v>0</v>
      </c>
      <c r="I136" s="2">
        <v>0</v>
      </c>
      <c r="J136" s="2">
        <v>29</v>
      </c>
      <c r="K136" s="2" t="s">
        <v>24</v>
      </c>
      <c r="L136" s="4">
        <v>454.16</v>
      </c>
      <c r="M136" s="2"/>
      <c r="N136" t="s">
        <v>510</v>
      </c>
      <c r="O136" t="s">
        <v>683</v>
      </c>
    </row>
    <row r="137" spans="1:15" ht="66" x14ac:dyDescent="0.3">
      <c r="A137" s="2" t="s">
        <v>330</v>
      </c>
      <c r="B137" s="2" t="str">
        <f>HYPERLINK("https://indy-ignite-pro-volleyball.muckrack.com/link/eFrWPF/roller-coaster-ignite-electrify-in-season-opening-win-over-the-orlando-valkyries")</f>
        <v>https://indy-ignite-pro-volleyball.muckrack.com/link/eFrWPF/roller-coaster-ignite-electrify-in-season-opening-win-over-the-orlando-valkyries</v>
      </c>
      <c r="C137" s="2" t="s">
        <v>331</v>
      </c>
      <c r="D137" s="2" t="s">
        <v>30</v>
      </c>
      <c r="E137" s="5">
        <v>45670.291666666657</v>
      </c>
      <c r="F137" s="2" t="s">
        <v>332</v>
      </c>
      <c r="G137" s="2"/>
      <c r="H137" s="2">
        <v>0</v>
      </c>
      <c r="I137" s="2">
        <v>0</v>
      </c>
      <c r="J137" s="2">
        <v>0</v>
      </c>
      <c r="K137" s="2" t="s">
        <v>24</v>
      </c>
      <c r="L137" s="4">
        <v>21007</v>
      </c>
      <c r="M137" s="2"/>
      <c r="N137" t="s">
        <v>510</v>
      </c>
      <c r="O137" t="s">
        <v>683</v>
      </c>
    </row>
    <row r="138" spans="1:15" ht="409.6" x14ac:dyDescent="0.3">
      <c r="A138" s="2" t="s">
        <v>333</v>
      </c>
      <c r="B138" s="2" t="str">
        <f>HYPERLINK("https://www.ibj.com/articles/pro-volleyball-team-ignite-scores-victory-praise-at-inaugural-match")</f>
        <v>https://www.ibj.com/articles/pro-volleyball-team-ignite-scores-victory-praise-at-inaugural-match</v>
      </c>
      <c r="C138" s="2" t="s">
        <v>334</v>
      </c>
      <c r="D138" s="2" t="s">
        <v>106</v>
      </c>
      <c r="E138" s="5">
        <v>45670.022997685177</v>
      </c>
      <c r="F138" s="2" t="s">
        <v>335</v>
      </c>
      <c r="G138" s="2">
        <v>96182</v>
      </c>
      <c r="H138" s="2">
        <v>0</v>
      </c>
      <c r="I138" s="2">
        <v>0</v>
      </c>
      <c r="J138" s="2">
        <v>31</v>
      </c>
      <c r="K138" s="2" t="s">
        <v>24</v>
      </c>
      <c r="L138" s="4">
        <v>889.68</v>
      </c>
      <c r="M138" s="2"/>
      <c r="N138" t="s">
        <v>510</v>
      </c>
      <c r="O138" t="s">
        <v>683</v>
      </c>
    </row>
    <row r="139" spans="1:15" ht="52.8" x14ac:dyDescent="0.3">
      <c r="A139" s="2" t="s">
        <v>336</v>
      </c>
      <c r="B139" s="2" t="str">
        <f>HYPERLINK("https://www.oursportscentral.com/services/releases/weekly-sports-league-and-franchise-report/n-6180962")</f>
        <v>https://www.oursportscentral.com/services/releases/weekly-sports-league-and-franchise-report/n-6180962</v>
      </c>
      <c r="C139" s="2" t="s">
        <v>337</v>
      </c>
      <c r="D139" s="2" t="s">
        <v>49</v>
      </c>
      <c r="E139" s="5">
        <v>45670.000416666669</v>
      </c>
      <c r="F139" s="2" t="s">
        <v>338</v>
      </c>
      <c r="G139" s="2">
        <v>62699</v>
      </c>
      <c r="H139" s="2">
        <v>0</v>
      </c>
      <c r="I139" s="2">
        <v>0</v>
      </c>
      <c r="J139" s="2">
        <v>25</v>
      </c>
      <c r="K139" s="2" t="s">
        <v>50</v>
      </c>
      <c r="L139" s="4">
        <v>579.97</v>
      </c>
      <c r="M139" s="2"/>
      <c r="N139" t="s">
        <v>635</v>
      </c>
      <c r="O139" t="s">
        <v>635</v>
      </c>
    </row>
    <row r="140" spans="1:15" ht="66" x14ac:dyDescent="0.3">
      <c r="A140" s="2" t="s">
        <v>339</v>
      </c>
      <c r="B140" s="2" t="str">
        <f>HYPERLINK("https://wisportsheroics.com/3-wisconsin-badgers-help-indy-ignite-win-pvf/")</f>
        <v>https://wisportsheroics.com/3-wisconsin-badgers-help-indy-ignite-win-pvf/</v>
      </c>
      <c r="C140" s="2" t="s">
        <v>274</v>
      </c>
      <c r="D140" s="2" t="s">
        <v>275</v>
      </c>
      <c r="E140" s="5">
        <v>45669.869525462957</v>
      </c>
      <c r="F140" s="2" t="s">
        <v>340</v>
      </c>
      <c r="G140" s="2">
        <v>888270</v>
      </c>
      <c r="H140" s="2">
        <v>0</v>
      </c>
      <c r="I140" s="2">
        <v>0</v>
      </c>
      <c r="J140" s="2">
        <v>0</v>
      </c>
      <c r="K140" s="2" t="s">
        <v>24</v>
      </c>
      <c r="L140" s="4">
        <v>8216.5</v>
      </c>
      <c r="M140" s="2"/>
      <c r="N140" t="s">
        <v>674</v>
      </c>
      <c r="O140" t="s">
        <v>635</v>
      </c>
    </row>
    <row r="141" spans="1:15" ht="92.4" x14ac:dyDescent="0.3">
      <c r="A141" s="2" t="s">
        <v>341</v>
      </c>
      <c r="B141" s="2" t="str">
        <f>HYPERLINK("https://mdmh-bloomington.com/indy-ignite-win-first-match-in-franchise-history/")</f>
        <v>https://mdmh-bloomington.com/indy-ignite-win-first-match-in-franchise-history/</v>
      </c>
      <c r="C141" s="2" t="s">
        <v>342</v>
      </c>
      <c r="D141" s="2" t="s">
        <v>343</v>
      </c>
      <c r="E141" s="5">
        <v>45669.843240740738</v>
      </c>
      <c r="F141" s="2" t="s">
        <v>344</v>
      </c>
      <c r="G141" s="2">
        <v>213</v>
      </c>
      <c r="H141" s="2">
        <v>0</v>
      </c>
      <c r="I141" s="2">
        <v>0</v>
      </c>
      <c r="J141" s="2">
        <v>0</v>
      </c>
      <c r="K141" s="2" t="s">
        <v>24</v>
      </c>
      <c r="L141" s="4">
        <v>1.97</v>
      </c>
      <c r="M141" s="2"/>
      <c r="N141" t="s">
        <v>676</v>
      </c>
      <c r="O141" t="s">
        <v>683</v>
      </c>
    </row>
    <row r="142" spans="1:15" ht="105.6" x14ac:dyDescent="0.3">
      <c r="A142" s="2" t="s">
        <v>345</v>
      </c>
      <c r="B142" s="2" t="str">
        <f>HYPERLINK("https://www.wthr.com/article/sports/local-sports/new-indianapolis-sports-teams-kick-off-inaugural-seasons-fishers-freight-indy-ignite-indiana-valor-football-volleyball-womens-sports/531-fae5d683-2747-42d2-a3ea-11259d934629")</f>
        <v>https://www.wthr.com/article/sports/local-sports/new-indianapolis-sports-teams-kick-off-inaugural-seasons-fishers-freight-indy-ignite-indiana-valor-football-volleyball-womens-sports/531-fae5d683-2747-42d2-a3ea-11259d934629</v>
      </c>
      <c r="C142" s="2"/>
      <c r="D142" s="2" t="s">
        <v>302</v>
      </c>
      <c r="E142" s="5">
        <v>45669.742685185192</v>
      </c>
      <c r="F142" s="2" t="s">
        <v>346</v>
      </c>
      <c r="G142" s="2">
        <v>1401295</v>
      </c>
      <c r="H142" s="2">
        <v>0</v>
      </c>
      <c r="I142" s="2">
        <v>0</v>
      </c>
      <c r="J142" s="2">
        <v>0</v>
      </c>
      <c r="K142" s="2" t="s">
        <v>24</v>
      </c>
      <c r="L142" s="4">
        <v>12961.98</v>
      </c>
      <c r="M142" s="2"/>
      <c r="N142" t="s">
        <v>510</v>
      </c>
      <c r="O142" t="s">
        <v>683</v>
      </c>
    </row>
    <row r="143" spans="1:15" ht="105.6" x14ac:dyDescent="0.3">
      <c r="A143" s="2" t="s">
        <v>347</v>
      </c>
      <c r="B143" s="2" t="str">
        <f>HYPERLINK("https://www.oursportscentral.com/services/releases/indy-ignite-light-it-up-with-victory-in-opening-pvf-match/n-6180820")</f>
        <v>https://www.oursportscentral.com/services/releases/indy-ignite-light-it-up-with-victory-in-opening-pvf-match/n-6180820</v>
      </c>
      <c r="C143" s="2"/>
      <c r="D143" s="2" t="s">
        <v>49</v>
      </c>
      <c r="E143" s="5">
        <v>45669.470833333333</v>
      </c>
      <c r="F143" s="2" t="s">
        <v>348</v>
      </c>
      <c r="G143" s="2">
        <v>62699</v>
      </c>
      <c r="H143" s="2">
        <v>0</v>
      </c>
      <c r="I143" s="2">
        <v>0</v>
      </c>
      <c r="J143" s="2">
        <v>0</v>
      </c>
      <c r="K143" s="2" t="s">
        <v>24</v>
      </c>
      <c r="L143" s="4">
        <v>579.97</v>
      </c>
      <c r="M143" s="2"/>
      <c r="N143" t="s">
        <v>635</v>
      </c>
      <c r="O143" t="s">
        <v>635</v>
      </c>
    </row>
    <row r="144" spans="1:15" ht="118.8" x14ac:dyDescent="0.3">
      <c r="A144" s="2" t="s">
        <v>349</v>
      </c>
      <c r="B144" s="2" t="str">
        <f>HYPERLINK("https://www.wthr.com/article/sports/local-sports/indy-ignite-victory-opening-pvf-match-win-fishers-event-center-indianapolis-indiana-professional-womens-volleyball-sports-orlando-valkyries/531-07cb718c-9a16-411f-b75d-6c434969b5cc")</f>
        <v>https://www.wthr.com/article/sports/local-sports/indy-ignite-victory-opening-pvf-match-win-fishers-event-center-indianapolis-indiana-professional-womens-volleyball-sports-orlando-valkyries/531-07cb718c-9a16-411f-b75d-6c434969b5cc</v>
      </c>
      <c r="C144" s="2"/>
      <c r="D144" s="2" t="s">
        <v>302</v>
      </c>
      <c r="E144" s="5">
        <v>45669.424178240741</v>
      </c>
      <c r="F144" s="2" t="s">
        <v>350</v>
      </c>
      <c r="G144" s="2">
        <v>1401295</v>
      </c>
      <c r="H144" s="2">
        <v>0</v>
      </c>
      <c r="I144" s="2">
        <v>0</v>
      </c>
      <c r="J144" s="2">
        <v>87</v>
      </c>
      <c r="K144" s="2" t="s">
        <v>50</v>
      </c>
      <c r="L144" s="4">
        <v>12961.98</v>
      </c>
      <c r="M144" s="2"/>
      <c r="N144" t="s">
        <v>510</v>
      </c>
      <c r="O144" t="s">
        <v>683</v>
      </c>
    </row>
    <row r="145" spans="1:15" ht="290.39999999999998" x14ac:dyDescent="0.3">
      <c r="A145" s="2" t="s">
        <v>351</v>
      </c>
      <c r="B145" s="2" t="str">
        <f>HYPERLINK("https://www.ballstatedaily.com/article/2025/01/indy-ignite-win-inaugural-match-in-four-sets")</f>
        <v>https://www.ballstatedaily.com/article/2025/01/indy-ignite-win-inaugural-match-in-four-sets</v>
      </c>
      <c r="C145" s="2" t="s">
        <v>352</v>
      </c>
      <c r="D145" s="2" t="s">
        <v>353</v>
      </c>
      <c r="E145" s="5">
        <v>45669.410138888888</v>
      </c>
      <c r="F145" s="2" t="s">
        <v>354</v>
      </c>
      <c r="G145" s="2">
        <v>28680</v>
      </c>
      <c r="H145" s="2">
        <v>0</v>
      </c>
      <c r="I145" s="2">
        <v>0</v>
      </c>
      <c r="J145" s="2">
        <v>14</v>
      </c>
      <c r="K145" s="2" t="s">
        <v>24</v>
      </c>
      <c r="L145" s="4">
        <v>265.29000000000002</v>
      </c>
      <c r="M145" s="2"/>
      <c r="N145" t="s">
        <v>644</v>
      </c>
      <c r="O145" t="s">
        <v>683</v>
      </c>
    </row>
    <row r="146" spans="1:15" ht="171.6" x14ac:dyDescent="0.3">
      <c r="A146" s="2" t="s">
        <v>351</v>
      </c>
      <c r="B146" s="2" t="str">
        <f>HYPERLINK("https://www.ballstatedailynews.com/article/2025/01/indy-ignite-win-inaugural-match-in-four-sets")</f>
        <v>https://www.ballstatedailynews.com/article/2025/01/indy-ignite-win-inaugural-match-in-four-sets</v>
      </c>
      <c r="C146" s="2" t="s">
        <v>352</v>
      </c>
      <c r="D146" s="2" t="s">
        <v>355</v>
      </c>
      <c r="E146" s="5">
        <v>45669.406435185178</v>
      </c>
      <c r="F146" s="2" t="s">
        <v>356</v>
      </c>
      <c r="G146" s="2">
        <v>7497</v>
      </c>
      <c r="H146" s="2">
        <v>0</v>
      </c>
      <c r="I146" s="2">
        <v>0</v>
      </c>
      <c r="J146" s="2">
        <v>17</v>
      </c>
      <c r="K146" s="2" t="s">
        <v>24</v>
      </c>
      <c r="L146" s="4">
        <v>69.349999999999994</v>
      </c>
      <c r="M146" s="2"/>
      <c r="N146" t="s">
        <v>644</v>
      </c>
      <c r="O146" t="s">
        <v>683</v>
      </c>
    </row>
    <row r="147" spans="1:15" ht="79.2" x14ac:dyDescent="0.3">
      <c r="A147" s="2" t="s">
        <v>357</v>
      </c>
      <c r="B147" s="2" t="str">
        <f>HYPERLINK("https://hoodline.com/2025/01/indy-ignite-blaze-past-orlando-valkyries-for-a-historic-victory-in-season-opener-at-fishers-event-center/")</f>
        <v>https://hoodline.com/2025/01/indy-ignite-blaze-past-orlando-valkyries-for-a-historic-victory-in-season-opener-at-fishers-event-center/</v>
      </c>
      <c r="C147" s="2" t="s">
        <v>358</v>
      </c>
      <c r="D147" s="2" t="s">
        <v>359</v>
      </c>
      <c r="E147" s="5">
        <v>45669.36645833333</v>
      </c>
      <c r="F147" s="2" t="s">
        <v>360</v>
      </c>
      <c r="G147" s="2">
        <v>938389</v>
      </c>
      <c r="H147" s="2">
        <v>0</v>
      </c>
      <c r="I147" s="2">
        <v>0</v>
      </c>
      <c r="J147" s="2">
        <v>0</v>
      </c>
      <c r="K147" s="2" t="s">
        <v>50</v>
      </c>
      <c r="L147" s="4">
        <v>8680.1</v>
      </c>
      <c r="M147" s="2"/>
      <c r="N147" t="s">
        <v>677</v>
      </c>
      <c r="O147" t="s">
        <v>635</v>
      </c>
    </row>
    <row r="148" spans="1:15" ht="66" x14ac:dyDescent="0.3">
      <c r="A148" s="2" t="s">
        <v>361</v>
      </c>
      <c r="B148" s="2" t="str">
        <f>HYPERLINK("https://indy-ignite-pro-volleyball.muckrack.com/link/eFLcxc/fast-paced-and-a-roller-coaster-indy-ignite-electrify-fans-in-season-opening-win")</f>
        <v>https://indy-ignite-pro-volleyball.muckrack.com/link/eFLcxc/fast-paced-and-a-roller-coaster-indy-ignite-electrify-fans-in-season-opening-win</v>
      </c>
      <c r="C148" s="2"/>
      <c r="D148" s="2" t="s">
        <v>30</v>
      </c>
      <c r="E148" s="5">
        <v>45669.291666666657</v>
      </c>
      <c r="F148" s="2" t="s">
        <v>362</v>
      </c>
      <c r="G148" s="2"/>
      <c r="H148" s="2">
        <v>0</v>
      </c>
      <c r="I148" s="2">
        <v>0</v>
      </c>
      <c r="J148" s="2">
        <v>0</v>
      </c>
      <c r="K148" s="2" t="s">
        <v>24</v>
      </c>
      <c r="L148" s="4">
        <v>21007</v>
      </c>
      <c r="M148" s="2"/>
      <c r="N148" t="s">
        <v>510</v>
      </c>
      <c r="O148" t="s">
        <v>683</v>
      </c>
    </row>
    <row r="149" spans="1:15" ht="92.4" x14ac:dyDescent="0.3">
      <c r="A149" s="2" t="s">
        <v>351</v>
      </c>
      <c r="B149" s="2" t="str">
        <f>HYPERLINK("https://indy-ignite-pro-volleyball.muckrack.com/link/eFLRni/were-not-leaving-here-without-a-dub-indy-ignite-win-inaugural-match-in-four-sets")</f>
        <v>https://indy-ignite-pro-volleyball.muckrack.com/link/eFLRni/were-not-leaving-here-without-a-dub-indy-ignite-win-inaugural-match-in-four-sets</v>
      </c>
      <c r="C149" s="2"/>
      <c r="D149" s="2" t="s">
        <v>353</v>
      </c>
      <c r="E149" s="5">
        <v>45669.291666666657</v>
      </c>
      <c r="F149" s="2" t="s">
        <v>363</v>
      </c>
      <c r="G149" s="2"/>
      <c r="H149" s="2">
        <v>0</v>
      </c>
      <c r="I149" s="2">
        <v>0</v>
      </c>
      <c r="J149" s="2">
        <v>0</v>
      </c>
      <c r="K149" s="2" t="s">
        <v>24</v>
      </c>
      <c r="L149" s="4">
        <v>475</v>
      </c>
      <c r="M149" s="2"/>
      <c r="N149" t="s">
        <v>644</v>
      </c>
      <c r="O149" t="s">
        <v>683</v>
      </c>
    </row>
    <row r="150" spans="1:15" ht="66" x14ac:dyDescent="0.3">
      <c r="A150" s="2" t="s">
        <v>364</v>
      </c>
      <c r="B150" s="2" t="str">
        <f>HYPERLINK("https://indy-ignite-pro-volleyball.muckrack.com/link/eFLspR/starting-5-ex-louisville-volleyball-stars-make-pro-debuts-teen-seeks-hockey-gold-medal")</f>
        <v>https://indy-ignite-pro-volleyball.muckrack.com/link/eFLspR/starting-5-ex-louisville-volleyball-stars-make-pro-debuts-teen-seeks-hockey-gold-medal</v>
      </c>
      <c r="C150" s="2"/>
      <c r="D150" s="2" t="s">
        <v>365</v>
      </c>
      <c r="E150" s="5">
        <v>45669.291666666657</v>
      </c>
      <c r="F150" s="2" t="s">
        <v>366</v>
      </c>
      <c r="G150" s="2"/>
      <c r="H150" s="2">
        <v>0</v>
      </c>
      <c r="I150" s="2">
        <v>0</v>
      </c>
      <c r="J150" s="2">
        <v>0</v>
      </c>
      <c r="K150" s="2" t="s">
        <v>24</v>
      </c>
      <c r="L150" s="4">
        <v>2898</v>
      </c>
      <c r="M150" s="2"/>
      <c r="N150" t="s">
        <v>678</v>
      </c>
      <c r="O150" t="s">
        <v>635</v>
      </c>
    </row>
    <row r="151" spans="1:15" ht="211.2" x14ac:dyDescent="0.3">
      <c r="A151" s="2" t="s">
        <v>367</v>
      </c>
      <c r="B151" s="2" t="str">
        <f>HYPERLINK("https://indy-ignite-pro-volleyball.muckrack.com/link/eFRf60/the-score-card-jan-5-through-jan-11")</f>
        <v>https://indy-ignite-pro-volleyball.muckrack.com/link/eFRf60/the-score-card-jan-5-through-jan-11</v>
      </c>
      <c r="C151" s="2"/>
      <c r="D151" s="2" t="s">
        <v>353</v>
      </c>
      <c r="E151" s="5">
        <v>45669.291666666657</v>
      </c>
      <c r="F151" s="2" t="s">
        <v>368</v>
      </c>
      <c r="G151" s="2"/>
      <c r="H151" s="2">
        <v>0</v>
      </c>
      <c r="I151" s="2">
        <v>0</v>
      </c>
      <c r="J151" s="2">
        <v>0</v>
      </c>
      <c r="K151" s="2" t="s">
        <v>50</v>
      </c>
      <c r="L151" s="4">
        <v>475</v>
      </c>
      <c r="M151" s="2"/>
      <c r="N151" t="s">
        <v>644</v>
      </c>
      <c r="O151" t="s">
        <v>683</v>
      </c>
    </row>
    <row r="152" spans="1:15" ht="52.8" x14ac:dyDescent="0.3">
      <c r="A152" s="2" t="s">
        <v>364</v>
      </c>
      <c r="B152" s="2" t="str">
        <f>HYPERLINK("https://sports.yahoo.com/starting-5-ex-louisville-volleyball-101039912.html")</f>
        <v>https://sports.yahoo.com/starting-5-ex-louisville-volleyball-101039912.html</v>
      </c>
      <c r="C152" s="2"/>
      <c r="D152" s="2" t="s">
        <v>57</v>
      </c>
      <c r="E152" s="5">
        <v>45669.215729166674</v>
      </c>
      <c r="F152" s="2" t="s">
        <v>366</v>
      </c>
      <c r="G152" s="2">
        <v>23223632</v>
      </c>
      <c r="H152" s="2">
        <v>0</v>
      </c>
      <c r="I152" s="2">
        <v>0</v>
      </c>
      <c r="J152" s="2">
        <v>0</v>
      </c>
      <c r="K152" s="2" t="s">
        <v>24</v>
      </c>
      <c r="L152" s="4">
        <v>214818.6</v>
      </c>
      <c r="M152" s="2"/>
      <c r="N152" t="s">
        <v>635</v>
      </c>
      <c r="O152" t="s">
        <v>635</v>
      </c>
    </row>
    <row r="153" spans="1:15" ht="66" x14ac:dyDescent="0.3">
      <c r="A153" s="2" t="s">
        <v>364</v>
      </c>
      <c r="B153" s="2" t="str">
        <f>HYPERLINK("https://www.courier-journal.com/story/sports/2025/01/12/louisville-volleyball-indy-ignite-vegas-thrill-nba-all-star-game-donovan-mitchell/77297317007/")</f>
        <v>https://www.courier-journal.com/story/sports/2025/01/12/louisville-volleyball-indy-ignite-vegas-thrill-nba-all-star-game-donovan-mitchell/77297317007/</v>
      </c>
      <c r="C153" s="2"/>
      <c r="D153" s="2" t="s">
        <v>365</v>
      </c>
      <c r="E153" s="5">
        <v>45669.215729166674</v>
      </c>
      <c r="F153" s="2" t="s">
        <v>366</v>
      </c>
      <c r="G153" s="2">
        <v>1668962</v>
      </c>
      <c r="H153" s="2">
        <v>0</v>
      </c>
      <c r="I153" s="2">
        <v>0</v>
      </c>
      <c r="J153" s="2">
        <v>55</v>
      </c>
      <c r="K153" s="2" t="s">
        <v>24</v>
      </c>
      <c r="L153" s="4">
        <v>15437.9</v>
      </c>
      <c r="M153" s="2"/>
      <c r="N153" t="s">
        <v>678</v>
      </c>
      <c r="O153" t="s">
        <v>635</v>
      </c>
    </row>
    <row r="154" spans="1:15" ht="52.8" x14ac:dyDescent="0.3">
      <c r="A154" s="2" t="s">
        <v>361</v>
      </c>
      <c r="B154" s="2" t="str">
        <f>HYPERLINK("https://newspub.live/midwest/indianapolis-in/fast-paced-and-a-roller-coaster-indy-ignite-electrify-fans-in-season-opening-win/")</f>
        <v>https://newspub.live/midwest/indianapolis-in/fast-paced-and-a-roller-coaster-indy-ignite-electrify-fans-in-season-opening-win/</v>
      </c>
      <c r="C154" s="2"/>
      <c r="D154" s="2" t="s">
        <v>369</v>
      </c>
      <c r="E154" s="5">
        <v>45669.210023148153</v>
      </c>
      <c r="F154" s="2" t="s">
        <v>370</v>
      </c>
      <c r="G154" s="2">
        <v>134</v>
      </c>
      <c r="H154" s="2">
        <v>0</v>
      </c>
      <c r="I154" s="2">
        <v>0</v>
      </c>
      <c r="J154" s="2">
        <v>0</v>
      </c>
      <c r="K154" s="2" t="s">
        <v>24</v>
      </c>
      <c r="L154" s="4">
        <v>1.24</v>
      </c>
      <c r="M154" s="2"/>
      <c r="N154" t="s">
        <v>637</v>
      </c>
      <c r="O154" t="s">
        <v>684</v>
      </c>
    </row>
    <row r="155" spans="1:15" ht="66" x14ac:dyDescent="0.3">
      <c r="A155" s="2" t="s">
        <v>361</v>
      </c>
      <c r="B155" s="2" t="str">
        <f>HYPERLINK("https://www.indystar.com/story/sports/2025/01/12/indy-ignite-electrify-in-season-opening-win-vs-orlando-pro-womens-volleyball-fishers-event-center/77248499007/")</f>
        <v>https://www.indystar.com/story/sports/2025/01/12/indy-ignite-electrify-in-season-opening-win-vs-orlando-pro-womens-volleyball-fishers-event-center/77248499007/</v>
      </c>
      <c r="C155" s="2" t="s">
        <v>371</v>
      </c>
      <c r="D155" s="2" t="s">
        <v>30</v>
      </c>
      <c r="E155" s="5">
        <v>45669.010520833333</v>
      </c>
      <c r="F155" s="2" t="s">
        <v>362</v>
      </c>
      <c r="G155" s="2">
        <v>3191890</v>
      </c>
      <c r="H155" s="2">
        <v>7</v>
      </c>
      <c r="I155" s="2">
        <v>191327</v>
      </c>
      <c r="J155" s="2">
        <v>300</v>
      </c>
      <c r="K155" s="2" t="s">
        <v>24</v>
      </c>
      <c r="L155" s="4">
        <v>29524.98</v>
      </c>
      <c r="M155" s="2"/>
      <c r="N155" t="s">
        <v>510</v>
      </c>
      <c r="O155" t="s">
        <v>683</v>
      </c>
    </row>
    <row r="156" spans="1:15" ht="158.4" x14ac:dyDescent="0.3">
      <c r="A156" s="2" t="s">
        <v>361</v>
      </c>
      <c r="B156" s="2" t="str">
        <f>HYPERLINK("https://sports.yahoo.com/fast-paced-roller-coaster-indy-051509085.html")</f>
        <v>https://sports.yahoo.com/fast-paced-roller-coaster-indy-051509085.html</v>
      </c>
      <c r="C156" s="2" t="s">
        <v>371</v>
      </c>
      <c r="D156" s="2" t="s">
        <v>57</v>
      </c>
      <c r="E156" s="5">
        <v>45669.010520833333</v>
      </c>
      <c r="F156" s="2" t="s">
        <v>372</v>
      </c>
      <c r="G156" s="2">
        <v>23223632</v>
      </c>
      <c r="H156" s="2">
        <v>0</v>
      </c>
      <c r="I156" s="2">
        <v>0</v>
      </c>
      <c r="J156" s="2">
        <v>0</v>
      </c>
      <c r="K156" s="2" t="s">
        <v>24</v>
      </c>
      <c r="L156" s="4">
        <v>214818.6</v>
      </c>
      <c r="M156" s="2"/>
      <c r="N156" t="s">
        <v>635</v>
      </c>
      <c r="O156" t="s">
        <v>635</v>
      </c>
    </row>
    <row r="157" spans="1:15" ht="66" x14ac:dyDescent="0.3">
      <c r="A157" s="2" t="s">
        <v>373</v>
      </c>
      <c r="B157" s="2" t="str">
        <f>HYPERLINK("https://www.essentiallysports.com/us-sports-news-volleyball-news-amid-sad-miss-anna-debeer-gains-louisville-volleyballs-support-on-important-game-night/")</f>
        <v>https://www.essentiallysports.com/us-sports-news-volleyball-news-amid-sad-miss-anna-debeer-gains-louisville-volleyballs-support-on-important-game-night/</v>
      </c>
      <c r="C157" s="2" t="s">
        <v>374</v>
      </c>
      <c r="D157" s="2" t="s">
        <v>74</v>
      </c>
      <c r="E157" s="5">
        <v>45668.951238425929</v>
      </c>
      <c r="F157" s="2" t="s">
        <v>375</v>
      </c>
      <c r="G157" s="2">
        <v>10912895</v>
      </c>
      <c r="H157" s="2">
        <v>0</v>
      </c>
      <c r="I157" s="2">
        <v>0</v>
      </c>
      <c r="J157" s="2">
        <v>0</v>
      </c>
      <c r="K157" s="2" t="s">
        <v>24</v>
      </c>
      <c r="L157" s="4">
        <v>100944.28</v>
      </c>
      <c r="M157" s="2"/>
      <c r="N157" t="s">
        <v>635</v>
      </c>
      <c r="O157" t="s">
        <v>635</v>
      </c>
    </row>
    <row r="158" spans="1:15" ht="105.6" x14ac:dyDescent="0.3">
      <c r="A158" s="2" t="s">
        <v>376</v>
      </c>
      <c r="B158" s="2" t="str">
        <f>HYPERLINK("https://www.essentiallysports.com/us-sports-news-volleyball-news-anna-debeers-new-team-overcomes-her-absence-to-win-first-twenty-twenty-five-pvf-game-after-a-worrying-start/")</f>
        <v>https://www.essentiallysports.com/us-sports-news-volleyball-news-anna-debeers-new-team-overcomes-her-absence-to-win-first-twenty-twenty-five-pvf-game-after-a-worrying-start/</v>
      </c>
      <c r="C158" s="2" t="s">
        <v>77</v>
      </c>
      <c r="D158" s="2" t="s">
        <v>74</v>
      </c>
      <c r="E158" s="5">
        <v>45668.940891203703</v>
      </c>
      <c r="F158" s="2" t="s">
        <v>377</v>
      </c>
      <c r="G158" s="2">
        <v>10912895</v>
      </c>
      <c r="H158" s="2">
        <v>0</v>
      </c>
      <c r="I158" s="2">
        <v>0</v>
      </c>
      <c r="J158" s="2">
        <v>0</v>
      </c>
      <c r="K158" s="2" t="s">
        <v>24</v>
      </c>
      <c r="L158" s="4">
        <v>100944.28</v>
      </c>
      <c r="M158" s="2"/>
      <c r="N158" t="s">
        <v>635</v>
      </c>
      <c r="O158" t="s">
        <v>635</v>
      </c>
    </row>
    <row r="159" spans="1:15" ht="92.4" x14ac:dyDescent="0.3">
      <c r="A159" s="2" t="s">
        <v>341</v>
      </c>
      <c r="B159" s="2" t="str">
        <f>HYPERLINK("https://fox59.com/news/indy-ignite-win-first-match-in-franchise-history/")</f>
        <v>https://fox59.com/news/indy-ignite-win-first-match-in-franchise-history/</v>
      </c>
      <c r="C159" s="2" t="s">
        <v>378</v>
      </c>
      <c r="D159" s="2" t="s">
        <v>379</v>
      </c>
      <c r="E159" s="5">
        <v>45668.937604166669</v>
      </c>
      <c r="F159" s="2" t="s">
        <v>380</v>
      </c>
      <c r="G159" s="2">
        <v>1972067</v>
      </c>
      <c r="H159" s="2">
        <v>0</v>
      </c>
      <c r="I159" s="2">
        <v>0</v>
      </c>
      <c r="J159" s="2">
        <v>192</v>
      </c>
      <c r="K159" s="2" t="s">
        <v>24</v>
      </c>
      <c r="L159" s="4">
        <v>18241.62</v>
      </c>
      <c r="M159" s="2"/>
      <c r="N159" t="s">
        <v>510</v>
      </c>
      <c r="O159" t="s">
        <v>683</v>
      </c>
    </row>
    <row r="160" spans="1:15" ht="92.4" x14ac:dyDescent="0.3">
      <c r="A160" s="2" t="s">
        <v>341</v>
      </c>
      <c r="B160" s="2" t="str">
        <f>HYPERLINK("https://cbs4indy.com/news/indy-ignite-win-first-match-in-franchise-history/")</f>
        <v>https://cbs4indy.com/news/indy-ignite-win-first-match-in-franchise-history/</v>
      </c>
      <c r="C160" s="2" t="s">
        <v>378</v>
      </c>
      <c r="D160" s="2" t="s">
        <v>381</v>
      </c>
      <c r="E160" s="5">
        <v>45668.93681712963</v>
      </c>
      <c r="F160" s="2" t="s">
        <v>382</v>
      </c>
      <c r="G160" s="2">
        <v>142737</v>
      </c>
      <c r="H160" s="2">
        <v>0</v>
      </c>
      <c r="I160" s="2">
        <v>0</v>
      </c>
      <c r="J160" s="2">
        <v>7</v>
      </c>
      <c r="K160" s="2" t="s">
        <v>24</v>
      </c>
      <c r="L160" s="4">
        <v>1320.32</v>
      </c>
      <c r="M160" s="2"/>
      <c r="N160" t="s">
        <v>510</v>
      </c>
      <c r="O160" t="s">
        <v>683</v>
      </c>
    </row>
    <row r="161" spans="1:15" ht="39.6" x14ac:dyDescent="0.3">
      <c r="A161" s="2" t="s">
        <v>383</v>
      </c>
      <c r="B161" s="2" t="str">
        <f>HYPERLINK("https://sports.yahoo.com/indy-ignite-season-opener-against-015404483.html")</f>
        <v>https://sports.yahoo.com/indy-ignite-season-opener-against-015404483.html</v>
      </c>
      <c r="C161" s="2" t="s">
        <v>384</v>
      </c>
      <c r="D161" s="2" t="s">
        <v>57</v>
      </c>
      <c r="E161" s="5">
        <v>45668.870879629627</v>
      </c>
      <c r="F161" s="2" t="s">
        <v>385</v>
      </c>
      <c r="G161" s="2">
        <v>23223632</v>
      </c>
      <c r="H161" s="2">
        <v>0</v>
      </c>
      <c r="I161" s="2">
        <v>0</v>
      </c>
      <c r="J161" s="2">
        <v>0</v>
      </c>
      <c r="K161" s="2" t="s">
        <v>24</v>
      </c>
      <c r="L161" s="4">
        <v>214818.6</v>
      </c>
      <c r="M161" s="2"/>
      <c r="N161" t="s">
        <v>635</v>
      </c>
      <c r="O161" t="s">
        <v>635</v>
      </c>
    </row>
    <row r="162" spans="1:15" ht="105.6" x14ac:dyDescent="0.3">
      <c r="A162" s="2" t="s">
        <v>383</v>
      </c>
      <c r="B162" s="2" t="str">
        <f>HYPERLINK("https://www.indystar.com/picture-gallery/sports/2025/01/11/indy-ignite-season-opener-against-orlando-valkyries-professional-volleyball-fishers/77630349007/")</f>
        <v>https://www.indystar.com/picture-gallery/sports/2025/01/11/indy-ignite-season-opener-against-orlando-valkyries-professional-volleyball-fishers/77630349007/</v>
      </c>
      <c r="C162" s="2" t="s">
        <v>384</v>
      </c>
      <c r="D162" s="2" t="s">
        <v>30</v>
      </c>
      <c r="E162" s="5">
        <v>45668.870879629627</v>
      </c>
      <c r="F162" s="2" t="s">
        <v>386</v>
      </c>
      <c r="G162" s="2">
        <v>3191890</v>
      </c>
      <c r="H162" s="2">
        <v>1</v>
      </c>
      <c r="I162" s="2">
        <v>8418</v>
      </c>
      <c r="J162" s="2">
        <v>1</v>
      </c>
      <c r="K162" s="2" t="s">
        <v>24</v>
      </c>
      <c r="L162" s="4">
        <v>29524.98</v>
      </c>
      <c r="M162" s="2"/>
      <c r="N162" t="s">
        <v>510</v>
      </c>
      <c r="O162" t="s">
        <v>683</v>
      </c>
    </row>
    <row r="163" spans="1:15" ht="92.4" x14ac:dyDescent="0.3">
      <c r="A163" s="2" t="s">
        <v>387</v>
      </c>
      <c r="B163" s="2" t="str">
        <f>HYPERLINK("https://www.wishtv.com/news/local-news/indy-ignite-makes-history-with-first-game-against-orlando-valkyries/")</f>
        <v>https://www.wishtv.com/news/local-news/indy-ignite-makes-history-with-first-game-against-orlando-valkyries/</v>
      </c>
      <c r="C163" s="2" t="s">
        <v>388</v>
      </c>
      <c r="D163" s="2" t="s">
        <v>237</v>
      </c>
      <c r="E163" s="5">
        <v>45668.429571759261</v>
      </c>
      <c r="F163" s="2" t="s">
        <v>389</v>
      </c>
      <c r="G163" s="2">
        <v>942280</v>
      </c>
      <c r="H163" s="2">
        <v>0</v>
      </c>
      <c r="I163" s="2">
        <v>0</v>
      </c>
      <c r="J163" s="2">
        <v>0</v>
      </c>
      <c r="K163" s="2" t="s">
        <v>24</v>
      </c>
      <c r="L163" s="4">
        <v>8716.09</v>
      </c>
      <c r="M163" s="2"/>
      <c r="N163" t="s">
        <v>510</v>
      </c>
      <c r="O163" t="s">
        <v>683</v>
      </c>
    </row>
    <row r="164" spans="1:15" ht="66" x14ac:dyDescent="0.3">
      <c r="A164" s="2" t="s">
        <v>390</v>
      </c>
      <c r="B164" s="2" t="str">
        <f>HYPERLINK("https://indy-ignite-pro-volleyball.muckrack.com/link/eFrbMZ/ex-carmel-star-ncaa-champion-among-stars-meet-sweet-16-players-on-pro-volleyball-roster")</f>
        <v>https://indy-ignite-pro-volleyball.muckrack.com/link/eFrbMZ/ex-carmel-star-ncaa-champion-among-stars-meet-sweet-16-players-on-pro-volleyball-roster</v>
      </c>
      <c r="C164" s="2" t="s">
        <v>331</v>
      </c>
      <c r="D164" s="2" t="s">
        <v>30</v>
      </c>
      <c r="E164" s="5">
        <v>45668.291666666657</v>
      </c>
      <c r="F164" s="2" t="s">
        <v>391</v>
      </c>
      <c r="G164" s="2"/>
      <c r="H164" s="2">
        <v>0</v>
      </c>
      <c r="I164" s="2">
        <v>0</v>
      </c>
      <c r="J164" s="2">
        <v>0</v>
      </c>
      <c r="K164" s="2" t="s">
        <v>24</v>
      </c>
      <c r="L164" s="4">
        <v>21007</v>
      </c>
      <c r="M164" s="2"/>
      <c r="N164" t="s">
        <v>510</v>
      </c>
      <c r="O164" t="s">
        <v>683</v>
      </c>
    </row>
    <row r="165" spans="1:15" ht="92.4" x14ac:dyDescent="0.3">
      <c r="A165" s="2" t="s">
        <v>392</v>
      </c>
      <c r="B165" s="2" t="str">
        <f>HYPERLINK("https://indy-ignite-pro-volleyball.muckrack.com/link/eFLsYB/what-channel-is-indy-ignite-on-today-how-to-watch-anna-debeer-elena-scott-in-pro-debut")</f>
        <v>https://indy-ignite-pro-volleyball.muckrack.com/link/eFLsYB/what-channel-is-indy-ignite-on-today-how-to-watch-anna-debeer-elena-scott-in-pro-debut</v>
      </c>
      <c r="C165" s="2"/>
      <c r="D165" s="2" t="s">
        <v>365</v>
      </c>
      <c r="E165" s="5">
        <v>45668.291666666657</v>
      </c>
      <c r="F165" s="2" t="s">
        <v>393</v>
      </c>
      <c r="G165" s="2"/>
      <c r="H165" s="2">
        <v>0</v>
      </c>
      <c r="I165" s="2">
        <v>0</v>
      </c>
      <c r="J165" s="2">
        <v>0</v>
      </c>
      <c r="K165" s="2" t="s">
        <v>50</v>
      </c>
      <c r="L165" s="4">
        <v>2898</v>
      </c>
      <c r="M165" s="2"/>
      <c r="N165" t="s">
        <v>678</v>
      </c>
      <c r="O165" t="s">
        <v>635</v>
      </c>
    </row>
    <row r="166" spans="1:15" ht="66" x14ac:dyDescent="0.3">
      <c r="A166" s="2" t="s">
        <v>394</v>
      </c>
      <c r="B166" s="2" t="str">
        <f>HYPERLINK("https://www.essentiallysports.com/us-sports-news-volleyball-news-pro-volleyball-federation-faces-backlash-after-their-no-down-official-rule-comes-into-effect-doesnt-seem-right/")</f>
        <v>https://www.essentiallysports.com/us-sports-news-volleyball-news-pro-volleyball-federation-faces-backlash-after-their-no-down-official-rule-comes-into-effect-doesnt-seem-right/</v>
      </c>
      <c r="C166" s="2" t="s">
        <v>77</v>
      </c>
      <c r="D166" s="2" t="s">
        <v>74</v>
      </c>
      <c r="E166" s="5">
        <v>45668.23337962963</v>
      </c>
      <c r="F166" s="2" t="s">
        <v>395</v>
      </c>
      <c r="G166" s="2">
        <v>10912895</v>
      </c>
      <c r="H166" s="2">
        <v>0</v>
      </c>
      <c r="I166" s="2">
        <v>0</v>
      </c>
      <c r="J166" s="2">
        <v>6</v>
      </c>
      <c r="K166" s="2" t="s">
        <v>50</v>
      </c>
      <c r="L166" s="4">
        <v>100944.28</v>
      </c>
      <c r="M166" s="2"/>
      <c r="N166" t="s">
        <v>635</v>
      </c>
      <c r="O166" t="s">
        <v>635</v>
      </c>
    </row>
    <row r="167" spans="1:15" ht="158.4" x14ac:dyDescent="0.3">
      <c r="A167" s="2" t="s">
        <v>392</v>
      </c>
      <c r="B167" s="2" t="str">
        <f>HYPERLINK("https://sports.yahoo.com/channel-indy-ignite-today-watch-101258275.html")</f>
        <v>https://sports.yahoo.com/channel-indy-ignite-today-watch-101258275.html</v>
      </c>
      <c r="C167" s="2"/>
      <c r="D167" s="2" t="s">
        <v>57</v>
      </c>
      <c r="E167" s="5">
        <v>45668.21733796296</v>
      </c>
      <c r="F167" s="2" t="s">
        <v>396</v>
      </c>
      <c r="G167" s="2">
        <v>23223632</v>
      </c>
      <c r="H167" s="2">
        <v>0</v>
      </c>
      <c r="I167" s="2">
        <v>0</v>
      </c>
      <c r="J167" s="2">
        <v>0</v>
      </c>
      <c r="K167" s="2" t="s">
        <v>24</v>
      </c>
      <c r="L167" s="4">
        <v>214818.6</v>
      </c>
      <c r="M167" s="2"/>
      <c r="N167" t="s">
        <v>635</v>
      </c>
      <c r="O167" t="s">
        <v>635</v>
      </c>
    </row>
    <row r="168" spans="1:15" ht="92.4" x14ac:dyDescent="0.3">
      <c r="A168" s="2" t="s">
        <v>392</v>
      </c>
      <c r="B168" s="2" t="str">
        <f>HYPERLINK("https://www.courier-journal.com/story/sports/2025/01/11/indy-ignite-schedule-how-to-watch-anna-debeer-elena-scott-louisville-volleyball/77599468007/")</f>
        <v>https://www.courier-journal.com/story/sports/2025/01/11/indy-ignite-schedule-how-to-watch-anna-debeer-elena-scott-louisville-volleyball/77599468007/</v>
      </c>
      <c r="C168" s="2"/>
      <c r="D168" s="2" t="s">
        <v>365</v>
      </c>
      <c r="E168" s="5">
        <v>45668.21733796296</v>
      </c>
      <c r="F168" s="2" t="s">
        <v>393</v>
      </c>
      <c r="G168" s="2">
        <v>1668962</v>
      </c>
      <c r="H168" s="2">
        <v>0</v>
      </c>
      <c r="I168" s="2">
        <v>0</v>
      </c>
      <c r="J168" s="2">
        <v>51</v>
      </c>
      <c r="K168" s="2" t="s">
        <v>24</v>
      </c>
      <c r="L168" s="4">
        <v>15437.9</v>
      </c>
      <c r="M168" s="2"/>
      <c r="N168" t="s">
        <v>678</v>
      </c>
      <c r="O168" t="s">
        <v>635</v>
      </c>
    </row>
    <row r="169" spans="1:15" ht="132" x14ac:dyDescent="0.3">
      <c r="A169" s="2" t="s">
        <v>397</v>
      </c>
      <c r="B169" s="2" t="str">
        <f>HYPERLINK("https://www.essentiallysports.com/us-sports-news-volleyball-news-unfortunate-anna-dabeer-update-leaves-fans-upset-as-ex-lousiville-star-misses-another-important-game-hardest-luck/")</f>
        <v>https://www.essentiallysports.com/us-sports-news-volleyball-news-unfortunate-anna-dabeer-update-leaves-fans-upset-as-ex-lousiville-star-misses-another-important-game-hardest-luck/</v>
      </c>
      <c r="C169" s="2" t="s">
        <v>374</v>
      </c>
      <c r="D169" s="2" t="s">
        <v>74</v>
      </c>
      <c r="E169" s="5">
        <v>45668</v>
      </c>
      <c r="F169" s="2" t="s">
        <v>398</v>
      </c>
      <c r="G169" s="2">
        <v>10912895</v>
      </c>
      <c r="H169" s="2">
        <v>0</v>
      </c>
      <c r="I169" s="2">
        <v>0</v>
      </c>
      <c r="J169" s="2">
        <v>0</v>
      </c>
      <c r="K169" s="2" t="s">
        <v>50</v>
      </c>
      <c r="L169" s="4">
        <v>100944.28</v>
      </c>
      <c r="M169" s="2"/>
      <c r="N169" t="s">
        <v>635</v>
      </c>
      <c r="O169" t="s">
        <v>635</v>
      </c>
    </row>
    <row r="170" spans="1:15" ht="250.8" x14ac:dyDescent="0.3">
      <c r="A170" s="2" t="s">
        <v>399</v>
      </c>
      <c r="B170" s="2" t="str">
        <f>HYPERLINK("https://www.oursportscentral.com/services/releases/valkyries-suffer-first-loss-to-ignite/n-6180709")</f>
        <v>https://www.oursportscentral.com/services/releases/valkyries-suffer-first-loss-to-ignite/n-6180709</v>
      </c>
      <c r="C170" s="2"/>
      <c r="D170" s="2" t="s">
        <v>49</v>
      </c>
      <c r="E170" s="5">
        <v>45668</v>
      </c>
      <c r="F170" s="2" t="s">
        <v>400</v>
      </c>
      <c r="G170" s="2">
        <v>62699</v>
      </c>
      <c r="H170" s="2">
        <v>0</v>
      </c>
      <c r="I170" s="2">
        <v>0</v>
      </c>
      <c r="J170" s="2">
        <v>0</v>
      </c>
      <c r="K170" s="2" t="s">
        <v>50</v>
      </c>
      <c r="L170" s="4">
        <v>579.97</v>
      </c>
      <c r="M170" s="2"/>
      <c r="N170" t="s">
        <v>635</v>
      </c>
      <c r="O170" t="s">
        <v>635</v>
      </c>
    </row>
    <row r="171" spans="1:15" ht="92.4" x14ac:dyDescent="0.3">
      <c r="A171" s="2" t="s">
        <v>401</v>
      </c>
      <c r="B171" s="2" t="str">
        <f>HYPERLINK("https://www.greenfieldreporter.com/2025/01/10/indy-ignite-pro-volleyball-team-sells-out-first-game-in-fishers/")</f>
        <v>https://www.greenfieldreporter.com/2025/01/10/indy-ignite-pro-volleyball-team-sells-out-first-game-in-fishers/</v>
      </c>
      <c r="C171" s="2" t="s">
        <v>402</v>
      </c>
      <c r="D171" s="2" t="s">
        <v>403</v>
      </c>
      <c r="E171" s="5">
        <v>45667.999872685177</v>
      </c>
      <c r="F171" s="2" t="s">
        <v>404</v>
      </c>
      <c r="G171" s="2">
        <v>42731</v>
      </c>
      <c r="H171" s="2">
        <v>0</v>
      </c>
      <c r="I171" s="2">
        <v>0</v>
      </c>
      <c r="J171" s="2">
        <v>2</v>
      </c>
      <c r="K171" s="2" t="s">
        <v>50</v>
      </c>
      <c r="L171" s="4">
        <v>395.26</v>
      </c>
      <c r="M171" s="2"/>
      <c r="N171" t="s">
        <v>679</v>
      </c>
      <c r="O171" t="s">
        <v>683</v>
      </c>
    </row>
    <row r="172" spans="1:15" ht="145.19999999999999" x14ac:dyDescent="0.3">
      <c r="A172" s="2" t="s">
        <v>405</v>
      </c>
      <c r="B172" s="2" t="str">
        <f>HYPERLINK("https://www.keepingupincarmel.com/post/the-in-list-2024-1-13-1-19")</f>
        <v>https://www.keepingupincarmel.com/post/the-in-list-2024-1-13-1-19</v>
      </c>
      <c r="C172" s="2" t="s">
        <v>82</v>
      </c>
      <c r="D172" s="2" t="s">
        <v>83</v>
      </c>
      <c r="E172" s="5">
        <v>45667.489814814813</v>
      </c>
      <c r="F172" s="2" t="s">
        <v>406</v>
      </c>
      <c r="G172" s="2">
        <v>473</v>
      </c>
      <c r="H172" s="2">
        <v>0</v>
      </c>
      <c r="I172" s="2">
        <v>0</v>
      </c>
      <c r="J172" s="2">
        <v>0</v>
      </c>
      <c r="K172" s="2" t="s">
        <v>50</v>
      </c>
      <c r="L172" s="4">
        <v>4.38</v>
      </c>
      <c r="M172" s="2"/>
      <c r="N172" t="s">
        <v>570</v>
      </c>
      <c r="O172" t="s">
        <v>683</v>
      </c>
    </row>
    <row r="173" spans="1:15" ht="26.4" x14ac:dyDescent="0.3">
      <c r="A173" s="2" t="s">
        <v>407</v>
      </c>
      <c r="B173" s="2" t="str">
        <f>HYPERLINK("https://www.youtube.com/watch?v=wKmveV-VE3s")</f>
        <v>https://www.youtube.com/watch?v=wKmveV-VE3s</v>
      </c>
      <c r="C173" s="2"/>
      <c r="D173" s="2" t="s">
        <v>408</v>
      </c>
      <c r="E173" s="5">
        <v>45667.4530787037</v>
      </c>
      <c r="F173" s="2"/>
      <c r="G173" s="2">
        <v>1717515870</v>
      </c>
      <c r="H173" s="2">
        <v>1</v>
      </c>
      <c r="I173" s="2">
        <v>2302</v>
      </c>
      <c r="J173" s="2">
        <v>274</v>
      </c>
      <c r="K173" s="2"/>
      <c r="L173" s="4">
        <v>15887021.800000001</v>
      </c>
      <c r="M173" s="2"/>
      <c r="N173" t="s">
        <v>637</v>
      </c>
      <c r="O173" t="s">
        <v>684</v>
      </c>
    </row>
    <row r="174" spans="1:15" ht="118.8" x14ac:dyDescent="0.3">
      <c r="A174" s="2" t="s">
        <v>409</v>
      </c>
      <c r="B174" s="2" t="str">
        <f>HYPERLINK("https://www.larryinfishers.com/2025/01/10/spokenote-partners-with-indy-ignite-womens-volleyball/")</f>
        <v>https://www.larryinfishers.com/2025/01/10/spokenote-partners-with-indy-ignite-womens-volleyball/</v>
      </c>
      <c r="C174" s="2"/>
      <c r="D174" s="2" t="s">
        <v>41</v>
      </c>
      <c r="E174" s="5">
        <v>45667.412662037037</v>
      </c>
      <c r="F174" s="2" t="s">
        <v>410</v>
      </c>
      <c r="G174" s="2">
        <v>3011</v>
      </c>
      <c r="H174" s="2">
        <v>0</v>
      </c>
      <c r="I174" s="2">
        <v>0</v>
      </c>
      <c r="J174" s="2">
        <v>1</v>
      </c>
      <c r="K174" s="2" t="s">
        <v>24</v>
      </c>
      <c r="L174" s="4">
        <v>27.85</v>
      </c>
      <c r="M174" s="2"/>
      <c r="N174" t="s">
        <v>634</v>
      </c>
      <c r="O174" t="s">
        <v>683</v>
      </c>
    </row>
    <row r="175" spans="1:15" ht="92.4" x14ac:dyDescent="0.3">
      <c r="A175" s="2" t="s">
        <v>401</v>
      </c>
      <c r="B175" s="2" t="str">
        <f>HYPERLINK("https://indy-ignite-pro-volleyball.muckrack.com/link/ebDRHc/indy-ignite-pro-volleyball-team-sells-out-first-game-in-fishers")</f>
        <v>https://indy-ignite-pro-volleyball.muckrack.com/link/ebDRHc/indy-ignite-pro-volleyball-team-sells-out-first-game-in-fishers</v>
      </c>
      <c r="C175" s="2"/>
      <c r="D175" s="2" t="s">
        <v>403</v>
      </c>
      <c r="E175" s="5">
        <v>45667.291666666657</v>
      </c>
      <c r="F175" s="2" t="s">
        <v>411</v>
      </c>
      <c r="G175" s="2"/>
      <c r="H175" s="2">
        <v>0</v>
      </c>
      <c r="I175" s="2">
        <v>0</v>
      </c>
      <c r="J175" s="2">
        <v>0</v>
      </c>
      <c r="K175" s="2" t="s">
        <v>50</v>
      </c>
      <c r="L175" s="4">
        <v>4724</v>
      </c>
      <c r="M175" s="2"/>
      <c r="N175" t="s">
        <v>679</v>
      </c>
      <c r="O175" t="s">
        <v>683</v>
      </c>
    </row>
    <row r="176" spans="1:15" ht="52.8" x14ac:dyDescent="0.3">
      <c r="A176" s="2" t="s">
        <v>412</v>
      </c>
      <c r="B176" s="2" t="str">
        <f>HYPERLINK("https://www.axios.com/local/indianapolis/2025/01/10/indy-ignite-professional-volleyball")</f>
        <v>https://www.axios.com/local/indianapolis/2025/01/10/indy-ignite-professional-volleyball</v>
      </c>
      <c r="C176" s="2" t="s">
        <v>413</v>
      </c>
      <c r="D176" s="2" t="s">
        <v>414</v>
      </c>
      <c r="E176" s="5">
        <v>45667.283530092587</v>
      </c>
      <c r="F176" s="2" t="s">
        <v>415</v>
      </c>
      <c r="G176" s="2">
        <v>18738508</v>
      </c>
      <c r="H176" s="2">
        <v>0</v>
      </c>
      <c r="I176" s="2">
        <v>0</v>
      </c>
      <c r="J176" s="2">
        <v>0</v>
      </c>
      <c r="K176" s="2" t="s">
        <v>24</v>
      </c>
      <c r="L176" s="4">
        <v>173331.20000000001</v>
      </c>
      <c r="M176" s="2"/>
      <c r="N176" t="s">
        <v>510</v>
      </c>
      <c r="O176" t="s">
        <v>683</v>
      </c>
    </row>
    <row r="177" spans="1:15" ht="132" x14ac:dyDescent="0.3">
      <c r="A177" s="2" t="s">
        <v>416</v>
      </c>
      <c r="B177" s="2" t="str">
        <f>HYPERLINK("https://stayhappening.com/e/orlando-valkyries-vs-indy-ignite-E2N8Y73A1YU")</f>
        <v>https://stayhappening.com/e/orlando-valkyries-vs-indy-ignite-E2N8Y73A1YU</v>
      </c>
      <c r="C177" s="2"/>
      <c r="D177" s="2" t="s">
        <v>224</v>
      </c>
      <c r="E177" s="5">
        <v>45667</v>
      </c>
      <c r="F177" s="2" t="s">
        <v>417</v>
      </c>
      <c r="G177" s="2">
        <v>119453</v>
      </c>
      <c r="H177" s="2">
        <v>0</v>
      </c>
      <c r="I177" s="2">
        <v>0</v>
      </c>
      <c r="J177" s="2">
        <v>0</v>
      </c>
      <c r="K177" s="2" t="s">
        <v>50</v>
      </c>
      <c r="L177" s="4">
        <v>1104.94</v>
      </c>
      <c r="M177" s="2"/>
      <c r="N177" t="s">
        <v>637</v>
      </c>
      <c r="O177" t="s">
        <v>684</v>
      </c>
    </row>
    <row r="178" spans="1:15" ht="105.6" x14ac:dyDescent="0.3">
      <c r="A178" s="2" t="s">
        <v>418</v>
      </c>
      <c r="B178" s="2" t="str">
        <f>HYPERLINK("https://www.sportsbusinessjournal.com/Articles/2025/01/10/pro-volleyball-federation-indy-ignite")</f>
        <v>https://www.sportsbusinessjournal.com/Articles/2025/01/10/pro-volleyball-federation-indy-ignite</v>
      </c>
      <c r="C178" s="2"/>
      <c r="D178" s="2" t="s">
        <v>288</v>
      </c>
      <c r="E178" s="5">
        <v>45667</v>
      </c>
      <c r="F178" s="2" t="s">
        <v>419</v>
      </c>
      <c r="G178" s="2">
        <v>502817</v>
      </c>
      <c r="H178" s="2">
        <v>0</v>
      </c>
      <c r="I178" s="2">
        <v>0</v>
      </c>
      <c r="J178" s="2">
        <v>109</v>
      </c>
      <c r="K178" s="2" t="s">
        <v>24</v>
      </c>
      <c r="L178" s="4">
        <v>4651.0600000000004</v>
      </c>
      <c r="M178" s="2"/>
      <c r="N178" t="s">
        <v>637</v>
      </c>
      <c r="O178" t="s">
        <v>684</v>
      </c>
    </row>
    <row r="179" spans="1:15" ht="66" x14ac:dyDescent="0.3">
      <c r="A179" s="2" t="s">
        <v>420</v>
      </c>
      <c r="B179" s="2" t="str">
        <f>HYPERLINK("https://indianapolisrecorder.com/indy-ignite-sellout-crowd-jan-2025/")</f>
        <v>https://indianapolisrecorder.com/indy-ignite-sellout-crowd-jan-2025/</v>
      </c>
      <c r="C179" s="2" t="s">
        <v>68</v>
      </c>
      <c r="D179" s="2" t="s">
        <v>69</v>
      </c>
      <c r="E179" s="5">
        <v>45666.636666666673</v>
      </c>
      <c r="F179" s="2" t="s">
        <v>421</v>
      </c>
      <c r="G179" s="2">
        <v>40036</v>
      </c>
      <c r="H179" s="2">
        <v>0</v>
      </c>
      <c r="I179" s="2">
        <v>0</v>
      </c>
      <c r="J179" s="2">
        <v>1</v>
      </c>
      <c r="K179" s="2" t="s">
        <v>50</v>
      </c>
      <c r="L179" s="4">
        <v>370.33</v>
      </c>
      <c r="M179" s="2"/>
      <c r="N179" t="s">
        <v>510</v>
      </c>
      <c r="O179" t="s">
        <v>683</v>
      </c>
    </row>
    <row r="180" spans="1:15" ht="52.8" x14ac:dyDescent="0.3">
      <c r="A180" s="2" t="s">
        <v>422</v>
      </c>
      <c r="B180" s="2" t="str">
        <f>HYPERLINK("https://mirrorindy.org/azhani-tealer-indy-ignite-pro-volleyball-team-indiana/")</f>
        <v>https://mirrorindy.org/azhani-tealer-indy-ignite-pro-volleyball-team-indiana/</v>
      </c>
      <c r="C180" s="2" t="s">
        <v>423</v>
      </c>
      <c r="D180" s="2" t="s">
        <v>424</v>
      </c>
      <c r="E180" s="5">
        <v>45666.632337962961</v>
      </c>
      <c r="F180" s="2" t="s">
        <v>425</v>
      </c>
      <c r="G180" s="2">
        <v>48245</v>
      </c>
      <c r="H180" s="2">
        <v>0</v>
      </c>
      <c r="I180" s="2">
        <v>0</v>
      </c>
      <c r="J180" s="2">
        <v>25</v>
      </c>
      <c r="K180" s="2" t="s">
        <v>24</v>
      </c>
      <c r="L180" s="4">
        <v>446.27</v>
      </c>
      <c r="M180" s="2"/>
      <c r="N180" t="s">
        <v>635</v>
      </c>
      <c r="O180" t="s">
        <v>635</v>
      </c>
    </row>
    <row r="181" spans="1:15" ht="198" x14ac:dyDescent="0.3">
      <c r="A181" s="2" t="s">
        <v>426</v>
      </c>
      <c r="B181" s="2" t="str">
        <f>HYPERLINK("https://ftw.usatoday.com/lists/pro-volleyball-federation-2025-season-preview")</f>
        <v>https://ftw.usatoday.com/lists/pro-volleyball-federation-2025-season-preview</v>
      </c>
      <c r="C181" s="2"/>
      <c r="D181" s="2" t="s">
        <v>146</v>
      </c>
      <c r="E181" s="5">
        <v>45666.468356481477</v>
      </c>
      <c r="F181" s="2" t="s">
        <v>427</v>
      </c>
      <c r="G181" s="2">
        <v>3949934</v>
      </c>
      <c r="H181" s="2">
        <v>0</v>
      </c>
      <c r="I181" s="2">
        <v>0</v>
      </c>
      <c r="J181" s="2">
        <v>36</v>
      </c>
      <c r="K181" s="2" t="s">
        <v>50</v>
      </c>
      <c r="L181" s="4">
        <v>36536.89</v>
      </c>
      <c r="M181" s="2"/>
      <c r="N181" t="s">
        <v>635</v>
      </c>
      <c r="O181" t="s">
        <v>635</v>
      </c>
    </row>
    <row r="182" spans="1:15" ht="52.8" x14ac:dyDescent="0.3">
      <c r="A182" s="2" t="s">
        <v>428</v>
      </c>
      <c r="B182" s="2" t="str">
        <f>HYPERLINK("https://praiseindy.com/playlist/indianas-professional-sports-team-mascots/")</f>
        <v>https://praiseindy.com/playlist/indianas-professional-sports-team-mascots/</v>
      </c>
      <c r="C182" s="2" t="s">
        <v>429</v>
      </c>
      <c r="D182" s="2" t="s">
        <v>430</v>
      </c>
      <c r="E182" s="5">
        <v>45666.40215277778</v>
      </c>
      <c r="F182" s="2" t="s">
        <v>431</v>
      </c>
      <c r="G182" s="2">
        <v>5896</v>
      </c>
      <c r="H182" s="2">
        <v>0</v>
      </c>
      <c r="I182" s="2">
        <v>0</v>
      </c>
      <c r="J182" s="2">
        <v>16</v>
      </c>
      <c r="K182" s="2" t="s">
        <v>24</v>
      </c>
      <c r="L182" s="4">
        <v>54.54</v>
      </c>
      <c r="M182" s="2"/>
      <c r="N182" t="s">
        <v>510</v>
      </c>
      <c r="O182" t="s">
        <v>683</v>
      </c>
    </row>
    <row r="183" spans="1:15" ht="52.8" x14ac:dyDescent="0.3">
      <c r="A183" s="2" t="s">
        <v>428</v>
      </c>
      <c r="B183" s="2" t="str">
        <f>HYPERLINK("https://wtlcfm.com/playlist/indianas-professional-sports-team-mascots/")</f>
        <v>https://wtlcfm.com/playlist/indianas-professional-sports-team-mascots/</v>
      </c>
      <c r="C183" s="2" t="s">
        <v>429</v>
      </c>
      <c r="D183" s="2" t="s">
        <v>432</v>
      </c>
      <c r="E183" s="5">
        <v>45666.370162037027</v>
      </c>
      <c r="F183" s="2" t="s">
        <v>431</v>
      </c>
      <c r="G183" s="2">
        <v>12987</v>
      </c>
      <c r="H183" s="2">
        <v>0</v>
      </c>
      <c r="I183" s="2">
        <v>0</v>
      </c>
      <c r="J183" s="2">
        <v>3</v>
      </c>
      <c r="K183" s="2" t="s">
        <v>24</v>
      </c>
      <c r="L183" s="4">
        <v>120.13</v>
      </c>
      <c r="M183" s="2"/>
      <c r="N183" t="s">
        <v>680</v>
      </c>
      <c r="O183" t="s">
        <v>683</v>
      </c>
    </row>
    <row r="184" spans="1:15" ht="66" x14ac:dyDescent="0.3">
      <c r="A184" s="2" t="s">
        <v>433</v>
      </c>
      <c r="B184" s="2" t="str">
        <f>HYPERLINK("https://indy-ignite-pro-volleyball.muckrack.com/link/ebfmMz/a-carmel-hs-star-an-ncaa-champion-meet-the-women-of-indys-new-pro-volleyball-team")</f>
        <v>https://indy-ignite-pro-volleyball.muckrack.com/link/ebfmMz/a-carmel-hs-star-an-ncaa-champion-meet-the-women-of-indys-new-pro-volleyball-team</v>
      </c>
      <c r="C184" s="2"/>
      <c r="D184" s="2" t="s">
        <v>30</v>
      </c>
      <c r="E184" s="5">
        <v>45666.291666666657</v>
      </c>
      <c r="F184" s="2" t="s">
        <v>434</v>
      </c>
      <c r="G184" s="2"/>
      <c r="H184" s="2">
        <v>0</v>
      </c>
      <c r="I184" s="2">
        <v>0</v>
      </c>
      <c r="J184" s="2">
        <v>0</v>
      </c>
      <c r="K184" s="2" t="s">
        <v>24</v>
      </c>
      <c r="L184" s="4">
        <v>21007</v>
      </c>
      <c r="M184" s="2"/>
      <c r="N184" t="s">
        <v>510</v>
      </c>
      <c r="O184" t="s">
        <v>683</v>
      </c>
    </row>
    <row r="185" spans="1:15" ht="66" x14ac:dyDescent="0.3">
      <c r="A185" s="2" t="s">
        <v>435</v>
      </c>
      <c r="B185" s="2" t="str">
        <f>HYPERLINK("https://indy-ignite-pro-volleyball.muckrack.com/link/eFrqdy/indy-ignite-sells-out-saturdays-home-opener")</f>
        <v>https://indy-ignite-pro-volleyball.muckrack.com/link/eFrqdy/indy-ignite-sells-out-saturdays-home-opener</v>
      </c>
      <c r="C185" s="2" t="s">
        <v>331</v>
      </c>
      <c r="D185" s="2" t="s">
        <v>30</v>
      </c>
      <c r="E185" s="5">
        <v>45666.291666666657</v>
      </c>
      <c r="F185" s="2" t="s">
        <v>436</v>
      </c>
      <c r="G185" s="2"/>
      <c r="H185" s="2">
        <v>0</v>
      </c>
      <c r="I185" s="2">
        <v>0</v>
      </c>
      <c r="J185" s="2">
        <v>0</v>
      </c>
      <c r="K185" s="2" t="s">
        <v>50</v>
      </c>
      <c r="L185" s="4">
        <v>21007</v>
      </c>
      <c r="M185" s="2"/>
      <c r="N185" t="s">
        <v>510</v>
      </c>
      <c r="O185" t="s">
        <v>683</v>
      </c>
    </row>
    <row r="186" spans="1:15" ht="52.8" x14ac:dyDescent="0.3">
      <c r="A186" s="2" t="s">
        <v>433</v>
      </c>
      <c r="B186" s="2" t="str">
        <f>HYPERLINK("https://sports.yahoo.com/carmel-hs-star-ncaa-champion-094028684.html")</f>
        <v>https://sports.yahoo.com/carmel-hs-star-ncaa-champion-094028684.html</v>
      </c>
      <c r="C186" s="2" t="s">
        <v>371</v>
      </c>
      <c r="D186" s="2" t="s">
        <v>57</v>
      </c>
      <c r="E186" s="5">
        <v>45665.986435185187</v>
      </c>
      <c r="F186" s="2" t="s">
        <v>434</v>
      </c>
      <c r="G186" s="2">
        <v>23223632</v>
      </c>
      <c r="H186" s="2">
        <v>0</v>
      </c>
      <c r="I186" s="2">
        <v>0</v>
      </c>
      <c r="J186" s="2">
        <v>0</v>
      </c>
      <c r="K186" s="2" t="s">
        <v>24</v>
      </c>
      <c r="L186" s="4">
        <v>214818.6</v>
      </c>
      <c r="M186" s="2"/>
      <c r="N186" t="s">
        <v>635</v>
      </c>
      <c r="O186" t="s">
        <v>635</v>
      </c>
    </row>
    <row r="187" spans="1:15" ht="52.8" x14ac:dyDescent="0.3">
      <c r="A187" s="2" t="s">
        <v>433</v>
      </c>
      <c r="B187" s="2" t="str">
        <f>HYPERLINK("https://www.indystar.com/story/sports/2025/01/09/indy-ignite-meet-the-women-of-indys-new-professional-volleyball-team/77096917007/")</f>
        <v>https://www.indystar.com/story/sports/2025/01/09/indy-ignite-meet-the-women-of-indys-new-professional-volleyball-team/77096917007/</v>
      </c>
      <c r="C187" s="2" t="s">
        <v>371</v>
      </c>
      <c r="D187" s="2" t="s">
        <v>30</v>
      </c>
      <c r="E187" s="5">
        <v>45665.986435185187</v>
      </c>
      <c r="F187" s="2" t="s">
        <v>434</v>
      </c>
      <c r="G187" s="2">
        <v>3191890</v>
      </c>
      <c r="H187" s="2">
        <v>3</v>
      </c>
      <c r="I187" s="2">
        <v>22790</v>
      </c>
      <c r="J187" s="2">
        <v>208</v>
      </c>
      <c r="K187" s="2" t="s">
        <v>24</v>
      </c>
      <c r="L187" s="4">
        <v>29524.98</v>
      </c>
      <c r="M187" s="2"/>
      <c r="N187" t="s">
        <v>510</v>
      </c>
      <c r="O187" t="s">
        <v>683</v>
      </c>
    </row>
    <row r="188" spans="1:15" ht="52.8" x14ac:dyDescent="0.3">
      <c r="A188" s="2" t="s">
        <v>428</v>
      </c>
      <c r="B188" s="2" t="str">
        <f>HYPERLINK("https://1075thefan.com/playlist/indianas-professional-sports-team-mascots/")</f>
        <v>https://1075thefan.com/playlist/indianas-professional-sports-team-mascots/</v>
      </c>
      <c r="C188" s="2" t="s">
        <v>429</v>
      </c>
      <c r="D188" s="2" t="s">
        <v>437</v>
      </c>
      <c r="E188" s="5">
        <v>45665.581018518518</v>
      </c>
      <c r="F188" s="2" t="s">
        <v>431</v>
      </c>
      <c r="G188" s="2">
        <v>119670</v>
      </c>
      <c r="H188" s="2">
        <v>0</v>
      </c>
      <c r="I188" s="2">
        <v>0</v>
      </c>
      <c r="J188" s="2">
        <v>0</v>
      </c>
      <c r="K188" s="2" t="s">
        <v>24</v>
      </c>
      <c r="L188" s="4">
        <v>1106.95</v>
      </c>
      <c r="M188" s="2"/>
      <c r="N188" t="s">
        <v>510</v>
      </c>
      <c r="O188" t="s">
        <v>683</v>
      </c>
    </row>
    <row r="189" spans="1:15" ht="118.8" x14ac:dyDescent="0.3">
      <c r="A189" s="2" t="s">
        <v>401</v>
      </c>
      <c r="B189" s="2" t="str">
        <f>HYPERLINK("https://www.ibj.com/articles/indy-ignite-pro-volleyball-team-sells-out-first-game-in-fishers")</f>
        <v>https://www.ibj.com/articles/indy-ignite-pro-volleyball-team-sells-out-first-game-in-fishers</v>
      </c>
      <c r="C189" s="2" t="s">
        <v>402</v>
      </c>
      <c r="D189" s="2" t="s">
        <v>106</v>
      </c>
      <c r="E189" s="5">
        <v>45665.541678240741</v>
      </c>
      <c r="F189" s="2" t="s">
        <v>438</v>
      </c>
      <c r="G189" s="2">
        <v>96182</v>
      </c>
      <c r="H189" s="2">
        <v>0</v>
      </c>
      <c r="I189" s="2">
        <v>0</v>
      </c>
      <c r="J189" s="2">
        <v>43</v>
      </c>
      <c r="K189" s="2" t="s">
        <v>50</v>
      </c>
      <c r="L189" s="4">
        <v>889.68</v>
      </c>
      <c r="M189" s="2"/>
      <c r="N189" t="s">
        <v>510</v>
      </c>
      <c r="O189" t="s">
        <v>683</v>
      </c>
    </row>
    <row r="190" spans="1:15" ht="92.4" x14ac:dyDescent="0.3">
      <c r="A190" s="2" t="s">
        <v>439</v>
      </c>
      <c r="B190" s="2" t="str">
        <f>HYPERLINK("https://www.si.com/college/pittsburgh/news/pitt-panthers-volleyball-alums-start-american-pro-seasons")</f>
        <v>https://www.si.com/college/pittsburgh/news/pitt-panthers-volleyball-alums-start-american-pro-seasons</v>
      </c>
      <c r="C190" s="2" t="s">
        <v>440</v>
      </c>
      <c r="D190" s="2" t="s">
        <v>140</v>
      </c>
      <c r="E190" s="5">
        <v>45665.458356481482</v>
      </c>
      <c r="F190" s="2" t="s">
        <v>441</v>
      </c>
      <c r="G190" s="2">
        <v>32744612</v>
      </c>
      <c r="H190" s="2">
        <v>0</v>
      </c>
      <c r="I190" s="2">
        <v>0</v>
      </c>
      <c r="J190" s="2">
        <v>103</v>
      </c>
      <c r="K190" s="2" t="s">
        <v>24</v>
      </c>
      <c r="L190" s="4">
        <v>302887.65999999997</v>
      </c>
      <c r="M190" s="2"/>
      <c r="N190" t="s">
        <v>635</v>
      </c>
      <c r="O190" t="s">
        <v>635</v>
      </c>
    </row>
    <row r="191" spans="1:15" ht="105.6" x14ac:dyDescent="0.3">
      <c r="A191" s="2" t="s">
        <v>442</v>
      </c>
      <c r="B191" s="2" t="str">
        <f>HYPERLINK("https://www.thegistsports.com/article/everything-you-need-to-know-about-lovb-pvf-and-the-evolving-volleyball-landscape/")</f>
        <v>https://www.thegistsports.com/article/everything-you-need-to-know-about-lovb-pvf-and-the-evolving-volleyball-landscape/</v>
      </c>
      <c r="C191" s="2"/>
      <c r="D191" s="2" t="s">
        <v>443</v>
      </c>
      <c r="E191" s="5">
        <v>45665</v>
      </c>
      <c r="F191" s="2" t="s">
        <v>444</v>
      </c>
      <c r="G191" s="2">
        <v>40811</v>
      </c>
      <c r="H191" s="2">
        <v>0</v>
      </c>
      <c r="I191" s="2">
        <v>0</v>
      </c>
      <c r="J191" s="2">
        <v>0</v>
      </c>
      <c r="K191" s="2" t="s">
        <v>24</v>
      </c>
      <c r="L191" s="4">
        <v>377.5</v>
      </c>
      <c r="M191" s="2"/>
      <c r="N191" t="s">
        <v>637</v>
      </c>
      <c r="O191" t="s">
        <v>684</v>
      </c>
    </row>
    <row r="192" spans="1:15" ht="92.4" x14ac:dyDescent="0.3">
      <c r="A192" s="2" t="s">
        <v>445</v>
      </c>
      <c r="B192" s="2" t="str">
        <f>HYPERLINK("https://www.indystar.com/picture-gallery/sports/2025/01/07/meet-indy-ignites-first-team/77431805007/")</f>
        <v>https://www.indystar.com/picture-gallery/sports/2025/01/07/meet-indy-ignites-first-team/77431805007/</v>
      </c>
      <c r="C192" s="2" t="s">
        <v>446</v>
      </c>
      <c r="D192" s="2" t="s">
        <v>30</v>
      </c>
      <c r="E192" s="5">
        <v>45664.916041666656</v>
      </c>
      <c r="F192" s="2" t="s">
        <v>447</v>
      </c>
      <c r="G192" s="2">
        <v>3191890</v>
      </c>
      <c r="H192" s="2">
        <v>0</v>
      </c>
      <c r="I192" s="2">
        <v>0</v>
      </c>
      <c r="J192" s="2">
        <v>0</v>
      </c>
      <c r="K192" s="2" t="s">
        <v>50</v>
      </c>
      <c r="L192" s="4">
        <v>29524.98</v>
      </c>
      <c r="M192" s="2"/>
      <c r="N192" t="s">
        <v>510</v>
      </c>
      <c r="O192" t="s">
        <v>683</v>
      </c>
    </row>
    <row r="193" spans="1:15" ht="92.4" x14ac:dyDescent="0.3">
      <c r="A193" s="2" t="s">
        <v>448</v>
      </c>
      <c r="B193" s="2" t="str">
        <f>HYPERLINK("https://www.youarecurrent.com/2025/01/07/mohler-ready-for-season-to-ignite/")</f>
        <v>https://www.youarecurrent.com/2025/01/07/mohler-ready-for-season-to-ignite/</v>
      </c>
      <c r="C193" s="2" t="s">
        <v>449</v>
      </c>
      <c r="D193" s="2" t="s">
        <v>450</v>
      </c>
      <c r="E193" s="5">
        <v>45664.68209490741</v>
      </c>
      <c r="F193" s="2" t="s">
        <v>451</v>
      </c>
      <c r="G193" s="2">
        <v>45871</v>
      </c>
      <c r="H193" s="2">
        <v>0</v>
      </c>
      <c r="I193" s="2">
        <v>0</v>
      </c>
      <c r="J193" s="2">
        <v>2</v>
      </c>
      <c r="K193" s="2" t="s">
        <v>24</v>
      </c>
      <c r="L193" s="4">
        <v>424.31</v>
      </c>
      <c r="M193" s="2"/>
      <c r="N193" t="s">
        <v>510</v>
      </c>
      <c r="O193" t="s">
        <v>683</v>
      </c>
    </row>
    <row r="194" spans="1:15" ht="79.2" x14ac:dyDescent="0.3">
      <c r="A194" s="2" t="s">
        <v>452</v>
      </c>
      <c r="B194" s="2" t="str">
        <f>HYPERLINK("https://www.wishtv.com/sports/indy-ignite-pro-volleyball-debut/")</f>
        <v>https://www.wishtv.com/sports/indy-ignite-pro-volleyball-debut/</v>
      </c>
      <c r="C194" s="2" t="s">
        <v>453</v>
      </c>
      <c r="D194" s="2" t="s">
        <v>237</v>
      </c>
      <c r="E194" s="5">
        <v>45664.546701388892</v>
      </c>
      <c r="F194" s="2" t="s">
        <v>454</v>
      </c>
      <c r="G194" s="2">
        <v>942280</v>
      </c>
      <c r="H194" s="2">
        <v>0</v>
      </c>
      <c r="I194" s="2">
        <v>0</v>
      </c>
      <c r="J194" s="2">
        <v>0</v>
      </c>
      <c r="K194" s="2" t="s">
        <v>24</v>
      </c>
      <c r="L194" s="4">
        <v>8716.09</v>
      </c>
      <c r="M194" s="2"/>
      <c r="N194" t="s">
        <v>510</v>
      </c>
      <c r="O194" t="s">
        <v>683</v>
      </c>
    </row>
    <row r="195" spans="1:15" ht="79.2" x14ac:dyDescent="0.3">
      <c r="A195" s="2" t="s">
        <v>455</v>
      </c>
      <c r="B195" s="2" t="str">
        <f>HYPERLINK("https://www.wishtv.com/sports/indy-ignite-pepper-mascot/")</f>
        <v>https://www.wishtv.com/sports/indy-ignite-pepper-mascot/</v>
      </c>
      <c r="C195" s="2" t="s">
        <v>456</v>
      </c>
      <c r="D195" s="2" t="s">
        <v>237</v>
      </c>
      <c r="E195" s="5">
        <v>45664.497777777768</v>
      </c>
      <c r="F195" s="2" t="s">
        <v>457</v>
      </c>
      <c r="G195" s="2">
        <v>942280</v>
      </c>
      <c r="H195" s="2">
        <v>2</v>
      </c>
      <c r="I195" s="2">
        <v>9932</v>
      </c>
      <c r="J195" s="2">
        <v>128</v>
      </c>
      <c r="K195" s="2" t="s">
        <v>24</v>
      </c>
      <c r="L195" s="4">
        <v>8716.09</v>
      </c>
      <c r="M195" s="2"/>
      <c r="N195" t="s">
        <v>510</v>
      </c>
      <c r="O195" t="s">
        <v>683</v>
      </c>
    </row>
    <row r="196" spans="1:15" ht="66" x14ac:dyDescent="0.3">
      <c r="A196" s="2" t="s">
        <v>458</v>
      </c>
      <c r="B196" s="2" t="str">
        <f>HYPERLINK("https://www.buckys5thquarter.com/2025/1/7/24337924/wisconsin-badgers-volleyball-announce-three-new-signings-other-off-season-updates-grace-egan")</f>
        <v>https://www.buckys5thquarter.com/2025/1/7/24337924/wisconsin-badgers-volleyball-announce-three-new-signings-other-off-season-updates-grace-egan</v>
      </c>
      <c r="C196" s="2" t="s">
        <v>459</v>
      </c>
      <c r="D196" s="2" t="s">
        <v>460</v>
      </c>
      <c r="E196" s="5">
        <v>45664.457939814813</v>
      </c>
      <c r="F196" s="2" t="s">
        <v>461</v>
      </c>
      <c r="G196" s="2">
        <v>114474</v>
      </c>
      <c r="H196" s="2">
        <v>0</v>
      </c>
      <c r="I196" s="2">
        <v>0</v>
      </c>
      <c r="J196" s="2">
        <v>0</v>
      </c>
      <c r="K196" s="2" t="s">
        <v>50</v>
      </c>
      <c r="L196" s="4">
        <v>1058.8800000000001</v>
      </c>
      <c r="M196" s="2"/>
      <c r="N196" t="s">
        <v>681</v>
      </c>
      <c r="O196" t="s">
        <v>635</v>
      </c>
    </row>
    <row r="197" spans="1:15" ht="66" x14ac:dyDescent="0.3">
      <c r="A197" s="2" t="s">
        <v>462</v>
      </c>
      <c r="B197" s="2" t="str">
        <f>HYPERLINK("https://sports.yahoo.com/absolutely-volleyball-state-indy-ignite-201039668.html")</f>
        <v>https://sports.yahoo.com/absolutely-volleyball-state-indy-ignite-201039668.html</v>
      </c>
      <c r="C197" s="2" t="s">
        <v>371</v>
      </c>
      <c r="D197" s="2" t="s">
        <v>57</v>
      </c>
      <c r="E197" s="5">
        <v>45664.424062500002</v>
      </c>
      <c r="F197" s="2" t="s">
        <v>463</v>
      </c>
      <c r="G197" s="2">
        <v>23223632</v>
      </c>
      <c r="H197" s="2">
        <v>0</v>
      </c>
      <c r="I197" s="2">
        <v>0</v>
      </c>
      <c r="J197" s="2">
        <v>0</v>
      </c>
      <c r="K197" s="2" t="s">
        <v>50</v>
      </c>
      <c r="L197" s="4">
        <v>214818.6</v>
      </c>
      <c r="M197" s="2"/>
      <c r="N197" t="s">
        <v>635</v>
      </c>
      <c r="O197" t="s">
        <v>635</v>
      </c>
    </row>
    <row r="198" spans="1:15" ht="66" x14ac:dyDescent="0.3">
      <c r="A198" s="2" t="s">
        <v>462</v>
      </c>
      <c r="B198" s="2" t="str">
        <f>HYPERLINK("https://www.indystar.com/story/sports/2025/01/07/indy-ignite-sells-out-home-opener-at-fishers-event-center/77512913007/")</f>
        <v>https://www.indystar.com/story/sports/2025/01/07/indy-ignite-sells-out-home-opener-at-fishers-event-center/77512913007/</v>
      </c>
      <c r="C198" s="2" t="s">
        <v>371</v>
      </c>
      <c r="D198" s="2" t="s">
        <v>30</v>
      </c>
      <c r="E198" s="5">
        <v>45664.424062500002</v>
      </c>
      <c r="F198" s="2" t="s">
        <v>463</v>
      </c>
      <c r="G198" s="2">
        <v>3191890</v>
      </c>
      <c r="H198" s="2">
        <v>3</v>
      </c>
      <c r="I198" s="2">
        <v>24890</v>
      </c>
      <c r="J198" s="2">
        <v>111</v>
      </c>
      <c r="K198" s="2" t="s">
        <v>50</v>
      </c>
      <c r="L198" s="4">
        <v>29524.98</v>
      </c>
      <c r="M198" s="2"/>
      <c r="N198" t="s">
        <v>510</v>
      </c>
      <c r="O198" t="s">
        <v>683</v>
      </c>
    </row>
    <row r="199" spans="1:15" ht="66" x14ac:dyDescent="0.3">
      <c r="A199" s="2" t="s">
        <v>462</v>
      </c>
      <c r="B199" s="2" t="str">
        <f>HYPERLINK("https://indy-ignite-pro-volleyball.muckrack.com/link/ebRcA1/absolutely-a-volleyball-state-indy-ignite-sells-out-home-opener-at-fishers-event-center")</f>
        <v>https://indy-ignite-pro-volleyball.muckrack.com/link/ebRcA1/absolutely-a-volleyball-state-indy-ignite-sells-out-home-opener-at-fishers-event-center</v>
      </c>
      <c r="C199" s="2"/>
      <c r="D199" s="2" t="s">
        <v>30</v>
      </c>
      <c r="E199" s="5">
        <v>45664.291666666657</v>
      </c>
      <c r="F199" s="2" t="s">
        <v>463</v>
      </c>
      <c r="G199" s="2"/>
      <c r="H199" s="2">
        <v>0</v>
      </c>
      <c r="I199" s="2">
        <v>0</v>
      </c>
      <c r="J199" s="2">
        <v>0</v>
      </c>
      <c r="K199" s="2" t="s">
        <v>50</v>
      </c>
      <c r="L199" s="4">
        <v>21007</v>
      </c>
      <c r="M199" s="2"/>
      <c r="N199" t="s">
        <v>510</v>
      </c>
      <c r="O199" t="s">
        <v>683</v>
      </c>
    </row>
    <row r="200" spans="1:15" ht="92.4" x14ac:dyDescent="0.3">
      <c r="A200" s="2" t="s">
        <v>464</v>
      </c>
      <c r="B200" s="2" t="str">
        <f>HYPERLINK("https://indy-ignite-pro-volleyball.muckrack.com/link/eb10aL/mohler-ready-for-season-to-ignite")</f>
        <v>https://indy-ignite-pro-volleyball.muckrack.com/link/eb10aL/mohler-ready-for-season-to-ignite</v>
      </c>
      <c r="C200" s="2" t="s">
        <v>449</v>
      </c>
      <c r="D200" s="2" t="s">
        <v>465</v>
      </c>
      <c r="E200" s="5">
        <v>45664.291666666657</v>
      </c>
      <c r="F200" s="2" t="s">
        <v>466</v>
      </c>
      <c r="G200" s="2"/>
      <c r="H200" s="2">
        <v>0</v>
      </c>
      <c r="I200" s="2">
        <v>0</v>
      </c>
      <c r="J200" s="2">
        <v>0</v>
      </c>
      <c r="K200" s="2" t="s">
        <v>24</v>
      </c>
      <c r="L200" s="4">
        <v>515</v>
      </c>
      <c r="M200" s="2"/>
      <c r="N200" t="s">
        <v>634</v>
      </c>
      <c r="O200" t="s">
        <v>683</v>
      </c>
    </row>
    <row r="201" spans="1:15" ht="105.6" x14ac:dyDescent="0.3">
      <c r="A201" s="2" t="s">
        <v>467</v>
      </c>
      <c r="B201" s="2" t="str">
        <f>HYPERLINK("https://www.axios.com/local/indianapolis/2025/01/07/stories-shape-indianapolis-2025")</f>
        <v>https://www.axios.com/local/indianapolis/2025/01/07/stories-shape-indianapolis-2025</v>
      </c>
      <c r="C201" s="2" t="s">
        <v>468</v>
      </c>
      <c r="D201" s="2" t="s">
        <v>414</v>
      </c>
      <c r="E201" s="5">
        <v>45664.285520833328</v>
      </c>
      <c r="F201" s="2" t="s">
        <v>469</v>
      </c>
      <c r="G201" s="2">
        <v>18738508</v>
      </c>
      <c r="H201" s="2">
        <v>0</v>
      </c>
      <c r="I201" s="2">
        <v>0</v>
      </c>
      <c r="J201" s="2">
        <v>0</v>
      </c>
      <c r="K201" s="2" t="s">
        <v>50</v>
      </c>
      <c r="L201" s="4">
        <v>173331.20000000001</v>
      </c>
      <c r="M201" s="2"/>
      <c r="N201" t="s">
        <v>510</v>
      </c>
      <c r="O201" t="s">
        <v>683</v>
      </c>
    </row>
    <row r="202" spans="1:15" ht="66" x14ac:dyDescent="0.3">
      <c r="A202" s="2" t="s">
        <v>470</v>
      </c>
      <c r="B202" s="2" t="str">
        <f>HYPERLINK("https://www.indianapolismonthly.com/arts-and-culture/love-at-first-spike/")</f>
        <v>https://www.indianapolismonthly.com/arts-and-culture/love-at-first-spike/</v>
      </c>
      <c r="C202" s="2" t="s">
        <v>471</v>
      </c>
      <c r="D202" s="2" t="s">
        <v>306</v>
      </c>
      <c r="E202" s="5">
        <v>45664.212187500001</v>
      </c>
      <c r="F202" s="2" t="s">
        <v>472</v>
      </c>
      <c r="G202" s="2">
        <v>37147</v>
      </c>
      <c r="H202" s="2">
        <v>0</v>
      </c>
      <c r="I202" s="2">
        <v>0</v>
      </c>
      <c r="J202" s="2">
        <v>136</v>
      </c>
      <c r="K202" s="2" t="s">
        <v>24</v>
      </c>
      <c r="L202" s="4">
        <v>343.61</v>
      </c>
      <c r="M202" s="2"/>
      <c r="N202" t="s">
        <v>510</v>
      </c>
      <c r="O202" t="s">
        <v>683</v>
      </c>
    </row>
    <row r="203" spans="1:15" ht="39.6" x14ac:dyDescent="0.3">
      <c r="A203" s="2" t="s">
        <v>473</v>
      </c>
      <c r="B203" s="2" t="str">
        <f>HYPERLINK("https://fox59.com/morning-news/indy-ignite-to-kick-off-first-season-at-fishers-event-center-saturday/")</f>
        <v>https://fox59.com/morning-news/indy-ignite-to-kick-off-first-season-at-fishers-event-center-saturday/</v>
      </c>
      <c r="C203" s="2" t="s">
        <v>474</v>
      </c>
      <c r="D203" s="2" t="s">
        <v>379</v>
      </c>
      <c r="E203" s="5">
        <v>45664</v>
      </c>
      <c r="F203" s="2" t="s">
        <v>475</v>
      </c>
      <c r="G203" s="2">
        <v>1972067</v>
      </c>
      <c r="H203" s="2">
        <v>1</v>
      </c>
      <c r="I203" s="2">
        <v>3275</v>
      </c>
      <c r="J203" s="2">
        <v>25</v>
      </c>
      <c r="K203" s="2" t="s">
        <v>50</v>
      </c>
      <c r="L203" s="4">
        <v>18241.62</v>
      </c>
      <c r="M203" s="2"/>
      <c r="N203" t="s">
        <v>510</v>
      </c>
      <c r="O203" t="s">
        <v>683</v>
      </c>
    </row>
    <row r="204" spans="1:15" ht="39.6" x14ac:dyDescent="0.3">
      <c r="A204" s="2" t="s">
        <v>476</v>
      </c>
      <c r="B204" s="2" t="str">
        <f>HYPERLINK("https://ca.news.yahoo.com/indy-ignite-set-launch-inaugural-120252941.html")</f>
        <v>https://ca.news.yahoo.com/indy-ignite-set-launch-inaugural-120252941.html</v>
      </c>
      <c r="C204" s="2"/>
      <c r="D204" s="2" t="s">
        <v>116</v>
      </c>
      <c r="E204" s="5">
        <v>45664</v>
      </c>
      <c r="F204" s="2" t="s">
        <v>476</v>
      </c>
      <c r="G204" s="2">
        <v>1746127</v>
      </c>
      <c r="H204" s="2">
        <v>0</v>
      </c>
      <c r="I204" s="2">
        <v>0</v>
      </c>
      <c r="J204" s="2">
        <v>0</v>
      </c>
      <c r="K204" s="2" t="s">
        <v>50</v>
      </c>
      <c r="L204" s="4">
        <v>16151.67</v>
      </c>
      <c r="M204" s="2"/>
      <c r="N204" t="s">
        <v>639</v>
      </c>
      <c r="O204" t="s">
        <v>684</v>
      </c>
    </row>
    <row r="205" spans="1:15" ht="66" x14ac:dyDescent="0.3">
      <c r="A205" s="2" t="s">
        <v>477</v>
      </c>
      <c r="B205" s="2" t="str">
        <f>HYPERLINK("https://www.essentiallysports.com/us-sports-news-volleyball-news-who-are-the-top-four-players-to-watch-at-twenty-twenty-five-pro-volleyball-federation-league/")</f>
        <v>https://www.essentiallysports.com/us-sports-news-volleyball-news-who-are-the-top-four-players-to-watch-at-twenty-twenty-five-pro-volleyball-federation-league/</v>
      </c>
      <c r="C205" s="2"/>
      <c r="D205" s="2" t="s">
        <v>74</v>
      </c>
      <c r="E205" s="5">
        <v>45663.312800925924</v>
      </c>
      <c r="F205" s="2" t="s">
        <v>478</v>
      </c>
      <c r="G205" s="2">
        <v>10912895</v>
      </c>
      <c r="H205" s="2">
        <v>0</v>
      </c>
      <c r="I205" s="2">
        <v>0</v>
      </c>
      <c r="J205" s="2">
        <v>1</v>
      </c>
      <c r="K205" s="2" t="s">
        <v>24</v>
      </c>
      <c r="L205" s="4">
        <v>100944.28</v>
      </c>
      <c r="M205" s="2"/>
      <c r="N205" t="s">
        <v>635</v>
      </c>
      <c r="O205" t="s">
        <v>635</v>
      </c>
    </row>
    <row r="206" spans="1:15" ht="105.6" x14ac:dyDescent="0.3">
      <c r="A206" s="2" t="s">
        <v>479</v>
      </c>
      <c r="B206" s="2" t="str">
        <f>HYPERLINK("https://indy-ignite-pro-volleyball.muckrack.com/link/eWb2CK/63-mph-her-parents-fled-war-as-refugees-now-shes-indy-ignites-volleyball-power-hitter")</f>
        <v>https://indy-ignite-pro-volleyball.muckrack.com/link/eWb2CK/63-mph-her-parents-fled-war-as-refugees-now-shes-indy-ignites-volleyball-power-hitter</v>
      </c>
      <c r="C206" s="2"/>
      <c r="D206" s="2" t="s">
        <v>30</v>
      </c>
      <c r="E206" s="5">
        <v>45663</v>
      </c>
      <c r="F206" s="2" t="s">
        <v>480</v>
      </c>
      <c r="G206" s="2"/>
      <c r="H206" s="2">
        <v>0</v>
      </c>
      <c r="I206" s="2">
        <v>0</v>
      </c>
      <c r="J206" s="2">
        <v>0</v>
      </c>
      <c r="K206" s="2" t="s">
        <v>50</v>
      </c>
      <c r="L206" s="4">
        <v>21007</v>
      </c>
      <c r="M206" s="2"/>
      <c r="N206" t="s">
        <v>510</v>
      </c>
      <c r="O206" t="s">
        <v>683</v>
      </c>
    </row>
    <row r="207" spans="1:15" ht="92.4" x14ac:dyDescent="0.3">
      <c r="A207" s="2" t="s">
        <v>479</v>
      </c>
      <c r="B207" s="2" t="str">
        <f>HYPERLINK("https://www.indystar.com/story/sports/2025/01/06/her-parents-fled-war-as-refugees-now-shes-indy-ignites-power-hitter/76239619007/")</f>
        <v>https://www.indystar.com/story/sports/2025/01/06/her-parents-fled-war-as-refugees-now-shes-indy-ignites-power-hitter/76239619007/</v>
      </c>
      <c r="C207" s="2"/>
      <c r="D207" s="2" t="s">
        <v>30</v>
      </c>
      <c r="E207" s="5">
        <v>45662</v>
      </c>
      <c r="F207" s="2" t="s">
        <v>481</v>
      </c>
      <c r="G207" s="2">
        <v>3191890</v>
      </c>
      <c r="H207" s="2">
        <v>3</v>
      </c>
      <c r="I207" s="2">
        <v>104973</v>
      </c>
      <c r="J207" s="2">
        <v>201</v>
      </c>
      <c r="K207" s="2" t="s">
        <v>50</v>
      </c>
      <c r="L207" s="4">
        <v>29524.98</v>
      </c>
      <c r="M207" s="2"/>
      <c r="N207" t="s">
        <v>510</v>
      </c>
      <c r="O207" t="s">
        <v>683</v>
      </c>
    </row>
    <row r="208" spans="1:15" ht="105.6" x14ac:dyDescent="0.3">
      <c r="A208" s="2" t="s">
        <v>482</v>
      </c>
      <c r="B208" s="2" t="str">
        <f>HYPERLINK("https://www.keepingupincarmel.com/post/the-in-list-2025-1-6-1-12")</f>
        <v>https://www.keepingupincarmel.com/post/the-in-list-2025-1-6-1-12</v>
      </c>
      <c r="C208" s="2" t="s">
        <v>82</v>
      </c>
      <c r="D208" s="2" t="s">
        <v>83</v>
      </c>
      <c r="E208" s="5">
        <v>45660.636354166672</v>
      </c>
      <c r="F208" s="2" t="s">
        <v>483</v>
      </c>
      <c r="G208" s="2">
        <v>473</v>
      </c>
      <c r="H208" s="2">
        <v>0</v>
      </c>
      <c r="I208" s="2">
        <v>0</v>
      </c>
      <c r="J208" s="2">
        <v>0</v>
      </c>
      <c r="K208" s="2" t="s">
        <v>50</v>
      </c>
      <c r="L208" s="4">
        <v>4.38</v>
      </c>
      <c r="M208" s="2"/>
      <c r="N208" t="s">
        <v>570</v>
      </c>
      <c r="O208" t="s">
        <v>683</v>
      </c>
    </row>
    <row r="209" spans="1:15" ht="92.4" x14ac:dyDescent="0.3">
      <c r="A209" s="2" t="s">
        <v>484</v>
      </c>
      <c r="B209" s="2" t="str">
        <f>HYPERLINK("https://www.oursportscentral.com/services/releases/indy-ignite-kick-off-inaugural-season/n-6177896")</f>
        <v>https://www.oursportscentral.com/services/releases/indy-ignite-kick-off-inaugural-season/n-6177896</v>
      </c>
      <c r="C209" s="2"/>
      <c r="D209" s="2" t="s">
        <v>49</v>
      </c>
      <c r="E209" s="5">
        <v>45660.322222222218</v>
      </c>
      <c r="F209" s="2" t="s">
        <v>485</v>
      </c>
      <c r="G209" s="2">
        <v>62699</v>
      </c>
      <c r="H209" s="2">
        <v>0</v>
      </c>
      <c r="I209" s="2">
        <v>0</v>
      </c>
      <c r="J209" s="2">
        <v>0</v>
      </c>
      <c r="K209" s="2" t="s">
        <v>24</v>
      </c>
      <c r="L209" s="4">
        <v>579.97</v>
      </c>
      <c r="M209" s="2"/>
      <c r="N209" t="s">
        <v>635</v>
      </c>
      <c r="O209" t="s">
        <v>635</v>
      </c>
    </row>
    <row r="210" spans="1:15" ht="79.2" x14ac:dyDescent="0.3">
      <c r="A210" s="2" t="s">
        <v>486</v>
      </c>
      <c r="B210" s="2" t="str">
        <f>HYPERLINK("https://www.essentiallysports.com/us-sports-news-volleyball-news-volleyball-star-anna-debeer-forgoes-heartbreaking-ncaa-end-to-share-wholesome-update-couldnt-get-away/")</f>
        <v>https://www.essentiallysports.com/us-sports-news-volleyball-news-volleyball-star-anna-debeer-forgoes-heartbreaking-ncaa-end-to-share-wholesome-update-couldnt-get-away/</v>
      </c>
      <c r="C210" s="2"/>
      <c r="D210" s="2" t="s">
        <v>74</v>
      </c>
      <c r="E210" s="5">
        <v>45660</v>
      </c>
      <c r="F210" s="2" t="s">
        <v>487</v>
      </c>
      <c r="G210" s="2">
        <v>10912895</v>
      </c>
      <c r="H210" s="2">
        <v>0</v>
      </c>
      <c r="I210" s="2">
        <v>0</v>
      </c>
      <c r="J210" s="2">
        <v>0</v>
      </c>
      <c r="K210" s="2" t="s">
        <v>50</v>
      </c>
      <c r="L210" s="4">
        <v>100944.28</v>
      </c>
      <c r="M210" s="2"/>
      <c r="N210" t="s">
        <v>635</v>
      </c>
      <c r="O210" t="s">
        <v>635</v>
      </c>
    </row>
    <row r="211" spans="1:15" ht="52.8" x14ac:dyDescent="0.3">
      <c r="A211" s="2" t="s">
        <v>488</v>
      </c>
      <c r="B211" s="2" t="str">
        <f>HYPERLINK("https://indy-ignite-pro-volleyball.muckrack.com/link/ebJsrV/indy-ignite-hosts-sellout-crowd-in-franchises-first-match")</f>
        <v>https://indy-ignite-pro-volleyball.muckrack.com/link/ebJsrV/indy-ignite-hosts-sellout-crowd-in-franchises-first-match</v>
      </c>
      <c r="C211" s="2" t="s">
        <v>68</v>
      </c>
      <c r="D211" s="2" t="s">
        <v>69</v>
      </c>
      <c r="E211" s="5">
        <v>45658.291666666657</v>
      </c>
      <c r="F211" s="2" t="s">
        <v>489</v>
      </c>
      <c r="G211" s="2"/>
      <c r="H211" s="2">
        <v>0</v>
      </c>
      <c r="I211" s="2">
        <v>0</v>
      </c>
      <c r="J211" s="2">
        <v>0</v>
      </c>
      <c r="K211" s="2" t="s">
        <v>50</v>
      </c>
      <c r="L211" s="4">
        <v>3599</v>
      </c>
      <c r="M211" s="2"/>
      <c r="N211" t="s">
        <v>510</v>
      </c>
      <c r="O211" t="s">
        <v>683</v>
      </c>
    </row>
    <row r="212" spans="1:15" ht="105.6" x14ac:dyDescent="0.3">
      <c r="A212" s="2" t="s">
        <v>67</v>
      </c>
      <c r="B212" s="2" t="str">
        <f>HYPERLINK("https://indy-ignite-pro-volleyball.muckrack.com/link/enXtYT/indy-ignite-falls-to-san-diego-mojo-for-first-loss-of-the-season")</f>
        <v>https://indy-ignite-pro-volleyball.muckrack.com/link/enXtYT/indy-ignite-falls-to-san-diego-mojo-for-first-loss-of-the-season</v>
      </c>
      <c r="C212" s="2" t="s">
        <v>68</v>
      </c>
      <c r="D212" s="2" t="s">
        <v>69</v>
      </c>
      <c r="E212" s="5">
        <v>45658</v>
      </c>
      <c r="F212" s="2" t="s">
        <v>490</v>
      </c>
      <c r="G212" s="2"/>
      <c r="H212" s="2">
        <v>0</v>
      </c>
      <c r="I212" s="2">
        <v>0</v>
      </c>
      <c r="J212" s="2">
        <v>0</v>
      </c>
      <c r="K212" s="2" t="s">
        <v>50</v>
      </c>
      <c r="L212" s="4">
        <v>3599</v>
      </c>
      <c r="M212" s="2"/>
      <c r="N212" t="s">
        <v>510</v>
      </c>
      <c r="O212" t="s">
        <v>683</v>
      </c>
    </row>
    <row r="213" spans="1:15" x14ac:dyDescent="0.3">
      <c r="L213" s="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workbookViewId="0"/>
  </sheetViews>
  <sheetFormatPr defaultRowHeight="14.4" x14ac:dyDescent="0.3"/>
  <cols>
    <col min="1" max="3" width="24" customWidth="1"/>
    <col min="4" max="4" width="16" customWidth="1"/>
    <col min="5" max="6" width="32" customWidth="1"/>
    <col min="7" max="7" width="21" customWidth="1"/>
    <col min="8" max="8" width="24" customWidth="1"/>
    <col min="9" max="9" width="48" customWidth="1"/>
    <col min="10" max="11" width="24" customWidth="1"/>
    <col min="12" max="12" width="48" customWidth="1"/>
    <col min="13" max="13" width="19" customWidth="1"/>
    <col min="14" max="15" width="32" customWidth="1"/>
  </cols>
  <sheetData>
    <row r="1" spans="1:15" x14ac:dyDescent="0.3">
      <c r="A1" s="1" t="s">
        <v>491</v>
      </c>
      <c r="B1" s="1" t="s">
        <v>492</v>
      </c>
      <c r="C1" s="1" t="s">
        <v>493</v>
      </c>
      <c r="D1" s="1" t="s">
        <v>494</v>
      </c>
      <c r="E1" s="1" t="s">
        <v>495</v>
      </c>
      <c r="F1" s="1" t="s">
        <v>496</v>
      </c>
      <c r="G1" s="1" t="s">
        <v>497</v>
      </c>
      <c r="H1" s="1" t="s">
        <v>498</v>
      </c>
      <c r="I1" s="1" t="s">
        <v>499</v>
      </c>
      <c r="J1" s="1" t="s">
        <v>500</v>
      </c>
      <c r="K1" s="1" t="s">
        <v>501</v>
      </c>
      <c r="L1" s="1" t="s">
        <v>502</v>
      </c>
      <c r="M1" s="1" t="s">
        <v>503</v>
      </c>
      <c r="N1" s="1" t="s">
        <v>504</v>
      </c>
      <c r="O1" s="1" t="s">
        <v>505</v>
      </c>
    </row>
    <row r="2" spans="1:15" ht="105.6" x14ac:dyDescent="0.3">
      <c r="A2" s="2" t="s">
        <v>506</v>
      </c>
      <c r="B2" s="2" t="s">
        <v>507</v>
      </c>
      <c r="C2" s="2" t="s">
        <v>508</v>
      </c>
      <c r="D2" s="2" t="s">
        <v>509</v>
      </c>
      <c r="E2" s="2" t="str">
        <f>HYPERLINK("http://twitter.com/pd_cameraman")</f>
        <v>http://twitter.com/pd_cameraman</v>
      </c>
      <c r="F2" s="2" t="str">
        <f>HYPERLINK("https://muckrack.com/max-gersh")</f>
        <v>https://muckrack.com/max-gersh</v>
      </c>
      <c r="G2" s="2">
        <v>2576</v>
      </c>
      <c r="H2" s="2" t="s">
        <v>510</v>
      </c>
      <c r="I2" s="2" t="s">
        <v>511</v>
      </c>
      <c r="J2" s="2" t="s">
        <v>512</v>
      </c>
      <c r="K2" s="2" t="s">
        <v>513</v>
      </c>
      <c r="L2" s="2" t="s">
        <v>514</v>
      </c>
      <c r="M2" s="5">
        <v>45688.556597222218</v>
      </c>
      <c r="N2" s="2" t="str">
        <f>HYPERLINK("http://twitter.com/pd_cameraman/status/1885392981441617997")</f>
        <v>http://twitter.com/pd_cameraman/status/1885392981441617997</v>
      </c>
      <c r="O2" s="2" t="str">
        <f>HYPERLINK("https://www.indystar.com/picture-gallery/news/local/2025/01/31/indystar-photojournalists-share-their-favorite-best-photos-from-january-2025/77740714007/")</f>
        <v>https://www.indystar.com/picture-gallery/news/local/2025/01/31/indystar-photojournalists-share-their-favorite-best-photos-from-january-2025/77740714007/</v>
      </c>
    </row>
    <row r="3" spans="1:15" ht="66" x14ac:dyDescent="0.3">
      <c r="A3" s="2" t="s">
        <v>44</v>
      </c>
      <c r="B3" s="2" t="s">
        <v>515</v>
      </c>
      <c r="C3" s="2" t="s">
        <v>516</v>
      </c>
      <c r="D3" s="2" t="s">
        <v>517</v>
      </c>
      <c r="E3" s="2" t="str">
        <f>HYPERLINK("http://twitter.com/Sports_Aaron")</f>
        <v>http://twitter.com/Sports_Aaron</v>
      </c>
      <c r="F3" s="2" t="str">
        <f>HYPERLINK("https://muckrack.com/aaron-ferguson-1")</f>
        <v>https://muckrack.com/aaron-ferguson-1</v>
      </c>
      <c r="G3" s="2">
        <v>4952</v>
      </c>
      <c r="H3" s="2" t="s">
        <v>510</v>
      </c>
      <c r="I3" s="2" t="s">
        <v>518</v>
      </c>
      <c r="J3" s="2" t="s">
        <v>519</v>
      </c>
      <c r="K3" s="2" t="s">
        <v>520</v>
      </c>
      <c r="L3" s="2" t="s">
        <v>521</v>
      </c>
      <c r="M3" s="5">
        <v>45685.749467592592</v>
      </c>
      <c r="N3" s="2" t="str">
        <f>HYPERLINK("http://twitter.com/Sports_Aaron/status/1884375713727353343")</f>
        <v>http://twitter.com/Sports_Aaron/status/1884375713727353343</v>
      </c>
      <c r="O3" s="2" t="str">
        <f>HYPERLINK("https://www.indystar.com/story/sports/2025/01/28/shawn-johnson-east-appear-co-host-pvf-all-star-game-in-fishers/78000689007/")</f>
        <v>https://www.indystar.com/story/sports/2025/01/28/shawn-johnson-east-appear-co-host-pvf-all-star-game-in-fishers/78000689007/</v>
      </c>
    </row>
    <row r="4" spans="1:15" ht="52.8" x14ac:dyDescent="0.3">
      <c r="A4" s="2" t="s">
        <v>44</v>
      </c>
      <c r="B4" s="2" t="s">
        <v>515</v>
      </c>
      <c r="C4" s="2" t="s">
        <v>516</v>
      </c>
      <c r="D4" s="2" t="s">
        <v>517</v>
      </c>
      <c r="E4" s="2" t="str">
        <f>HYPERLINK("http://twitter.com/Sports_Aaron")</f>
        <v>http://twitter.com/Sports_Aaron</v>
      </c>
      <c r="F4" s="2" t="str">
        <f>HYPERLINK("https://muckrack.com/aaron-ferguson-1")</f>
        <v>https://muckrack.com/aaron-ferguson-1</v>
      </c>
      <c r="G4" s="2">
        <v>4952</v>
      </c>
      <c r="H4" s="2" t="s">
        <v>510</v>
      </c>
      <c r="I4" s="2" t="s">
        <v>518</v>
      </c>
      <c r="J4" s="2" t="s">
        <v>519</v>
      </c>
      <c r="K4" s="2" t="s">
        <v>520</v>
      </c>
      <c r="L4" s="2" t="s">
        <v>522</v>
      </c>
      <c r="M4" s="5">
        <v>45682.419212962966</v>
      </c>
      <c r="N4" s="2" t="str">
        <f>HYPERLINK("http://twitter.com/Sports_Aaron/status/1883168869113823275")</f>
        <v>http://twitter.com/Sports_Aaron/status/1883168869113823275</v>
      </c>
      <c r="O4" s="2" t="str">
        <f>HYPERLINK("https://www.indystar.com/story/sports/2025/01/25/indy-ignite-volleyball-suffers-loss-after-pat-mcafee-shows-support/77943108007/")</f>
        <v>https://www.indystar.com/story/sports/2025/01/25/indy-ignite-volleyball-suffers-loss-after-pat-mcafee-shows-support/77943108007/</v>
      </c>
    </row>
    <row r="5" spans="1:15" ht="105.6" x14ac:dyDescent="0.3">
      <c r="A5" s="2" t="s">
        <v>105</v>
      </c>
      <c r="B5" s="2" t="s">
        <v>523</v>
      </c>
      <c r="C5" s="2" t="s">
        <v>524</v>
      </c>
      <c r="D5" s="2" t="s">
        <v>525</v>
      </c>
      <c r="E5" s="2" t="str">
        <f>HYPERLINK("http://twitter.com/Schultz975")</f>
        <v>http://twitter.com/Schultz975</v>
      </c>
      <c r="F5" s="2" t="str">
        <f>HYPERLINK("https://muckrack.com/derek-schultz")</f>
        <v>https://muckrack.com/derek-schultz</v>
      </c>
      <c r="G5" s="2">
        <v>19919</v>
      </c>
      <c r="H5" s="2" t="s">
        <v>526</v>
      </c>
      <c r="I5" s="2" t="s">
        <v>527</v>
      </c>
      <c r="J5" s="2" t="s">
        <v>528</v>
      </c>
      <c r="K5" s="2" t="s">
        <v>529</v>
      </c>
      <c r="L5" s="2" t="s">
        <v>530</v>
      </c>
      <c r="M5" s="5">
        <v>45681.649317129632</v>
      </c>
      <c r="N5" s="2" t="str">
        <f>HYPERLINK("http://twitter.com/Schultz975/status/1882889869091119237")</f>
        <v>http://twitter.com/Schultz975/status/1882889869091119237</v>
      </c>
      <c r="O5" s="2" t="str">
        <f>HYPERLINK("https://www.ibj.com/articles/derek-schultz-igniting-indy")</f>
        <v>https://www.ibj.com/articles/derek-schultz-igniting-indy</v>
      </c>
    </row>
    <row r="6" spans="1:15" ht="66" x14ac:dyDescent="0.3">
      <c r="A6" s="2" t="s">
        <v>531</v>
      </c>
      <c r="B6" s="2" t="s">
        <v>532</v>
      </c>
      <c r="C6" s="2" t="s">
        <v>533</v>
      </c>
      <c r="D6" s="2" t="s">
        <v>534</v>
      </c>
      <c r="E6" s="2" t="str">
        <f>HYPERLINK("http://twitter.com/KyleNeddenriep")</f>
        <v>http://twitter.com/KyleNeddenriep</v>
      </c>
      <c r="F6" s="2" t="str">
        <f>HYPERLINK("https://muckrack.com/kyleneddenriep")</f>
        <v>https://muckrack.com/kyleneddenriep</v>
      </c>
      <c r="G6" s="2">
        <v>54733</v>
      </c>
      <c r="H6" s="2" t="s">
        <v>535</v>
      </c>
      <c r="I6" s="2" t="s">
        <v>536</v>
      </c>
      <c r="J6" s="2" t="s">
        <v>519</v>
      </c>
      <c r="K6" s="2" t="s">
        <v>30</v>
      </c>
      <c r="L6" s="2" t="s">
        <v>537</v>
      </c>
      <c r="M6" s="5">
        <v>45674.358402777783</v>
      </c>
      <c r="N6" s="2" t="str">
        <f>HYPERLINK("http://twitter.com/KyleNeddenriep/status/1880247729265463310")</f>
        <v>http://twitter.com/KyleNeddenriep/status/1880247729265463310</v>
      </c>
      <c r="O6" s="2" t="str">
        <f>HYPERLINK("https://www.indystar.com/story/sports/2025/01/17/indy-ignite-get-another-big-crowd-including-caitlin-clark-pro-volleyball-fishers-event-center/77769717007/")</f>
        <v>https://www.indystar.com/story/sports/2025/01/17/indy-ignite-get-another-big-crowd-including-caitlin-clark-pro-volleyball-fishers-event-center/77769717007/</v>
      </c>
    </row>
    <row r="7" spans="1:15" ht="66" x14ac:dyDescent="0.3">
      <c r="A7" s="2" t="s">
        <v>538</v>
      </c>
      <c r="B7" s="2" t="s">
        <v>539</v>
      </c>
      <c r="C7" s="2" t="s">
        <v>540</v>
      </c>
      <c r="D7" s="2" t="s">
        <v>541</v>
      </c>
      <c r="E7" s="2" t="str">
        <f>HYPERLINK("http://twitter.com/RichTorres23")</f>
        <v>http://twitter.com/RichTorres23</v>
      </c>
      <c r="F7" s="2" t="str">
        <f>HYPERLINK("https://muckrack.com/rich-torres")</f>
        <v>https://muckrack.com/rich-torres</v>
      </c>
      <c r="G7" s="2">
        <v>2556</v>
      </c>
      <c r="H7" s="2" t="s">
        <v>542</v>
      </c>
      <c r="I7" s="2" t="s">
        <v>543</v>
      </c>
      <c r="J7" s="2" t="s">
        <v>544</v>
      </c>
      <c r="K7" s="2" t="s">
        <v>545</v>
      </c>
      <c r="L7" s="2" t="s">
        <v>537</v>
      </c>
      <c r="M7" s="5">
        <v>45674.623622685183</v>
      </c>
      <c r="N7" s="2" t="str">
        <f>HYPERLINK("http://twitter.com/RichTorres23/status/1880343843025088564")</f>
        <v>http://twitter.com/RichTorres23/status/1880343843025088564</v>
      </c>
      <c r="O7" s="2" t="str">
        <f>HYPERLINK("https://www.indystar.com/story/sports/2025/01/17/indy-ignite-get-another-big-crowd-including-caitlin-clark-pro-volleyball-fishers-event-center/77769717007/")</f>
        <v>https://www.indystar.com/story/sports/2025/01/17/indy-ignite-get-another-big-crowd-including-caitlin-clark-pro-volleyball-fishers-event-center/77769717007/</v>
      </c>
    </row>
    <row r="8" spans="1:15" ht="79.2" x14ac:dyDescent="0.3">
      <c r="A8" s="2" t="s">
        <v>308</v>
      </c>
      <c r="B8" s="2" t="s">
        <v>546</v>
      </c>
      <c r="C8" s="2" t="s">
        <v>547</v>
      </c>
      <c r="D8" s="2" t="s">
        <v>548</v>
      </c>
      <c r="E8" s="2" t="str">
        <f>HYPERLINK("http://twitter.com/alexhammeke")</f>
        <v>http://twitter.com/alexhammeke</v>
      </c>
      <c r="F8" s="2" t="str">
        <f>HYPERLINK("https://muckrack.com/alex-hammeke-1")</f>
        <v>https://muckrack.com/alex-hammeke-1</v>
      </c>
      <c r="G8" s="2">
        <v>1055</v>
      </c>
      <c r="H8" s="2" t="s">
        <v>549</v>
      </c>
      <c r="I8" s="2" t="s">
        <v>550</v>
      </c>
      <c r="J8" s="2"/>
      <c r="K8" s="2" t="s">
        <v>551</v>
      </c>
      <c r="L8" s="2" t="s">
        <v>552</v>
      </c>
      <c r="M8" s="5">
        <v>45673.511180555557</v>
      </c>
      <c r="N8" s="2" t="str">
        <f>HYPERLINK("http://twitter.com/alexhammeke/status/1879940704417509817")</f>
        <v>http://twitter.com/alexhammeke/status/1879940704417509817</v>
      </c>
      <c r="O8" s="2" t="str">
        <f>HYPERLINK("https://www.centralnebraskatoday.com/2025/01/16/omaha-supernovas-leaving-pvf-joining-brand-new-league-in-26/")</f>
        <v>https://www.centralnebraskatoday.com/2025/01/16/omaha-supernovas-leaving-pvf-joining-brand-new-league-in-26/</v>
      </c>
    </row>
    <row r="9" spans="1:15" ht="66" x14ac:dyDescent="0.3">
      <c r="A9" s="2" t="s">
        <v>371</v>
      </c>
      <c r="B9" s="2" t="s">
        <v>553</v>
      </c>
      <c r="C9" s="2" t="s">
        <v>554</v>
      </c>
      <c r="D9" s="2" t="s">
        <v>555</v>
      </c>
      <c r="E9" s="2" t="str">
        <f>HYPERLINK("http://twitter.com/DanaBenbow")</f>
        <v>http://twitter.com/DanaBenbow</v>
      </c>
      <c r="F9" s="2" t="str">
        <f>HYPERLINK("https://muckrack.com/danabenbow")</f>
        <v>https://muckrack.com/danabenbow</v>
      </c>
      <c r="G9" s="2">
        <v>6940</v>
      </c>
      <c r="H9" s="2" t="s">
        <v>535</v>
      </c>
      <c r="I9" s="2" t="s">
        <v>556</v>
      </c>
      <c r="J9" s="2" t="s">
        <v>557</v>
      </c>
      <c r="K9" s="2" t="s">
        <v>30</v>
      </c>
      <c r="L9" s="2" t="s">
        <v>558</v>
      </c>
      <c r="M9" s="5">
        <v>45669.015775462962</v>
      </c>
      <c r="N9" s="2" t="str">
        <f>HYPERLINK("http://twitter.com/DanaBenbow/status/1878311623623868697")</f>
        <v>http://twitter.com/DanaBenbow/status/1878311623623868697</v>
      </c>
      <c r="O9" s="2" t="str">
        <f t="shared" ref="O9:O18" si="0">HYPERLINK("https://www.indystar.com/story/sports/2025/01/12/indy-ignite-electrify-in-season-opening-win-vs-orlando-pro-womens-volleyball-fishers-event-center/77248499007/")</f>
        <v>https://www.indystar.com/story/sports/2025/01/12/indy-ignite-electrify-in-season-opening-win-vs-orlando-pro-womens-volleyball-fishers-event-center/77248499007/</v>
      </c>
    </row>
    <row r="10" spans="1:15" ht="66" x14ac:dyDescent="0.3">
      <c r="A10" s="2" t="s">
        <v>371</v>
      </c>
      <c r="B10" s="2" t="s">
        <v>553</v>
      </c>
      <c r="C10" s="2" t="s">
        <v>554</v>
      </c>
      <c r="D10" s="2" t="s">
        <v>555</v>
      </c>
      <c r="E10" s="2" t="str">
        <f>HYPERLINK("http://twitter.com/DanaBenbow")</f>
        <v>http://twitter.com/DanaBenbow</v>
      </c>
      <c r="F10" s="2" t="str">
        <f>HYPERLINK("https://muckrack.com/danabenbow")</f>
        <v>https://muckrack.com/danabenbow</v>
      </c>
      <c r="G10" s="2">
        <v>6940</v>
      </c>
      <c r="H10" s="2" t="s">
        <v>535</v>
      </c>
      <c r="I10" s="2" t="s">
        <v>556</v>
      </c>
      <c r="J10" s="2" t="s">
        <v>557</v>
      </c>
      <c r="K10" s="2" t="s">
        <v>30</v>
      </c>
      <c r="L10" s="2" t="s">
        <v>559</v>
      </c>
      <c r="M10" s="5">
        <v>45669.016851851848</v>
      </c>
      <c r="N10" s="2" t="str">
        <f>HYPERLINK("http://twitter.com/DanaBenbow/status/1878312013668995581")</f>
        <v>http://twitter.com/DanaBenbow/status/1878312013668995581</v>
      </c>
      <c r="O10" s="2" t="str">
        <f t="shared" si="0"/>
        <v>https://www.indystar.com/story/sports/2025/01/12/indy-ignite-electrify-in-season-opening-win-vs-orlando-pro-womens-volleyball-fishers-event-center/77248499007/</v>
      </c>
    </row>
    <row r="11" spans="1:15" ht="66" x14ac:dyDescent="0.3">
      <c r="A11" s="2" t="s">
        <v>371</v>
      </c>
      <c r="B11" s="2" t="s">
        <v>553</v>
      </c>
      <c r="C11" s="2" t="s">
        <v>554</v>
      </c>
      <c r="D11" s="2" t="s">
        <v>555</v>
      </c>
      <c r="E11" s="2" t="str">
        <f>HYPERLINK("http://twitter.com/DanaBenbow")</f>
        <v>http://twitter.com/DanaBenbow</v>
      </c>
      <c r="F11" s="2" t="str">
        <f>HYPERLINK("https://muckrack.com/danabenbow")</f>
        <v>https://muckrack.com/danabenbow</v>
      </c>
      <c r="G11" s="2">
        <v>6940</v>
      </c>
      <c r="H11" s="2" t="s">
        <v>535</v>
      </c>
      <c r="I11" s="2" t="s">
        <v>556</v>
      </c>
      <c r="J11" s="2" t="s">
        <v>557</v>
      </c>
      <c r="K11" s="2" t="s">
        <v>30</v>
      </c>
      <c r="L11" s="2" t="s">
        <v>560</v>
      </c>
      <c r="M11" s="5">
        <v>45669.47965277778</v>
      </c>
      <c r="N11" s="2" t="str">
        <f>HYPERLINK("http://twitter.com/DanaBenbow/status/1878479730032152727")</f>
        <v>http://twitter.com/DanaBenbow/status/1878479730032152727</v>
      </c>
      <c r="O11" s="2" t="str">
        <f t="shared" si="0"/>
        <v>https://www.indystar.com/story/sports/2025/01/12/indy-ignite-electrify-in-season-opening-win-vs-orlando-pro-womens-volleyball-fishers-event-center/77248499007/</v>
      </c>
    </row>
    <row r="12" spans="1:15" ht="66" x14ac:dyDescent="0.3">
      <c r="A12" s="2" t="s">
        <v>5</v>
      </c>
      <c r="B12" s="2" t="s">
        <v>539</v>
      </c>
      <c r="C12" s="2"/>
      <c r="D12" s="2" t="s">
        <v>561</v>
      </c>
      <c r="E12" s="2" t="str">
        <f>HYPERLINK("http://twitter.com/CKightlinger")</f>
        <v>http://twitter.com/CKightlinger</v>
      </c>
      <c r="F12" s="2" t="str">
        <f>HYPERLINK("https://muckrack.com/ckightlinger")</f>
        <v>https://muckrack.com/ckightlinger</v>
      </c>
      <c r="G12" s="2">
        <v>8354</v>
      </c>
      <c r="H12" s="2" t="s">
        <v>562</v>
      </c>
      <c r="I12" s="2" t="s">
        <v>563</v>
      </c>
      <c r="J12" s="2" t="s">
        <v>564</v>
      </c>
      <c r="K12" s="2" t="s">
        <v>545</v>
      </c>
      <c r="L12" s="2" t="s">
        <v>565</v>
      </c>
      <c r="M12" s="5">
        <v>45669.032071759262</v>
      </c>
      <c r="N12" s="2" t="str">
        <f>HYPERLINK("http://twitter.com/CKightlinger/status/1878317530999136269")</f>
        <v>http://twitter.com/CKightlinger/status/1878317530999136269</v>
      </c>
      <c r="O12" s="2" t="str">
        <f t="shared" si="0"/>
        <v>https://www.indystar.com/story/sports/2025/01/12/indy-ignite-electrify-in-season-opening-win-vs-orlando-pro-womens-volleyball-fishers-event-center/77248499007/</v>
      </c>
    </row>
    <row r="13" spans="1:15" ht="66" x14ac:dyDescent="0.3">
      <c r="A13" s="2" t="s">
        <v>5</v>
      </c>
      <c r="B13" s="2" t="s">
        <v>539</v>
      </c>
      <c r="C13" s="2"/>
      <c r="D13" s="2" t="s">
        <v>561</v>
      </c>
      <c r="E13" s="2" t="str">
        <f>HYPERLINK("http://twitter.com/CKightlinger")</f>
        <v>http://twitter.com/CKightlinger</v>
      </c>
      <c r="F13" s="2" t="str">
        <f>HYPERLINK("https://muckrack.com/ckightlinger")</f>
        <v>https://muckrack.com/ckightlinger</v>
      </c>
      <c r="G13" s="2">
        <v>8354</v>
      </c>
      <c r="H13" s="2" t="s">
        <v>562</v>
      </c>
      <c r="I13" s="2" t="s">
        <v>563</v>
      </c>
      <c r="J13" s="2" t="s">
        <v>564</v>
      </c>
      <c r="K13" s="2" t="s">
        <v>545</v>
      </c>
      <c r="L13" s="2" t="s">
        <v>560</v>
      </c>
      <c r="M13" s="5">
        <v>45669.04111111111</v>
      </c>
      <c r="N13" s="2" t="str">
        <f>HYPERLINK("http://twitter.com/CKightlinger/status/1878320805597135131")</f>
        <v>http://twitter.com/CKightlinger/status/1878320805597135131</v>
      </c>
      <c r="O13" s="2" t="str">
        <f t="shared" si="0"/>
        <v>https://www.indystar.com/story/sports/2025/01/12/indy-ignite-electrify-in-season-opening-win-vs-orlando-pro-womens-volleyball-fishers-event-center/77248499007/</v>
      </c>
    </row>
    <row r="14" spans="1:15" ht="66" x14ac:dyDescent="0.3">
      <c r="A14" s="2" t="s">
        <v>566</v>
      </c>
      <c r="B14" s="2" t="s">
        <v>567</v>
      </c>
      <c r="C14" s="2" t="s">
        <v>568</v>
      </c>
      <c r="D14" s="2" t="s">
        <v>569</v>
      </c>
      <c r="E14" s="2" t="str">
        <f>HYPERLINK("http://twitter.com/MattGlenesk")</f>
        <v>http://twitter.com/MattGlenesk</v>
      </c>
      <c r="F14" s="2" t="str">
        <f>HYPERLINK("https://muckrack.com/matthew-glenesk")</f>
        <v>https://muckrack.com/matthew-glenesk</v>
      </c>
      <c r="G14" s="2">
        <v>8693</v>
      </c>
      <c r="H14" s="2" t="s">
        <v>570</v>
      </c>
      <c r="I14" s="2" t="s">
        <v>571</v>
      </c>
      <c r="J14" s="2" t="s">
        <v>519</v>
      </c>
      <c r="K14" s="2" t="s">
        <v>30</v>
      </c>
      <c r="L14" s="2" t="s">
        <v>560</v>
      </c>
      <c r="M14" s="5">
        <v>45669.484224537038</v>
      </c>
      <c r="N14" s="2" t="str">
        <f>HYPERLINK("http://twitter.com/MattGlenesk/status/1878481386052427820")</f>
        <v>http://twitter.com/MattGlenesk/status/1878481386052427820</v>
      </c>
      <c r="O14" s="2" t="str">
        <f t="shared" si="0"/>
        <v>https://www.indystar.com/story/sports/2025/01/12/indy-ignite-electrify-in-season-opening-win-vs-orlando-pro-womens-volleyball-fishers-event-center/77248499007/</v>
      </c>
    </row>
    <row r="15" spans="1:15" ht="66" x14ac:dyDescent="0.3">
      <c r="A15" s="2" t="s">
        <v>531</v>
      </c>
      <c r="B15" s="2" t="s">
        <v>532</v>
      </c>
      <c r="C15" s="2" t="s">
        <v>533</v>
      </c>
      <c r="D15" s="2" t="s">
        <v>534</v>
      </c>
      <c r="E15" s="2" t="str">
        <f>HYPERLINK("http://twitter.com/KyleNeddenriep")</f>
        <v>http://twitter.com/KyleNeddenriep</v>
      </c>
      <c r="F15" s="2" t="str">
        <f>HYPERLINK("https://muckrack.com/kyleneddenriep")</f>
        <v>https://muckrack.com/kyleneddenriep</v>
      </c>
      <c r="G15" s="2">
        <v>54733</v>
      </c>
      <c r="H15" s="2" t="s">
        <v>535</v>
      </c>
      <c r="I15" s="2" t="s">
        <v>536</v>
      </c>
      <c r="J15" s="2" t="s">
        <v>519</v>
      </c>
      <c r="K15" s="2" t="s">
        <v>30</v>
      </c>
      <c r="L15" s="2" t="s">
        <v>572</v>
      </c>
      <c r="M15" s="5">
        <v>45669.603263888886</v>
      </c>
      <c r="N15" s="2" t="str">
        <f>HYPERLINK("http://twitter.com/KyleNeddenriep/status/1878524523940565242")</f>
        <v>http://twitter.com/KyleNeddenriep/status/1878524523940565242</v>
      </c>
      <c r="O15" s="2" t="str">
        <f t="shared" si="0"/>
        <v>https://www.indystar.com/story/sports/2025/01/12/indy-ignite-electrify-in-season-opening-win-vs-orlando-pro-womens-volleyball-fishers-event-center/77248499007/</v>
      </c>
    </row>
    <row r="16" spans="1:15" ht="66" x14ac:dyDescent="0.3">
      <c r="A16" s="2" t="s">
        <v>573</v>
      </c>
      <c r="B16" s="2" t="s">
        <v>574</v>
      </c>
      <c r="C16" s="2" t="s">
        <v>575</v>
      </c>
      <c r="D16" s="2" t="s">
        <v>576</v>
      </c>
      <c r="E16" s="2" t="str">
        <f>HYPERLINK("http://twitter.com/THEAkeemGlaspie")</f>
        <v>http://twitter.com/THEAkeemGlaspie</v>
      </c>
      <c r="F16" s="2" t="str">
        <f>HYPERLINK("https://muckrack.com/akeem-glaspie")</f>
        <v>https://muckrack.com/akeem-glaspie</v>
      </c>
      <c r="G16" s="2">
        <v>5508</v>
      </c>
      <c r="H16" s="2" t="s">
        <v>577</v>
      </c>
      <c r="I16" s="2" t="s">
        <v>578</v>
      </c>
      <c r="J16" s="2" t="s">
        <v>544</v>
      </c>
      <c r="K16" s="2" t="s">
        <v>30</v>
      </c>
      <c r="L16" s="2" t="s">
        <v>572</v>
      </c>
      <c r="M16" s="5">
        <v>45669.611608796287</v>
      </c>
      <c r="N16" s="2" t="str">
        <f>HYPERLINK("http://twitter.com/THEAkeemGlaspie/status/1878527547220128140")</f>
        <v>http://twitter.com/THEAkeemGlaspie/status/1878527547220128140</v>
      </c>
      <c r="O16" s="2" t="str">
        <f t="shared" si="0"/>
        <v>https://www.indystar.com/story/sports/2025/01/12/indy-ignite-electrify-in-season-opening-win-vs-orlando-pro-womens-volleyball-fishers-event-center/77248499007/</v>
      </c>
    </row>
    <row r="17" spans="1:15" ht="66" x14ac:dyDescent="0.3">
      <c r="A17" s="2" t="s">
        <v>579</v>
      </c>
      <c r="B17" s="2" t="s">
        <v>580</v>
      </c>
      <c r="C17" s="2" t="s">
        <v>581</v>
      </c>
      <c r="D17" s="2" t="s">
        <v>582</v>
      </c>
      <c r="E17" s="2" t="str">
        <f>HYPERLINK("http://twitter.com/GreggDoyelStar")</f>
        <v>http://twitter.com/GreggDoyelStar</v>
      </c>
      <c r="F17" s="2" t="str">
        <f>HYPERLINK("https://muckrack.com/greggdoyelstar")</f>
        <v>https://muckrack.com/greggdoyelstar</v>
      </c>
      <c r="G17" s="2">
        <v>92255</v>
      </c>
      <c r="H17" s="2" t="s">
        <v>510</v>
      </c>
      <c r="I17" s="2" t="s">
        <v>583</v>
      </c>
      <c r="J17" s="2" t="s">
        <v>519</v>
      </c>
      <c r="K17" s="2" t="s">
        <v>30</v>
      </c>
      <c r="L17" s="2" t="s">
        <v>560</v>
      </c>
      <c r="M17" s="5">
        <v>45669.67659722222</v>
      </c>
      <c r="N17" s="2" t="str">
        <f>HYPERLINK("http://twitter.com/GreggDoyelStar/status/1878551099306619317")</f>
        <v>http://twitter.com/GreggDoyelStar/status/1878551099306619317</v>
      </c>
      <c r="O17" s="2" t="str">
        <f t="shared" si="0"/>
        <v>https://www.indystar.com/story/sports/2025/01/12/indy-ignite-electrify-in-season-opening-win-vs-orlando-pro-womens-volleyball-fishers-event-center/77248499007/</v>
      </c>
    </row>
    <row r="18" spans="1:15" ht="66" x14ac:dyDescent="0.3">
      <c r="A18" s="2" t="s">
        <v>584</v>
      </c>
      <c r="B18" s="2" t="s">
        <v>585</v>
      </c>
      <c r="C18" s="2" t="s">
        <v>586</v>
      </c>
      <c r="D18" s="2" t="s">
        <v>587</v>
      </c>
      <c r="E18" s="2" t="str">
        <f>HYPERLINK("http://twitter.com/DustinDopirak")</f>
        <v>http://twitter.com/DustinDopirak</v>
      </c>
      <c r="F18" s="2" t="str">
        <f>HYPERLINK("https://muckrack.com/dustin-dopirak")</f>
        <v>https://muckrack.com/dustin-dopirak</v>
      </c>
      <c r="G18" s="2">
        <v>16793</v>
      </c>
      <c r="H18" s="2" t="s">
        <v>510</v>
      </c>
      <c r="I18" s="2" t="s">
        <v>588</v>
      </c>
      <c r="J18" s="2" t="s">
        <v>519</v>
      </c>
      <c r="K18" s="2" t="s">
        <v>30</v>
      </c>
      <c r="L18" s="2" t="s">
        <v>560</v>
      </c>
      <c r="M18" s="5">
        <v>45669.677152777767</v>
      </c>
      <c r="N18" s="2" t="str">
        <f>HYPERLINK("http://twitter.com/DustinDopirak/status/1878551302050820128")</f>
        <v>http://twitter.com/DustinDopirak/status/1878551302050820128</v>
      </c>
      <c r="O18" s="2" t="str">
        <f t="shared" si="0"/>
        <v>https://www.indystar.com/story/sports/2025/01/12/indy-ignite-electrify-in-season-opening-win-vs-orlando-pro-womens-volleyball-fishers-event-center/77248499007/</v>
      </c>
    </row>
    <row r="19" spans="1:15" ht="66" x14ac:dyDescent="0.3">
      <c r="A19" s="2" t="s">
        <v>5</v>
      </c>
      <c r="B19" s="2" t="s">
        <v>539</v>
      </c>
      <c r="C19" s="2"/>
      <c r="D19" s="2" t="s">
        <v>561</v>
      </c>
      <c r="E19" s="2" t="str">
        <f>HYPERLINK("http://twitter.com/CKightlinger")</f>
        <v>http://twitter.com/CKightlinger</v>
      </c>
      <c r="F19" s="2" t="str">
        <f>HYPERLINK("https://muckrack.com/ckightlinger")</f>
        <v>https://muckrack.com/ckightlinger</v>
      </c>
      <c r="G19" s="2">
        <v>8354</v>
      </c>
      <c r="H19" s="2" t="s">
        <v>562</v>
      </c>
      <c r="I19" s="2" t="s">
        <v>563</v>
      </c>
      <c r="J19" s="2" t="s">
        <v>564</v>
      </c>
      <c r="K19" s="2" t="s">
        <v>545</v>
      </c>
      <c r="L19" s="2" t="s">
        <v>589</v>
      </c>
      <c r="M19" s="5">
        <v>45669.031423611108</v>
      </c>
      <c r="N19" s="2" t="str">
        <f>HYPERLINK("http://twitter.com/CKightlinger/status/1878317297250476064")</f>
        <v>http://twitter.com/CKightlinger/status/1878317297250476064</v>
      </c>
      <c r="O19" s="2" t="str">
        <f>HYPERLINK("https://www.indystar.com/picture-gallery/sports/2025/01/11/indy-ignite-season-opener-against-orlando-valkyries-professional-volleyball-fishers/77630349007/")</f>
        <v>https://www.indystar.com/picture-gallery/sports/2025/01/11/indy-ignite-season-opener-against-orlando-valkyries-professional-volleyball-fishers/77630349007/</v>
      </c>
    </row>
    <row r="20" spans="1:15" ht="26.4" x14ac:dyDescent="0.3">
      <c r="A20" s="2" t="s">
        <v>590</v>
      </c>
      <c r="B20" s="2" t="s">
        <v>591</v>
      </c>
      <c r="C20" s="2" t="s">
        <v>592</v>
      </c>
      <c r="D20" s="2" t="s">
        <v>593</v>
      </c>
      <c r="E20" s="2" t="str">
        <f>HYPERLINK("http://twitter.com/tspearstv")</f>
        <v>http://twitter.com/tspearstv</v>
      </c>
      <c r="F20" s="2" t="str">
        <f>HYPERLINK("https://muckrack.com/tim-spears")</f>
        <v>https://muckrack.com/tim-spears</v>
      </c>
      <c r="G20" s="2">
        <v>2350</v>
      </c>
      <c r="H20" s="2" t="s">
        <v>510</v>
      </c>
      <c r="I20" s="2" t="s">
        <v>594</v>
      </c>
      <c r="J20" s="2" t="s">
        <v>564</v>
      </c>
      <c r="K20" s="2" t="s">
        <v>237</v>
      </c>
      <c r="L20" s="2" t="s">
        <v>595</v>
      </c>
      <c r="M20" s="5">
        <v>45668.439930555563</v>
      </c>
      <c r="N20" s="2" t="str">
        <f>HYPERLINK("http://twitter.com/tspearstv/status/1878102947768250500")</f>
        <v>http://twitter.com/tspearstv/status/1878102947768250500</v>
      </c>
      <c r="O20" s="2" t="str">
        <f>HYPERLINK("https://www.youtube.com/watch?v=wKmveV-VE3s")</f>
        <v>https://www.youtube.com/watch?v=wKmveV-VE3s</v>
      </c>
    </row>
    <row r="21" spans="1:15" ht="52.8" x14ac:dyDescent="0.3">
      <c r="A21" s="2" t="s">
        <v>596</v>
      </c>
      <c r="B21" s="2" t="s">
        <v>597</v>
      </c>
      <c r="C21" s="2" t="s">
        <v>598</v>
      </c>
      <c r="D21" s="2" t="s">
        <v>599</v>
      </c>
      <c r="E21" s="2" t="str">
        <f>HYPERLINK("http://twitter.com/starwatchtim")</f>
        <v>http://twitter.com/starwatchtim</v>
      </c>
      <c r="F21" s="2" t="str">
        <f>HYPERLINK("https://muckrack.com/starwatchtim")</f>
        <v>https://muckrack.com/starwatchtim</v>
      </c>
      <c r="G21" s="2">
        <v>7255</v>
      </c>
      <c r="H21" s="2" t="s">
        <v>600</v>
      </c>
      <c r="I21" s="2" t="s">
        <v>601</v>
      </c>
      <c r="J21" s="2" t="s">
        <v>602</v>
      </c>
      <c r="K21" s="2" t="s">
        <v>30</v>
      </c>
      <c r="L21" s="2" t="s">
        <v>603</v>
      </c>
      <c r="M21" s="5">
        <v>45666.320706018523</v>
      </c>
      <c r="N21" s="2" t="str">
        <f>HYPERLINK("http://twitter.com/starwatchtim/status/1877334965949440129")</f>
        <v>http://twitter.com/starwatchtim/status/1877334965949440129</v>
      </c>
      <c r="O21" s="2" t="str">
        <f>HYPERLINK("https://www.indystar.com/story/sports/2025/01/09/indy-ignite-meet-the-women-of-indys-new-professional-volleyball-team/77096917007/")</f>
        <v>https://www.indystar.com/story/sports/2025/01/09/indy-ignite-meet-the-women-of-indys-new-professional-volleyball-team/77096917007/</v>
      </c>
    </row>
    <row r="22" spans="1:15" ht="52.8" x14ac:dyDescent="0.3">
      <c r="A22" s="2" t="s">
        <v>566</v>
      </c>
      <c r="B22" s="2" t="s">
        <v>567</v>
      </c>
      <c r="C22" s="2" t="s">
        <v>568</v>
      </c>
      <c r="D22" s="2" t="s">
        <v>569</v>
      </c>
      <c r="E22" s="2" t="str">
        <f>HYPERLINK("http://twitter.com/MattGlenesk")</f>
        <v>http://twitter.com/MattGlenesk</v>
      </c>
      <c r="F22" s="2" t="str">
        <f>HYPERLINK("https://muckrack.com/matthew-glenesk")</f>
        <v>https://muckrack.com/matthew-glenesk</v>
      </c>
      <c r="G22" s="2">
        <v>8693</v>
      </c>
      <c r="H22" s="2" t="s">
        <v>570</v>
      </c>
      <c r="I22" s="2" t="s">
        <v>571</v>
      </c>
      <c r="J22" s="2" t="s">
        <v>519</v>
      </c>
      <c r="K22" s="2" t="s">
        <v>30</v>
      </c>
      <c r="L22" s="2" t="s">
        <v>603</v>
      </c>
      <c r="M22" s="5">
        <v>45666.322939814818</v>
      </c>
      <c r="N22" s="2" t="str">
        <f>HYPERLINK("http://twitter.com/MattGlenesk/status/1877335772455477544")</f>
        <v>http://twitter.com/MattGlenesk/status/1877335772455477544</v>
      </c>
      <c r="O22" s="2" t="str">
        <f>HYPERLINK("https://www.indystar.com/story/sports/2025/01/09/indy-ignite-meet-the-women-of-indys-new-professional-volleyball-team/77096917007/")</f>
        <v>https://www.indystar.com/story/sports/2025/01/09/indy-ignite-meet-the-women-of-indys-new-professional-volleyball-team/77096917007/</v>
      </c>
    </row>
    <row r="23" spans="1:15" ht="79.2" x14ac:dyDescent="0.3">
      <c r="A23" s="2" t="s">
        <v>371</v>
      </c>
      <c r="B23" s="2" t="s">
        <v>553</v>
      </c>
      <c r="C23" s="2" t="s">
        <v>554</v>
      </c>
      <c r="D23" s="2" t="s">
        <v>555</v>
      </c>
      <c r="E23" s="2" t="str">
        <f>HYPERLINK("http://twitter.com/DanaBenbow")</f>
        <v>http://twitter.com/DanaBenbow</v>
      </c>
      <c r="F23" s="2" t="str">
        <f>HYPERLINK("https://muckrack.com/danabenbow")</f>
        <v>https://muckrack.com/danabenbow</v>
      </c>
      <c r="G23" s="2">
        <v>6940</v>
      </c>
      <c r="H23" s="2" t="s">
        <v>535</v>
      </c>
      <c r="I23" s="2" t="s">
        <v>556</v>
      </c>
      <c r="J23" s="2" t="s">
        <v>557</v>
      </c>
      <c r="K23" s="2" t="s">
        <v>30</v>
      </c>
      <c r="L23" s="2" t="s">
        <v>604</v>
      </c>
      <c r="M23" s="5">
        <v>45666.701655092591</v>
      </c>
      <c r="N23" s="2" t="str">
        <f>HYPERLINK("http://twitter.com/DanaBenbow/status/1877473018282160326")</f>
        <v>http://twitter.com/DanaBenbow/status/1877473018282160326</v>
      </c>
      <c r="O23" s="2" t="str">
        <f>HYPERLINK("https://www.indystar.com/story/sports/2025/01/09/indy-ignite-meet-the-women-of-indys-new-professional-volleyball-team/77096917007/")</f>
        <v>https://www.indystar.com/story/sports/2025/01/09/indy-ignite-meet-the-women-of-indys-new-professional-volleyball-team/77096917007/</v>
      </c>
    </row>
    <row r="24" spans="1:15" ht="79.2" x14ac:dyDescent="0.3">
      <c r="A24" s="2" t="s">
        <v>605</v>
      </c>
      <c r="B24" s="2" t="s">
        <v>606</v>
      </c>
      <c r="C24" s="2" t="s">
        <v>607</v>
      </c>
      <c r="D24" s="2" t="s">
        <v>608</v>
      </c>
      <c r="E24" s="2" t="str">
        <f>HYPERLINK("http://twitter.com/SchutteDustin")</f>
        <v>http://twitter.com/SchutteDustin</v>
      </c>
      <c r="F24" s="2" t="str">
        <f>HYPERLINK("https://muckrack.com/dustin-schutte")</f>
        <v>https://muckrack.com/dustin-schutte</v>
      </c>
      <c r="G24" s="2">
        <v>1816</v>
      </c>
      <c r="H24" s="2" t="s">
        <v>609</v>
      </c>
      <c r="I24" s="2" t="s">
        <v>610</v>
      </c>
      <c r="J24" s="2" t="s">
        <v>611</v>
      </c>
      <c r="K24" s="2" t="s">
        <v>612</v>
      </c>
      <c r="L24" s="2" t="s">
        <v>613</v>
      </c>
      <c r="M24" s="5">
        <v>45664.668888888889</v>
      </c>
      <c r="N24" s="2" t="str">
        <f>HYPERLINK("http://twitter.com/SchutteDustin/status/1876736364537856276")</f>
        <v>http://twitter.com/SchutteDustin/status/1876736364537856276</v>
      </c>
      <c r="O24" s="2" t="str">
        <f>HYPERLINK("https://www.wishtv.com/sports/indy-ignite-pepper-mascot/")</f>
        <v>https://www.wishtv.com/sports/indy-ignite-pepper-mascot/</v>
      </c>
    </row>
    <row r="25" spans="1:15" ht="79.2" x14ac:dyDescent="0.3">
      <c r="A25" s="2" t="s">
        <v>5</v>
      </c>
      <c r="B25" s="2" t="s">
        <v>539</v>
      </c>
      <c r="C25" s="2"/>
      <c r="D25" s="2" t="s">
        <v>561</v>
      </c>
      <c r="E25" s="2" t="str">
        <f>HYPERLINK("http://twitter.com/CKightlinger")</f>
        <v>http://twitter.com/CKightlinger</v>
      </c>
      <c r="F25" s="2" t="str">
        <f>HYPERLINK("https://muckrack.com/ckightlinger")</f>
        <v>https://muckrack.com/ckightlinger</v>
      </c>
      <c r="G25" s="2">
        <v>8354</v>
      </c>
      <c r="H25" s="2" t="s">
        <v>562</v>
      </c>
      <c r="I25" s="2" t="s">
        <v>563</v>
      </c>
      <c r="J25" s="2" t="s">
        <v>564</v>
      </c>
      <c r="K25" s="2" t="s">
        <v>545</v>
      </c>
      <c r="L25" s="2" t="s">
        <v>613</v>
      </c>
      <c r="M25" s="5">
        <v>45664.672175925924</v>
      </c>
      <c r="N25" s="2" t="str">
        <f>HYPERLINK("http://twitter.com/CKightlinger/status/1876737557326680221")</f>
        <v>http://twitter.com/CKightlinger/status/1876737557326680221</v>
      </c>
      <c r="O25" s="2" t="str">
        <f>HYPERLINK("https://www.wishtv.com/sports/indy-ignite-pepper-mascot/")</f>
        <v>https://www.wishtv.com/sports/indy-ignite-pepper-mascot/</v>
      </c>
    </row>
    <row r="26" spans="1:15" ht="52.8" x14ac:dyDescent="0.3">
      <c r="A26" s="2" t="s">
        <v>371</v>
      </c>
      <c r="B26" s="2" t="s">
        <v>553</v>
      </c>
      <c r="C26" s="2" t="s">
        <v>554</v>
      </c>
      <c r="D26" s="2" t="s">
        <v>555</v>
      </c>
      <c r="E26" s="2" t="str">
        <f>HYPERLINK("http://twitter.com/DanaBenbow")</f>
        <v>http://twitter.com/DanaBenbow</v>
      </c>
      <c r="F26" s="2" t="str">
        <f>HYPERLINK("https://muckrack.com/danabenbow")</f>
        <v>https://muckrack.com/danabenbow</v>
      </c>
      <c r="G26" s="2">
        <v>6940</v>
      </c>
      <c r="H26" s="2" t="s">
        <v>535</v>
      </c>
      <c r="I26" s="2" t="s">
        <v>556</v>
      </c>
      <c r="J26" s="2" t="s">
        <v>557</v>
      </c>
      <c r="K26" s="2" t="s">
        <v>30</v>
      </c>
      <c r="L26" s="2" t="s">
        <v>614</v>
      </c>
      <c r="M26" s="5">
        <v>45664.635428240741</v>
      </c>
      <c r="N26" s="2" t="str">
        <f>HYPERLINK("http://twitter.com/DanaBenbow/status/1876724240256258290")</f>
        <v>http://twitter.com/DanaBenbow/status/1876724240256258290</v>
      </c>
      <c r="O26" s="2" t="str">
        <f>HYPERLINK("https://www.indystar.com/story/sports/2025/01/07/indy-ignite-sells-out-home-opener-at-fishers-event-center/77512913007/")</f>
        <v>https://www.indystar.com/story/sports/2025/01/07/indy-ignite-sells-out-home-opener-at-fishers-event-center/77512913007/</v>
      </c>
    </row>
    <row r="27" spans="1:15" ht="52.8" x14ac:dyDescent="0.3">
      <c r="A27" s="2" t="s">
        <v>371</v>
      </c>
      <c r="B27" s="2" t="s">
        <v>553</v>
      </c>
      <c r="C27" s="2" t="s">
        <v>554</v>
      </c>
      <c r="D27" s="2" t="s">
        <v>555</v>
      </c>
      <c r="E27" s="2" t="str">
        <f>HYPERLINK("http://twitter.com/DanaBenbow")</f>
        <v>http://twitter.com/DanaBenbow</v>
      </c>
      <c r="F27" s="2" t="str">
        <f>HYPERLINK("https://muckrack.com/danabenbow")</f>
        <v>https://muckrack.com/danabenbow</v>
      </c>
      <c r="G27" s="2">
        <v>6940</v>
      </c>
      <c r="H27" s="2" t="s">
        <v>535</v>
      </c>
      <c r="I27" s="2" t="s">
        <v>556</v>
      </c>
      <c r="J27" s="2" t="s">
        <v>557</v>
      </c>
      <c r="K27" s="2" t="s">
        <v>30</v>
      </c>
      <c r="L27" s="2" t="s">
        <v>614</v>
      </c>
      <c r="M27" s="5">
        <v>45664.642500000002</v>
      </c>
      <c r="N27" s="2" t="str">
        <f>HYPERLINK("http://twitter.com/DanaBenbow/status/1876726802883756358")</f>
        <v>http://twitter.com/DanaBenbow/status/1876726802883756358</v>
      </c>
      <c r="O27" s="2" t="str">
        <f>HYPERLINK("https://www.indystar.com/story/sports/2025/01/07/indy-ignite-sells-out-home-opener-at-fishers-event-center/77512913007/")</f>
        <v>https://www.indystar.com/story/sports/2025/01/07/indy-ignite-sells-out-home-opener-at-fishers-event-center/77512913007/</v>
      </c>
    </row>
    <row r="28" spans="1:15" ht="52.8" x14ac:dyDescent="0.3">
      <c r="A28" s="2" t="s">
        <v>615</v>
      </c>
      <c r="B28" s="2" t="s">
        <v>539</v>
      </c>
      <c r="C28" s="2" t="s">
        <v>616</v>
      </c>
      <c r="D28" s="2" t="s">
        <v>617</v>
      </c>
      <c r="E28" s="2" t="str">
        <f>HYPERLINK("http://twitter.com/Brian_Haenchen")</f>
        <v>http://twitter.com/Brian_Haenchen</v>
      </c>
      <c r="F28" s="2" t="str">
        <f>HYPERLINK("https://muckrack.com/brian_haenchen")</f>
        <v>https://muckrack.com/brian_haenchen</v>
      </c>
      <c r="G28" s="2">
        <v>9782</v>
      </c>
      <c r="H28" s="2" t="s">
        <v>510</v>
      </c>
      <c r="I28" s="2" t="s">
        <v>618</v>
      </c>
      <c r="J28" s="2" t="s">
        <v>519</v>
      </c>
      <c r="K28" s="2" t="s">
        <v>30</v>
      </c>
      <c r="L28" s="2" t="s">
        <v>619</v>
      </c>
      <c r="M28" s="5">
        <v>45664.638773148137</v>
      </c>
      <c r="N28" s="2" t="str">
        <f>HYPERLINK("http://twitter.com/Brian_Haenchen/status/1876725451667718283")</f>
        <v>http://twitter.com/Brian_Haenchen/status/1876725451667718283</v>
      </c>
      <c r="O28" s="2" t="str">
        <f>HYPERLINK("https://www.indystar.com/story/sports/2025/01/07/indy-ignite-sells-out-home-opener-at-fishers-event-center/77512913007/")</f>
        <v>https://www.indystar.com/story/sports/2025/01/07/indy-ignite-sells-out-home-opener-at-fishers-event-center/77512913007/</v>
      </c>
    </row>
    <row r="29" spans="1:15" ht="52.8" x14ac:dyDescent="0.3">
      <c r="A29" s="2" t="s">
        <v>5</v>
      </c>
      <c r="B29" s="2" t="s">
        <v>539</v>
      </c>
      <c r="C29" s="2"/>
      <c r="D29" s="2" t="s">
        <v>561</v>
      </c>
      <c r="E29" s="2" t="str">
        <f>HYPERLINK("http://twitter.com/CKightlinger")</f>
        <v>http://twitter.com/CKightlinger</v>
      </c>
      <c r="F29" s="2" t="str">
        <f>HYPERLINK("https://muckrack.com/ckightlinger")</f>
        <v>https://muckrack.com/ckightlinger</v>
      </c>
      <c r="G29" s="2">
        <v>8354</v>
      </c>
      <c r="H29" s="2" t="s">
        <v>562</v>
      </c>
      <c r="I29" s="2" t="s">
        <v>563</v>
      </c>
      <c r="J29" s="2" t="s">
        <v>564</v>
      </c>
      <c r="K29" s="2" t="s">
        <v>545</v>
      </c>
      <c r="L29" s="2" t="s">
        <v>619</v>
      </c>
      <c r="M29" s="5">
        <v>45664.672372685192</v>
      </c>
      <c r="N29" s="2" t="str">
        <f>HYPERLINK("http://twitter.com/CKightlinger/status/1876737630999601519")</f>
        <v>http://twitter.com/CKightlinger/status/1876737630999601519</v>
      </c>
      <c r="O29" s="2" t="str">
        <f>HYPERLINK("https://www.indystar.com/story/sports/2025/01/07/indy-ignite-sells-out-home-opener-at-fishers-event-center/77512913007/")</f>
        <v>https://www.indystar.com/story/sports/2025/01/07/indy-ignite-sells-out-home-opener-at-fishers-event-center/77512913007/</v>
      </c>
    </row>
    <row r="30" spans="1:15" ht="52.8" x14ac:dyDescent="0.3">
      <c r="A30" s="2" t="s">
        <v>5</v>
      </c>
      <c r="B30" s="2" t="s">
        <v>539</v>
      </c>
      <c r="C30" s="2"/>
      <c r="D30" s="2" t="s">
        <v>561</v>
      </c>
      <c r="E30" s="2" t="str">
        <f>HYPERLINK("http://twitter.com/CKightlinger")</f>
        <v>http://twitter.com/CKightlinger</v>
      </c>
      <c r="F30" s="2" t="str">
        <f>HYPERLINK("https://muckrack.com/ckightlinger")</f>
        <v>https://muckrack.com/ckightlinger</v>
      </c>
      <c r="G30" s="2">
        <v>8354</v>
      </c>
      <c r="H30" s="2" t="s">
        <v>562</v>
      </c>
      <c r="I30" s="2" t="s">
        <v>563</v>
      </c>
      <c r="J30" s="2" t="s">
        <v>564</v>
      </c>
      <c r="K30" s="2" t="s">
        <v>545</v>
      </c>
      <c r="L30" s="2" t="s">
        <v>620</v>
      </c>
      <c r="M30" s="5">
        <v>45664.853009259263</v>
      </c>
      <c r="N30" s="2" t="str">
        <f>HYPERLINK("http://twitter.com/CKightlinger/status/1876803090214457789")</f>
        <v>http://twitter.com/CKightlinger/status/1876803090214457789</v>
      </c>
      <c r="O30" s="2" t="str">
        <f>HYPERLINK("https://www.indystar.com/story/sports/2025/01/07/indy-ignite-sells-out-home-opener-at-fishers-event-center/77512913007/")</f>
        <v>https://www.indystar.com/story/sports/2025/01/07/indy-ignite-sells-out-home-opener-at-fishers-event-center/77512913007/</v>
      </c>
    </row>
    <row r="31" spans="1:15" ht="92.4" x14ac:dyDescent="0.3">
      <c r="A31" s="2" t="s">
        <v>621</v>
      </c>
      <c r="B31" s="2" t="s">
        <v>622</v>
      </c>
      <c r="C31" s="2" t="s">
        <v>623</v>
      </c>
      <c r="D31" s="2" t="s">
        <v>624</v>
      </c>
      <c r="E31" s="2" t="str">
        <f>HYPERLINK("http://twitter.com/AliaBonTV")</f>
        <v>http://twitter.com/AliaBonTV</v>
      </c>
      <c r="F31" s="2" t="str">
        <f>HYPERLINK("https://muckrack.com/alia-blackburn")</f>
        <v>https://muckrack.com/alia-blackburn</v>
      </c>
      <c r="G31" s="2">
        <v>3306</v>
      </c>
      <c r="H31" s="2" t="s">
        <v>625</v>
      </c>
      <c r="I31" s="2" t="s">
        <v>626</v>
      </c>
      <c r="J31" s="2" t="s">
        <v>564</v>
      </c>
      <c r="K31" s="2" t="s">
        <v>627</v>
      </c>
      <c r="L31" s="2" t="s">
        <v>628</v>
      </c>
      <c r="M31" s="5">
        <v>45664.757800925923</v>
      </c>
      <c r="N31" s="2" t="str">
        <f>HYPERLINK("http://twitter.com/AliaBonTV/status/1876768587299369357")</f>
        <v>http://twitter.com/AliaBonTV/status/1876768587299369357</v>
      </c>
      <c r="O31" s="2" t="str">
        <f>HYPERLINK("https://fox59.com/morning-news/indy-ignite-to-kick-off-first-season-at-fishers-event-center-saturday/")</f>
        <v>https://fox59.com/morning-news/indy-ignite-to-kick-off-first-season-at-fishers-event-center-saturday/</v>
      </c>
    </row>
    <row r="32" spans="1:15" ht="52.8" x14ac:dyDescent="0.3">
      <c r="A32" s="2" t="s">
        <v>573</v>
      </c>
      <c r="B32" s="2" t="s">
        <v>574</v>
      </c>
      <c r="C32" s="2" t="s">
        <v>575</v>
      </c>
      <c r="D32" s="2" t="s">
        <v>576</v>
      </c>
      <c r="E32" s="2" t="str">
        <f>HYPERLINK("http://twitter.com/THEAkeemGlaspie")</f>
        <v>http://twitter.com/THEAkeemGlaspie</v>
      </c>
      <c r="F32" s="2" t="str">
        <f>HYPERLINK("https://muckrack.com/akeem-glaspie")</f>
        <v>https://muckrack.com/akeem-glaspie</v>
      </c>
      <c r="G32" s="2">
        <v>5508</v>
      </c>
      <c r="H32" s="2" t="s">
        <v>577</v>
      </c>
      <c r="I32" s="2" t="s">
        <v>578</v>
      </c>
      <c r="J32" s="2" t="s">
        <v>544</v>
      </c>
      <c r="K32" s="2" t="s">
        <v>30</v>
      </c>
      <c r="L32" s="2" t="s">
        <v>629</v>
      </c>
      <c r="M32" s="5">
        <v>45663.355914351851</v>
      </c>
      <c r="N32" s="2" t="str">
        <f>HYPERLINK("http://twitter.com/THEAkeemGlaspie/status/1876260560087732520")</f>
        <v>http://twitter.com/THEAkeemGlaspie/status/1876260560087732520</v>
      </c>
      <c r="O32" s="2" t="str">
        <f>HYPERLINK("https://www.indystar.com/story/sports/2025/01/06/her-parents-fled-war-as-refugees-now-shes-indy-ignites-power-hitter/76239619007/")</f>
        <v>https://www.indystar.com/story/sports/2025/01/06/her-parents-fled-war-as-refugees-now-shes-indy-ignites-power-hitter/76239619007/</v>
      </c>
    </row>
    <row r="33" spans="1:15" ht="52.8" x14ac:dyDescent="0.3">
      <c r="A33" s="2" t="s">
        <v>579</v>
      </c>
      <c r="B33" s="2" t="s">
        <v>580</v>
      </c>
      <c r="C33" s="2" t="s">
        <v>581</v>
      </c>
      <c r="D33" s="2" t="s">
        <v>582</v>
      </c>
      <c r="E33" s="2" t="str">
        <f>HYPERLINK("http://twitter.com/GreggDoyelStar")</f>
        <v>http://twitter.com/GreggDoyelStar</v>
      </c>
      <c r="F33" s="2" t="str">
        <f>HYPERLINK("https://muckrack.com/greggdoyelstar")</f>
        <v>https://muckrack.com/greggdoyelstar</v>
      </c>
      <c r="G33" s="2">
        <v>92255</v>
      </c>
      <c r="H33" s="2" t="s">
        <v>510</v>
      </c>
      <c r="I33" s="2" t="s">
        <v>583</v>
      </c>
      <c r="J33" s="2" t="s">
        <v>519</v>
      </c>
      <c r="K33" s="2" t="s">
        <v>30</v>
      </c>
      <c r="L33" s="2" t="s">
        <v>629</v>
      </c>
      <c r="M33" s="5">
        <v>45663.530613425923</v>
      </c>
      <c r="N33" s="2" t="str">
        <f>HYPERLINK("http://twitter.com/GreggDoyelStar/status/1876323868740403483")</f>
        <v>http://twitter.com/GreggDoyelStar/status/1876323868740403483</v>
      </c>
      <c r="O33" s="2" t="str">
        <f>HYPERLINK("https://www.indystar.com/story/sports/2025/01/06/her-parents-fled-war-as-refugees-now-shes-indy-ignites-power-hitter/76239619007/")</f>
        <v>https://www.indystar.com/story/sports/2025/01/06/her-parents-fled-war-as-refugees-now-shes-indy-ignites-power-hitter/76239619007/</v>
      </c>
    </row>
    <row r="34" spans="1:15" ht="79.2" x14ac:dyDescent="0.3">
      <c r="A34" s="2" t="s">
        <v>371</v>
      </c>
      <c r="B34" s="2" t="s">
        <v>553</v>
      </c>
      <c r="C34" s="2" t="s">
        <v>554</v>
      </c>
      <c r="D34" s="2" t="s">
        <v>555</v>
      </c>
      <c r="E34" s="2" t="str">
        <f>HYPERLINK("http://twitter.com/DanaBenbow")</f>
        <v>http://twitter.com/DanaBenbow</v>
      </c>
      <c r="F34" s="2" t="str">
        <f>HYPERLINK("https://muckrack.com/danabenbow")</f>
        <v>https://muckrack.com/danabenbow</v>
      </c>
      <c r="G34" s="2">
        <v>6940</v>
      </c>
      <c r="H34" s="2" t="s">
        <v>535</v>
      </c>
      <c r="I34" s="2" t="s">
        <v>556</v>
      </c>
      <c r="J34" s="2" t="s">
        <v>557</v>
      </c>
      <c r="K34" s="2" t="s">
        <v>30</v>
      </c>
      <c r="L34" s="2" t="s">
        <v>630</v>
      </c>
      <c r="M34" s="5">
        <v>45663.629699074067</v>
      </c>
      <c r="N34" s="2" t="str">
        <f>HYPERLINK("http://twitter.com/DanaBenbow/status/1876359775362916437")</f>
        <v>http://twitter.com/DanaBenbow/status/1876359775362916437</v>
      </c>
      <c r="O34" s="2" t="str">
        <f>HYPERLINK("https://www.indystar.com/story/sports/2025/01/06/her-parents-fled-war-as-refugees-now-shes-indy-ignites-power-hitter/76239619007/")</f>
        <v>https://www.indystar.com/story/sports/2025/01/06/her-parents-fled-war-as-refugees-now-shes-indy-ignites-power-hitter/76239619007/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Articles</vt:lpstr>
      <vt:lpstr>Journalist Statuses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Brianna Stopher</cp:lastModifiedBy>
  <dcterms:created xsi:type="dcterms:W3CDTF">2025-06-10T16:12:19Z</dcterms:created>
  <dcterms:modified xsi:type="dcterms:W3CDTF">2025-07-28T15:12:17Z</dcterms:modified>
</cp:coreProperties>
</file>