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d.docs.live.net/4e8a8e9b618fe9e1/Documents/Indy Ignite Summer Project/"/>
    </mc:Choice>
  </mc:AlternateContent>
  <xr:revisionPtr revIDLastSave="171" documentId="8_{918D32EB-0A41-4AB4-A24D-CDC0D0ACF55B}" xr6:coauthVersionLast="47" xr6:coauthVersionMax="47" xr10:uidLastSave="{D7523523-0F0E-4DEE-A234-145B374D5343}"/>
  <bookViews>
    <workbookView minimized="1" xWindow="11616" yWindow="432" windowWidth="11112" windowHeight="11808" firstSheet="7" activeTab="8" xr2:uid="{00000000-000D-0000-FFFF-FFFF00000000}"/>
  </bookViews>
  <sheets>
    <sheet name="Summary" sheetId="1" r:id="rId1"/>
    <sheet name="March" sheetId="4" r:id="rId2"/>
    <sheet name="April" sheetId="5" r:id="rId3"/>
    <sheet name="May" sheetId="6" r:id="rId4"/>
    <sheet name="June" sheetId="7" r:id="rId5"/>
    <sheet name="July" sheetId="8" r:id="rId6"/>
    <sheet name="August" sheetId="9" r:id="rId7"/>
    <sheet name="September" sheetId="10" r:id="rId8"/>
    <sheet name="October" sheetId="2" r:id="rId9"/>
    <sheet name="Journalist Statuses" sheetId="3"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 i="1" l="1"/>
  <c r="K7" i="1"/>
  <c r="K10" i="1"/>
  <c r="B57" i="10"/>
  <c r="B56" i="10"/>
  <c r="B55" i="10"/>
  <c r="B54" i="10"/>
  <c r="B53" i="10"/>
  <c r="B52" i="10"/>
  <c r="B51" i="10"/>
  <c r="B50" i="10"/>
  <c r="B49" i="10"/>
  <c r="B48" i="10"/>
  <c r="B47" i="10"/>
  <c r="B46" i="10"/>
  <c r="B45" i="10"/>
  <c r="B44" i="10"/>
  <c r="B43" i="10"/>
  <c r="B42" i="10"/>
  <c r="B41" i="10"/>
  <c r="B40" i="10"/>
  <c r="B39" i="10"/>
  <c r="B38" i="10"/>
  <c r="B37" i="10"/>
  <c r="B36" i="10"/>
  <c r="B35" i="10"/>
  <c r="B34" i="10"/>
  <c r="B33" i="10"/>
  <c r="B32" i="10"/>
  <c r="B31" i="10"/>
  <c r="B30" i="10"/>
  <c r="B29" i="10"/>
  <c r="B28" i="10"/>
  <c r="B27" i="10"/>
  <c r="B26" i="10"/>
  <c r="B25" i="10"/>
  <c r="B24" i="10"/>
  <c r="B23" i="10"/>
  <c r="B22" i="10"/>
  <c r="B21" i="10"/>
  <c r="B20" i="10"/>
  <c r="B19" i="10"/>
  <c r="B18" i="10"/>
  <c r="B17" i="10"/>
  <c r="B16" i="10"/>
  <c r="B15" i="10"/>
  <c r="B14" i="10"/>
  <c r="B13" i="10"/>
  <c r="B12" i="10"/>
  <c r="B11" i="10"/>
  <c r="B10" i="10"/>
  <c r="B9" i="10"/>
  <c r="B8" i="10"/>
  <c r="B7" i="10"/>
  <c r="B6" i="10"/>
  <c r="B5" i="10"/>
  <c r="B4" i="10"/>
  <c r="B3" i="10"/>
  <c r="B2" i="10"/>
  <c r="B147" i="9"/>
  <c r="B146" i="9"/>
  <c r="B145" i="9"/>
  <c r="B144" i="9"/>
  <c r="B143" i="9"/>
  <c r="B142" i="9"/>
  <c r="B141" i="9"/>
  <c r="B140" i="9"/>
  <c r="B139" i="9"/>
  <c r="B138" i="9"/>
  <c r="B137" i="9"/>
  <c r="B136" i="9"/>
  <c r="B135" i="9"/>
  <c r="B134" i="9"/>
  <c r="B133" i="9"/>
  <c r="B132" i="9"/>
  <c r="B131" i="9"/>
  <c r="B130" i="9"/>
  <c r="B129" i="9"/>
  <c r="B128" i="9"/>
  <c r="B127" i="9"/>
  <c r="B126" i="9"/>
  <c r="B125" i="9"/>
  <c r="B124" i="9"/>
  <c r="B123" i="9"/>
  <c r="B122" i="9"/>
  <c r="B121" i="9"/>
  <c r="B120" i="9"/>
  <c r="B119" i="9"/>
  <c r="B118" i="9"/>
  <c r="B117" i="9"/>
  <c r="B116" i="9"/>
  <c r="B115" i="9"/>
  <c r="B114" i="9"/>
  <c r="B113" i="9"/>
  <c r="B112" i="9"/>
  <c r="B111" i="9"/>
  <c r="B110" i="9"/>
  <c r="B109" i="9"/>
  <c r="B108" i="9"/>
  <c r="B107" i="9"/>
  <c r="B106" i="9"/>
  <c r="B105" i="9"/>
  <c r="B104" i="9"/>
  <c r="B103" i="9"/>
  <c r="B102" i="9"/>
  <c r="B101" i="9"/>
  <c r="B100" i="9"/>
  <c r="B99" i="9"/>
  <c r="B98" i="9"/>
  <c r="B97" i="9"/>
  <c r="B96" i="9"/>
  <c r="B95" i="9"/>
  <c r="B94" i="9"/>
  <c r="B93" i="9"/>
  <c r="B92" i="9"/>
  <c r="B91" i="9"/>
  <c r="B90" i="9"/>
  <c r="B89" i="9"/>
  <c r="B88" i="9"/>
  <c r="B87" i="9"/>
  <c r="B86" i="9"/>
  <c r="B85" i="9"/>
  <c r="B84" i="9"/>
  <c r="B83" i="9"/>
  <c r="B82" i="9"/>
  <c r="B81" i="9"/>
  <c r="B80" i="9"/>
  <c r="B79" i="9"/>
  <c r="B78" i="9"/>
  <c r="B77" i="9"/>
  <c r="B76" i="9"/>
  <c r="B75" i="9"/>
  <c r="B74" i="9"/>
  <c r="B73" i="9"/>
  <c r="B72" i="9"/>
  <c r="B71" i="9"/>
  <c r="B70" i="9"/>
  <c r="B69" i="9"/>
  <c r="B68" i="9"/>
  <c r="B67" i="9"/>
  <c r="B66" i="9"/>
  <c r="B65" i="9"/>
  <c r="B64" i="9"/>
  <c r="B63" i="9"/>
  <c r="B62" i="9"/>
  <c r="B61" i="9"/>
  <c r="B60" i="9"/>
  <c r="B59" i="9"/>
  <c r="B58" i="9"/>
  <c r="B57" i="9"/>
  <c r="B56" i="9"/>
  <c r="B55" i="9"/>
  <c r="B54" i="9"/>
  <c r="B53" i="9"/>
  <c r="B52" i="9"/>
  <c r="B51" i="9"/>
  <c r="B50" i="9"/>
  <c r="B49" i="9"/>
  <c r="B48" i="9"/>
  <c r="B47" i="9"/>
  <c r="B46" i="9"/>
  <c r="B45" i="9"/>
  <c r="B44" i="9"/>
  <c r="B43" i="9"/>
  <c r="B42" i="9"/>
  <c r="B41" i="9"/>
  <c r="B40" i="9"/>
  <c r="B39" i="9"/>
  <c r="B38" i="9"/>
  <c r="B37" i="9"/>
  <c r="B36" i="9"/>
  <c r="B35" i="9"/>
  <c r="B34" i="9"/>
  <c r="B33" i="9"/>
  <c r="B32" i="9"/>
  <c r="B31" i="9"/>
  <c r="B30" i="9"/>
  <c r="B29" i="9"/>
  <c r="B28" i="9"/>
  <c r="B27" i="9"/>
  <c r="B26" i="9"/>
  <c r="B25" i="9"/>
  <c r="B24" i="9"/>
  <c r="B23" i="9"/>
  <c r="B22" i="9"/>
  <c r="B21" i="9"/>
  <c r="B20" i="9"/>
  <c r="B19" i="9"/>
  <c r="B18" i="9"/>
  <c r="B17" i="9"/>
  <c r="B16" i="9"/>
  <c r="B15" i="9"/>
  <c r="B14" i="9"/>
  <c r="B13" i="9"/>
  <c r="B12" i="9"/>
  <c r="B11" i="9"/>
  <c r="B10" i="9"/>
  <c r="B9" i="9"/>
  <c r="B8" i="9"/>
  <c r="B7" i="9"/>
  <c r="B6" i="9"/>
  <c r="B5" i="9"/>
  <c r="B4" i="9"/>
  <c r="B3" i="9"/>
  <c r="B2" i="9"/>
  <c r="B123" i="8"/>
  <c r="B122" i="8"/>
  <c r="B121" i="8"/>
  <c r="B120" i="8"/>
  <c r="B119" i="8"/>
  <c r="B118" i="8"/>
  <c r="B117" i="8"/>
  <c r="B116" i="8"/>
  <c r="B115" i="8"/>
  <c r="B114" i="8"/>
  <c r="B113" i="8"/>
  <c r="B112" i="8"/>
  <c r="B111" i="8"/>
  <c r="B110" i="8"/>
  <c r="B109" i="8"/>
  <c r="B108" i="8"/>
  <c r="B107" i="8"/>
  <c r="B106" i="8"/>
  <c r="B105" i="8"/>
  <c r="B104" i="8"/>
  <c r="B103" i="8"/>
  <c r="B102" i="8"/>
  <c r="B101" i="8"/>
  <c r="B100" i="8"/>
  <c r="B99" i="8"/>
  <c r="B98" i="8"/>
  <c r="B97" i="8"/>
  <c r="B96" i="8"/>
  <c r="B95" i="8"/>
  <c r="B94" i="8"/>
  <c r="B93" i="8"/>
  <c r="B92" i="8"/>
  <c r="B91" i="8"/>
  <c r="B90" i="8"/>
  <c r="B89" i="8"/>
  <c r="B88" i="8"/>
  <c r="B87" i="8"/>
  <c r="B86" i="8"/>
  <c r="B85" i="8"/>
  <c r="B84" i="8"/>
  <c r="B83" i="8"/>
  <c r="B82" i="8"/>
  <c r="B81" i="8"/>
  <c r="B80" i="8"/>
  <c r="B79" i="8"/>
  <c r="B78" i="8"/>
  <c r="B77" i="8"/>
  <c r="B76" i="8"/>
  <c r="B75" i="8"/>
  <c r="B74" i="8"/>
  <c r="B73" i="8"/>
  <c r="B72" i="8"/>
  <c r="B71" i="8"/>
  <c r="B70" i="8"/>
  <c r="B69" i="8"/>
  <c r="B68" i="8"/>
  <c r="B67" i="8"/>
  <c r="B66" i="8"/>
  <c r="B65" i="8"/>
  <c r="B64" i="8"/>
  <c r="B63" i="8"/>
  <c r="B62" i="8"/>
  <c r="B61" i="8"/>
  <c r="B60" i="8"/>
  <c r="B59" i="8"/>
  <c r="B58" i="8"/>
  <c r="B57" i="8"/>
  <c r="B56" i="8"/>
  <c r="B55" i="8"/>
  <c r="B54" i="8"/>
  <c r="B53" i="8"/>
  <c r="B52" i="8"/>
  <c r="B51" i="8"/>
  <c r="B50" i="8"/>
  <c r="B49" i="8"/>
  <c r="B48" i="8"/>
  <c r="B47" i="8"/>
  <c r="B46" i="8"/>
  <c r="B45" i="8"/>
  <c r="B44" i="8"/>
  <c r="B43" i="8"/>
  <c r="B42" i="8"/>
  <c r="B41" i="8"/>
  <c r="B40" i="8"/>
  <c r="B39" i="8"/>
  <c r="B38" i="8"/>
  <c r="B37" i="8"/>
  <c r="B36" i="8"/>
  <c r="B35" i="8"/>
  <c r="B34" i="8"/>
  <c r="B33" i="8"/>
  <c r="B32" i="8"/>
  <c r="B31" i="8"/>
  <c r="B30" i="8"/>
  <c r="B29" i="8"/>
  <c r="B28" i="8"/>
  <c r="B27" i="8"/>
  <c r="B26" i="8"/>
  <c r="B25" i="8"/>
  <c r="B24" i="8"/>
  <c r="B23" i="8"/>
  <c r="B22" i="8"/>
  <c r="B21" i="8"/>
  <c r="B20" i="8"/>
  <c r="B19" i="8"/>
  <c r="B18" i="8"/>
  <c r="B17" i="8"/>
  <c r="B16" i="8"/>
  <c r="B15" i="8"/>
  <c r="B14" i="8"/>
  <c r="B13" i="8"/>
  <c r="B12" i="8"/>
  <c r="B11" i="8"/>
  <c r="B10" i="8"/>
  <c r="B9" i="8"/>
  <c r="B8" i="8"/>
  <c r="B7" i="8"/>
  <c r="B6" i="8"/>
  <c r="B5" i="8"/>
  <c r="B4" i="8"/>
  <c r="B3" i="8"/>
  <c r="B2" i="8"/>
  <c r="B87" i="7"/>
  <c r="B86" i="7"/>
  <c r="B85" i="7"/>
  <c r="B84" i="7"/>
  <c r="B83" i="7"/>
  <c r="B82" i="7"/>
  <c r="B81" i="7"/>
  <c r="B80" i="7"/>
  <c r="B79" i="7"/>
  <c r="B78" i="7"/>
  <c r="B77" i="7"/>
  <c r="B76" i="7"/>
  <c r="B75" i="7"/>
  <c r="B74" i="7"/>
  <c r="B73" i="7"/>
  <c r="B72" i="7"/>
  <c r="B71" i="7"/>
  <c r="B70" i="7"/>
  <c r="B69" i="7"/>
  <c r="B68" i="7"/>
  <c r="B67" i="7"/>
  <c r="B66" i="7"/>
  <c r="B65" i="7"/>
  <c r="B64" i="7"/>
  <c r="B63" i="7"/>
  <c r="B62" i="7"/>
  <c r="B61" i="7"/>
  <c r="B60" i="7"/>
  <c r="B59" i="7"/>
  <c r="B58" i="7"/>
  <c r="B57" i="7"/>
  <c r="B56" i="7"/>
  <c r="B55" i="7"/>
  <c r="B54" i="7"/>
  <c r="B53" i="7"/>
  <c r="B52" i="7"/>
  <c r="B51" i="7"/>
  <c r="B50" i="7"/>
  <c r="B49" i="7"/>
  <c r="B48" i="7"/>
  <c r="B47" i="7"/>
  <c r="B46" i="7"/>
  <c r="B45" i="7"/>
  <c r="B44" i="7"/>
  <c r="B43" i="7"/>
  <c r="B42" i="7"/>
  <c r="B41" i="7"/>
  <c r="B40" i="7"/>
  <c r="B39" i="7"/>
  <c r="B38" i="7"/>
  <c r="B37" i="7"/>
  <c r="B36" i="7"/>
  <c r="B35" i="7"/>
  <c r="B34" i="7"/>
  <c r="B33" i="7"/>
  <c r="B32" i="7"/>
  <c r="B31" i="7"/>
  <c r="B30" i="7"/>
  <c r="B29" i="7"/>
  <c r="B28" i="7"/>
  <c r="B27" i="7"/>
  <c r="B26" i="7"/>
  <c r="B25" i="7"/>
  <c r="B24" i="7"/>
  <c r="B23" i="7"/>
  <c r="B22" i="7"/>
  <c r="B21" i="7"/>
  <c r="B20" i="7"/>
  <c r="B19" i="7"/>
  <c r="B18" i="7"/>
  <c r="B17" i="7"/>
  <c r="B16" i="7"/>
  <c r="B15" i="7"/>
  <c r="B14" i="7"/>
  <c r="B13" i="7"/>
  <c r="B12" i="7"/>
  <c r="B11" i="7"/>
  <c r="B10" i="7"/>
  <c r="B9" i="7"/>
  <c r="B8" i="7"/>
  <c r="B7" i="7"/>
  <c r="B6" i="7"/>
  <c r="B5" i="7"/>
  <c r="B4" i="7"/>
  <c r="B3" i="7"/>
  <c r="B2" i="7"/>
  <c r="B225" i="6"/>
  <c r="B224" i="6"/>
  <c r="B223" i="6"/>
  <c r="B222" i="6"/>
  <c r="B221" i="6"/>
  <c r="B220" i="6"/>
  <c r="B219" i="6"/>
  <c r="B218" i="6"/>
  <c r="B217" i="6"/>
  <c r="B216" i="6"/>
  <c r="B215" i="6"/>
  <c r="B214" i="6"/>
  <c r="B213" i="6"/>
  <c r="B212" i="6"/>
  <c r="B211" i="6"/>
  <c r="B210" i="6"/>
  <c r="B209" i="6"/>
  <c r="B208" i="6"/>
  <c r="B207" i="6"/>
  <c r="B206" i="6"/>
  <c r="B205" i="6"/>
  <c r="B204" i="6"/>
  <c r="B203" i="6"/>
  <c r="B202" i="6"/>
  <c r="B201" i="6"/>
  <c r="B200" i="6"/>
  <c r="B199" i="6"/>
  <c r="B198" i="6"/>
  <c r="B197" i="6"/>
  <c r="B196" i="6"/>
  <c r="B195" i="6"/>
  <c r="B194" i="6"/>
  <c r="B193" i="6"/>
  <c r="B192" i="6"/>
  <c r="B191" i="6"/>
  <c r="B190" i="6"/>
  <c r="B189" i="6"/>
  <c r="B188" i="6"/>
  <c r="B187" i="6"/>
  <c r="B186" i="6"/>
  <c r="B185" i="6"/>
  <c r="B184" i="6"/>
  <c r="B183" i="6"/>
  <c r="B182" i="6"/>
  <c r="B181" i="6"/>
  <c r="B180" i="6"/>
  <c r="B179" i="6"/>
  <c r="B178" i="6"/>
  <c r="B177" i="6"/>
  <c r="B176" i="6"/>
  <c r="B175" i="6"/>
  <c r="B174" i="6"/>
  <c r="B173" i="6"/>
  <c r="B172" i="6"/>
  <c r="B171" i="6"/>
  <c r="B170" i="6"/>
  <c r="B169" i="6"/>
  <c r="B168" i="6"/>
  <c r="B167" i="6"/>
  <c r="B166" i="6"/>
  <c r="B165" i="6"/>
  <c r="B164" i="6"/>
  <c r="B163" i="6"/>
  <c r="B162" i="6"/>
  <c r="B161" i="6"/>
  <c r="B160" i="6"/>
  <c r="B159" i="6"/>
  <c r="B158" i="6"/>
  <c r="B157" i="6"/>
  <c r="B156" i="6"/>
  <c r="B155" i="6"/>
  <c r="B154" i="6"/>
  <c r="B153" i="6"/>
  <c r="B152" i="6"/>
  <c r="B151" i="6"/>
  <c r="B150" i="6"/>
  <c r="B149" i="6"/>
  <c r="B148" i="6"/>
  <c r="B147" i="6"/>
  <c r="B146" i="6"/>
  <c r="B145" i="6"/>
  <c r="B144" i="6"/>
  <c r="B143" i="6"/>
  <c r="B142" i="6"/>
  <c r="B141" i="6"/>
  <c r="B140" i="6"/>
  <c r="B139" i="6"/>
  <c r="B138" i="6"/>
  <c r="B137" i="6"/>
  <c r="B136" i="6"/>
  <c r="B135" i="6"/>
  <c r="B134" i="6"/>
  <c r="B133" i="6"/>
  <c r="B132" i="6"/>
  <c r="B131" i="6"/>
  <c r="B130" i="6"/>
  <c r="B129" i="6"/>
  <c r="B128" i="6"/>
  <c r="B127" i="6"/>
  <c r="B126" i="6"/>
  <c r="B125" i="6"/>
  <c r="B124" i="6"/>
  <c r="B123" i="6"/>
  <c r="B122" i="6"/>
  <c r="B121" i="6"/>
  <c r="B120" i="6"/>
  <c r="B119" i="6"/>
  <c r="B118" i="6"/>
  <c r="B117" i="6"/>
  <c r="B116" i="6"/>
  <c r="B115" i="6"/>
  <c r="B114" i="6"/>
  <c r="B113" i="6"/>
  <c r="B112" i="6"/>
  <c r="B111" i="6"/>
  <c r="B110" i="6"/>
  <c r="B109" i="6"/>
  <c r="B108" i="6"/>
  <c r="B107" i="6"/>
  <c r="B106" i="6"/>
  <c r="B105" i="6"/>
  <c r="B104" i="6"/>
  <c r="B103" i="6"/>
  <c r="B102" i="6"/>
  <c r="B101" i="6"/>
  <c r="B100" i="6"/>
  <c r="B99" i="6"/>
  <c r="B98" i="6"/>
  <c r="B97" i="6"/>
  <c r="B96" i="6"/>
  <c r="B95" i="6"/>
  <c r="B94" i="6"/>
  <c r="B93" i="6"/>
  <c r="B92" i="6"/>
  <c r="B91" i="6"/>
  <c r="B90" i="6"/>
  <c r="B89" i="6"/>
  <c r="B88" i="6"/>
  <c r="B87" i="6"/>
  <c r="B86" i="6"/>
  <c r="B85" i="6"/>
  <c r="B84" i="6"/>
  <c r="B83" i="6"/>
  <c r="B82" i="6"/>
  <c r="B81" i="6"/>
  <c r="B80" i="6"/>
  <c r="B79" i="6"/>
  <c r="B78" i="6"/>
  <c r="B77" i="6"/>
  <c r="B76" i="6"/>
  <c r="B75" i="6"/>
  <c r="B74" i="6"/>
  <c r="B73" i="6"/>
  <c r="B72" i="6"/>
  <c r="B71" i="6"/>
  <c r="B70" i="6"/>
  <c r="B69" i="6"/>
  <c r="B68" i="6"/>
  <c r="B67" i="6"/>
  <c r="B66" i="6"/>
  <c r="B65" i="6"/>
  <c r="B64" i="6"/>
  <c r="B63" i="6"/>
  <c r="B62" i="6"/>
  <c r="B61" i="6"/>
  <c r="B60" i="6"/>
  <c r="B59" i="6"/>
  <c r="B58" i="6"/>
  <c r="B57" i="6"/>
  <c r="B56" i="6"/>
  <c r="B55" i="6"/>
  <c r="B54" i="6"/>
  <c r="B53" i="6"/>
  <c r="B52" i="6"/>
  <c r="B51" i="6"/>
  <c r="B50" i="6"/>
  <c r="B49" i="6"/>
  <c r="B48" i="6"/>
  <c r="B47" i="6"/>
  <c r="B46" i="6"/>
  <c r="B45" i="6"/>
  <c r="B44" i="6"/>
  <c r="B43" i="6"/>
  <c r="B42" i="6"/>
  <c r="B41" i="6"/>
  <c r="B40" i="6"/>
  <c r="B39" i="6"/>
  <c r="B38" i="6"/>
  <c r="B37" i="6"/>
  <c r="B36" i="6"/>
  <c r="B35" i="6"/>
  <c r="B34" i="6"/>
  <c r="B33" i="6"/>
  <c r="B32" i="6"/>
  <c r="B31" i="6"/>
  <c r="B30" i="6"/>
  <c r="B29" i="6"/>
  <c r="B28" i="6"/>
  <c r="B27" i="6"/>
  <c r="B26" i="6"/>
  <c r="B25" i="6"/>
  <c r="B24" i="6"/>
  <c r="B23" i="6"/>
  <c r="B22" i="6"/>
  <c r="B21" i="6"/>
  <c r="B20" i="6"/>
  <c r="B19" i="6"/>
  <c r="B18" i="6"/>
  <c r="B17" i="6"/>
  <c r="B16" i="6"/>
  <c r="B15" i="6"/>
  <c r="B14" i="6"/>
  <c r="B13" i="6"/>
  <c r="B12" i="6"/>
  <c r="B11" i="6"/>
  <c r="B10" i="6"/>
  <c r="B9" i="6"/>
  <c r="B8" i="6"/>
  <c r="B7" i="6"/>
  <c r="B6" i="6"/>
  <c r="B5" i="6"/>
  <c r="B4" i="6"/>
  <c r="B3" i="6"/>
  <c r="B2" i="6"/>
  <c r="B2" i="5"/>
  <c r="B118" i="5"/>
  <c r="B117" i="5"/>
  <c r="B116" i="5"/>
  <c r="B115" i="5"/>
  <c r="B114" i="5"/>
  <c r="B113" i="5"/>
  <c r="B112" i="5"/>
  <c r="B111" i="5"/>
  <c r="B110" i="5"/>
  <c r="B109" i="5"/>
  <c r="B108" i="5"/>
  <c r="B107" i="5"/>
  <c r="B106" i="5"/>
  <c r="B105" i="5"/>
  <c r="B104" i="5"/>
  <c r="B103" i="5"/>
  <c r="B102" i="5"/>
  <c r="B101" i="5"/>
  <c r="B100" i="5"/>
  <c r="B99" i="5"/>
  <c r="B98" i="5"/>
  <c r="B97" i="5"/>
  <c r="B96" i="5"/>
  <c r="B95" i="5"/>
  <c r="B94" i="5"/>
  <c r="B93" i="5"/>
  <c r="B92" i="5"/>
  <c r="B91" i="5"/>
  <c r="B90" i="5"/>
  <c r="B89" i="5"/>
  <c r="B88" i="5"/>
  <c r="B87" i="5"/>
  <c r="B86" i="5"/>
  <c r="B85" i="5"/>
  <c r="B84" i="5"/>
  <c r="B83" i="5"/>
  <c r="B82" i="5"/>
  <c r="B81" i="5"/>
  <c r="B80" i="5"/>
  <c r="B79" i="5"/>
  <c r="B78" i="5"/>
  <c r="B77" i="5"/>
  <c r="B76" i="5"/>
  <c r="B75" i="5"/>
  <c r="B74" i="5"/>
  <c r="B73" i="5"/>
  <c r="B72" i="5"/>
  <c r="B71" i="5"/>
  <c r="B70" i="5"/>
  <c r="B69" i="5"/>
  <c r="B68" i="5"/>
  <c r="B67" i="5"/>
  <c r="B66" i="5"/>
  <c r="B65" i="5"/>
  <c r="B64" i="5"/>
  <c r="B63" i="5"/>
  <c r="B62" i="5"/>
  <c r="B61" i="5"/>
  <c r="B60" i="5"/>
  <c r="B59" i="5"/>
  <c r="B58" i="5"/>
  <c r="B57" i="5"/>
  <c r="B56" i="5"/>
  <c r="B55" i="5"/>
  <c r="B54" i="5"/>
  <c r="B53" i="5"/>
  <c r="B52" i="5"/>
  <c r="B51" i="5"/>
  <c r="B50" i="5"/>
  <c r="B49" i="5"/>
  <c r="B48" i="5"/>
  <c r="B47" i="5"/>
  <c r="B46" i="5"/>
  <c r="B45" i="5"/>
  <c r="B44" i="5"/>
  <c r="B43" i="5"/>
  <c r="B42" i="5"/>
  <c r="B41" i="5"/>
  <c r="B40" i="5"/>
  <c r="B39" i="5"/>
  <c r="B38" i="5"/>
  <c r="B37" i="5"/>
  <c r="B36" i="5"/>
  <c r="B35" i="5"/>
  <c r="B34" i="5"/>
  <c r="B33" i="5"/>
  <c r="B32" i="5"/>
  <c r="B31" i="5"/>
  <c r="B30" i="5"/>
  <c r="B29" i="5"/>
  <c r="B28" i="5"/>
  <c r="B27" i="5"/>
  <c r="B26" i="5"/>
  <c r="B25" i="5"/>
  <c r="B24" i="5"/>
  <c r="B23" i="5"/>
  <c r="B22" i="5"/>
  <c r="B21" i="5"/>
  <c r="B20" i="5"/>
  <c r="B19" i="5"/>
  <c r="B18" i="5"/>
  <c r="B17" i="5"/>
  <c r="B16" i="5"/>
  <c r="B15" i="5"/>
  <c r="B14" i="5"/>
  <c r="B13" i="5"/>
  <c r="B12" i="5"/>
  <c r="B11" i="5"/>
  <c r="B10" i="5"/>
  <c r="B9" i="5"/>
  <c r="B8" i="5"/>
  <c r="B7" i="5"/>
  <c r="B6" i="5"/>
  <c r="B5" i="5"/>
  <c r="B4" i="5"/>
  <c r="B3" i="5"/>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0" i="4"/>
  <c r="B9" i="4"/>
  <c r="B8" i="4"/>
  <c r="B7" i="4"/>
  <c r="B6" i="4"/>
  <c r="B5" i="4"/>
  <c r="B4" i="4"/>
  <c r="B3" i="4"/>
  <c r="B2" i="4"/>
  <c r="O1055" i="3"/>
  <c r="N1055" i="3"/>
  <c r="F1055" i="3"/>
  <c r="E1055" i="3"/>
  <c r="O1054" i="3"/>
  <c r="N1054" i="3"/>
  <c r="F1054" i="3"/>
  <c r="E1054" i="3"/>
  <c r="O1053" i="3"/>
  <c r="N1053" i="3"/>
  <c r="F1053" i="3"/>
  <c r="E1053" i="3"/>
  <c r="O1052" i="3"/>
  <c r="N1052" i="3"/>
  <c r="F1052" i="3"/>
  <c r="E1052" i="3"/>
  <c r="O1051" i="3"/>
  <c r="N1051" i="3"/>
  <c r="F1051" i="3"/>
  <c r="E1051" i="3"/>
  <c r="O1050" i="3"/>
  <c r="N1050" i="3"/>
  <c r="F1050" i="3"/>
  <c r="E1050" i="3"/>
  <c r="O1049" i="3"/>
  <c r="N1049" i="3"/>
  <c r="F1049" i="3"/>
  <c r="E1049" i="3"/>
  <c r="O1048" i="3"/>
  <c r="N1048" i="3"/>
  <c r="F1048" i="3"/>
  <c r="E1048" i="3"/>
  <c r="O1047" i="3"/>
  <c r="N1047" i="3"/>
  <c r="F1047" i="3"/>
  <c r="E1047" i="3"/>
  <c r="O1046" i="3"/>
  <c r="N1046" i="3"/>
  <c r="F1046" i="3"/>
  <c r="E1046" i="3"/>
  <c r="O1045" i="3"/>
  <c r="N1045" i="3"/>
  <c r="F1045" i="3"/>
  <c r="E1045" i="3"/>
  <c r="O1044" i="3"/>
  <c r="N1044" i="3"/>
  <c r="F1044" i="3"/>
  <c r="E1044" i="3"/>
  <c r="O1043" i="3"/>
  <c r="N1043" i="3"/>
  <c r="F1043" i="3"/>
  <c r="E1043" i="3"/>
  <c r="O1042" i="3"/>
  <c r="N1042" i="3"/>
  <c r="F1042" i="3"/>
  <c r="E1042" i="3"/>
  <c r="O1041" i="3"/>
  <c r="N1041" i="3"/>
  <c r="F1041" i="3"/>
  <c r="E1041" i="3"/>
  <c r="O1040" i="3"/>
  <c r="N1040" i="3"/>
  <c r="F1040" i="3"/>
  <c r="E1040" i="3"/>
  <c r="O1039" i="3"/>
  <c r="N1039" i="3"/>
  <c r="F1039" i="3"/>
  <c r="E1039" i="3"/>
  <c r="O1038" i="3"/>
  <c r="N1038" i="3"/>
  <c r="F1038" i="3"/>
  <c r="E1038" i="3"/>
  <c r="O1037" i="3"/>
  <c r="N1037" i="3"/>
  <c r="F1037" i="3"/>
  <c r="E1037" i="3"/>
  <c r="O1036" i="3"/>
  <c r="N1036" i="3"/>
  <c r="F1036" i="3"/>
  <c r="E1036" i="3"/>
  <c r="O1035" i="3"/>
  <c r="N1035" i="3"/>
  <c r="F1035" i="3"/>
  <c r="E1035" i="3"/>
  <c r="O1034" i="3"/>
  <c r="N1034" i="3"/>
  <c r="F1034" i="3"/>
  <c r="E1034" i="3"/>
  <c r="O1033" i="3"/>
  <c r="N1033" i="3"/>
  <c r="F1033" i="3"/>
  <c r="E1033" i="3"/>
  <c r="O1032" i="3"/>
  <c r="N1032" i="3"/>
  <c r="F1032" i="3"/>
  <c r="E1032" i="3"/>
  <c r="O1031" i="3"/>
  <c r="N1031" i="3"/>
  <c r="F1031" i="3"/>
  <c r="E1031" i="3"/>
  <c r="O1030" i="3"/>
  <c r="N1030" i="3"/>
  <c r="F1030" i="3"/>
  <c r="E1030" i="3"/>
  <c r="N1029" i="3"/>
  <c r="F1029" i="3"/>
  <c r="E1029" i="3"/>
  <c r="O1028" i="3"/>
  <c r="N1028" i="3"/>
  <c r="F1028" i="3"/>
  <c r="E1028" i="3"/>
  <c r="O1027" i="3"/>
  <c r="N1027" i="3"/>
  <c r="F1027" i="3"/>
  <c r="E1027" i="3"/>
  <c r="O1026" i="3"/>
  <c r="N1026" i="3"/>
  <c r="F1026" i="3"/>
  <c r="E1026" i="3"/>
  <c r="O1025" i="3"/>
  <c r="N1025" i="3"/>
  <c r="F1025" i="3"/>
  <c r="E1025" i="3"/>
  <c r="O1024" i="3"/>
  <c r="N1024" i="3"/>
  <c r="F1024" i="3"/>
  <c r="E1024" i="3"/>
  <c r="O1023" i="3"/>
  <c r="N1023" i="3"/>
  <c r="F1023" i="3"/>
  <c r="E1023" i="3"/>
  <c r="O1022" i="3"/>
  <c r="N1022" i="3"/>
  <c r="F1022" i="3"/>
  <c r="E1022" i="3"/>
  <c r="O1021" i="3"/>
  <c r="N1021" i="3"/>
  <c r="F1021" i="3"/>
  <c r="E1021" i="3"/>
  <c r="O1020" i="3"/>
  <c r="N1020" i="3"/>
  <c r="F1020" i="3"/>
  <c r="E1020" i="3"/>
  <c r="O1019" i="3"/>
  <c r="N1019" i="3"/>
  <c r="F1019" i="3"/>
  <c r="E1019" i="3"/>
  <c r="O1018" i="3"/>
  <c r="N1018" i="3"/>
  <c r="F1018" i="3"/>
  <c r="E1018" i="3"/>
  <c r="O1017" i="3"/>
  <c r="N1017" i="3"/>
  <c r="F1017" i="3"/>
  <c r="E1017" i="3"/>
  <c r="O1016" i="3"/>
  <c r="N1016" i="3"/>
  <c r="F1016" i="3"/>
  <c r="E1016" i="3"/>
  <c r="O1015" i="3"/>
  <c r="N1015" i="3"/>
  <c r="F1015" i="3"/>
  <c r="E1015" i="3"/>
  <c r="O1014" i="3"/>
  <c r="N1014" i="3"/>
  <c r="F1014" i="3"/>
  <c r="E1014" i="3"/>
  <c r="O1013" i="3"/>
  <c r="N1013" i="3"/>
  <c r="F1013" i="3"/>
  <c r="E1013" i="3"/>
  <c r="O1012" i="3"/>
  <c r="N1012" i="3"/>
  <c r="F1012" i="3"/>
  <c r="E1012" i="3"/>
  <c r="O1011" i="3"/>
  <c r="N1011" i="3"/>
  <c r="F1011" i="3"/>
  <c r="E1011" i="3"/>
  <c r="O1010" i="3"/>
  <c r="N1010" i="3"/>
  <c r="F1010" i="3"/>
  <c r="E1010" i="3"/>
  <c r="O1009" i="3"/>
  <c r="N1009" i="3"/>
  <c r="F1009" i="3"/>
  <c r="E1009" i="3"/>
  <c r="O1008" i="3"/>
  <c r="N1008" i="3"/>
  <c r="F1008" i="3"/>
  <c r="E1008" i="3"/>
  <c r="O1007" i="3"/>
  <c r="N1007" i="3"/>
  <c r="F1007" i="3"/>
  <c r="E1007" i="3"/>
  <c r="O1006" i="3"/>
  <c r="N1006" i="3"/>
  <c r="F1006" i="3"/>
  <c r="E1006" i="3"/>
  <c r="O1005" i="3"/>
  <c r="N1005" i="3"/>
  <c r="F1005" i="3"/>
  <c r="E1005" i="3"/>
  <c r="O1004" i="3"/>
  <c r="N1004" i="3"/>
  <c r="F1004" i="3"/>
  <c r="E1004" i="3"/>
  <c r="O1003" i="3"/>
  <c r="N1003" i="3"/>
  <c r="F1003" i="3"/>
  <c r="E1003" i="3"/>
  <c r="O1002" i="3"/>
  <c r="N1002" i="3"/>
  <c r="F1002" i="3"/>
  <c r="E1002" i="3"/>
  <c r="O1001" i="3"/>
  <c r="N1001" i="3"/>
  <c r="F1001" i="3"/>
  <c r="E1001" i="3"/>
  <c r="O1000" i="3"/>
  <c r="N1000" i="3"/>
  <c r="F1000" i="3"/>
  <c r="E1000" i="3"/>
  <c r="O999" i="3"/>
  <c r="N999" i="3"/>
  <c r="F999" i="3"/>
  <c r="E999" i="3"/>
  <c r="O998" i="3"/>
  <c r="N998" i="3"/>
  <c r="F998" i="3"/>
  <c r="E998" i="3"/>
  <c r="O997" i="3"/>
  <c r="N997" i="3"/>
  <c r="F997" i="3"/>
  <c r="E997" i="3"/>
  <c r="O996" i="3"/>
  <c r="N996" i="3"/>
  <c r="F996" i="3"/>
  <c r="E996" i="3"/>
  <c r="O995" i="3"/>
  <c r="N995" i="3"/>
  <c r="F995" i="3"/>
  <c r="E995" i="3"/>
  <c r="O994" i="3"/>
  <c r="N994" i="3"/>
  <c r="F994" i="3"/>
  <c r="E994" i="3"/>
  <c r="O993" i="3"/>
  <c r="N993" i="3"/>
  <c r="F993" i="3"/>
  <c r="E993" i="3"/>
  <c r="O992" i="3"/>
  <c r="N992" i="3"/>
  <c r="F992" i="3"/>
  <c r="E992" i="3"/>
  <c r="O991" i="3"/>
  <c r="N991" i="3"/>
  <c r="F991" i="3"/>
  <c r="E991" i="3"/>
  <c r="O990" i="3"/>
  <c r="N990" i="3"/>
  <c r="F990" i="3"/>
  <c r="E990" i="3"/>
  <c r="O989" i="3"/>
  <c r="N989" i="3"/>
  <c r="F989" i="3"/>
  <c r="E989" i="3"/>
  <c r="O988" i="3"/>
  <c r="N988" i="3"/>
  <c r="F988" i="3"/>
  <c r="E988" i="3"/>
  <c r="O987" i="3"/>
  <c r="N987" i="3"/>
  <c r="F987" i="3"/>
  <c r="E987" i="3"/>
  <c r="O986" i="3"/>
  <c r="N986" i="3"/>
  <c r="F986" i="3"/>
  <c r="E986" i="3"/>
  <c r="O985" i="3"/>
  <c r="N985" i="3"/>
  <c r="F985" i="3"/>
  <c r="E985" i="3"/>
  <c r="O984" i="3"/>
  <c r="N984" i="3"/>
  <c r="F984" i="3"/>
  <c r="E984" i="3"/>
  <c r="O983" i="3"/>
  <c r="N983" i="3"/>
  <c r="F983" i="3"/>
  <c r="E983" i="3"/>
  <c r="O982" i="3"/>
  <c r="N982" i="3"/>
  <c r="F982" i="3"/>
  <c r="E982" i="3"/>
  <c r="O981" i="3"/>
  <c r="N981" i="3"/>
  <c r="F981" i="3"/>
  <c r="E981" i="3"/>
  <c r="O980" i="3"/>
  <c r="N980" i="3"/>
  <c r="F980" i="3"/>
  <c r="E980" i="3"/>
  <c r="O979" i="3"/>
  <c r="N979" i="3"/>
  <c r="F979" i="3"/>
  <c r="E979" i="3"/>
  <c r="O978" i="3"/>
  <c r="N978" i="3"/>
  <c r="F978" i="3"/>
  <c r="E978" i="3"/>
  <c r="O977" i="3"/>
  <c r="N977" i="3"/>
  <c r="F977" i="3"/>
  <c r="E977" i="3"/>
  <c r="O976" i="3"/>
  <c r="N976" i="3"/>
  <c r="F976" i="3"/>
  <c r="E976" i="3"/>
  <c r="O975" i="3"/>
  <c r="N975" i="3"/>
  <c r="F975" i="3"/>
  <c r="E975" i="3"/>
  <c r="O974" i="3"/>
  <c r="N974" i="3"/>
  <c r="F974" i="3"/>
  <c r="E974" i="3"/>
  <c r="O973" i="3"/>
  <c r="N973" i="3"/>
  <c r="F973" i="3"/>
  <c r="E973" i="3"/>
  <c r="O972" i="3"/>
  <c r="N972" i="3"/>
  <c r="F972" i="3"/>
  <c r="E972" i="3"/>
  <c r="O971" i="3"/>
  <c r="N971" i="3"/>
  <c r="F971" i="3"/>
  <c r="E971" i="3"/>
  <c r="O970" i="3"/>
  <c r="N970" i="3"/>
  <c r="F970" i="3"/>
  <c r="E970" i="3"/>
  <c r="O969" i="3"/>
  <c r="N969" i="3"/>
  <c r="F969" i="3"/>
  <c r="E969" i="3"/>
  <c r="O968" i="3"/>
  <c r="N968" i="3"/>
  <c r="F968" i="3"/>
  <c r="E968" i="3"/>
  <c r="O967" i="3"/>
  <c r="N967" i="3"/>
  <c r="F967" i="3"/>
  <c r="E967" i="3"/>
  <c r="O966" i="3"/>
  <c r="N966" i="3"/>
  <c r="F966" i="3"/>
  <c r="E966" i="3"/>
  <c r="O965" i="3"/>
  <c r="N965" i="3"/>
  <c r="F965" i="3"/>
  <c r="E965" i="3"/>
  <c r="O964" i="3"/>
  <c r="N964" i="3"/>
  <c r="F964" i="3"/>
  <c r="E964" i="3"/>
  <c r="O963" i="3"/>
  <c r="N963" i="3"/>
  <c r="F963" i="3"/>
  <c r="E963" i="3"/>
  <c r="O962" i="3"/>
  <c r="N962" i="3"/>
  <c r="F962" i="3"/>
  <c r="E962" i="3"/>
  <c r="O961" i="3"/>
  <c r="N961" i="3"/>
  <c r="F961" i="3"/>
  <c r="E961" i="3"/>
  <c r="O960" i="3"/>
  <c r="N960" i="3"/>
  <c r="F960" i="3"/>
  <c r="E960" i="3"/>
  <c r="O959" i="3"/>
  <c r="N959" i="3"/>
  <c r="F959" i="3"/>
  <c r="E959" i="3"/>
  <c r="O958" i="3"/>
  <c r="N958" i="3"/>
  <c r="F958" i="3"/>
  <c r="E958" i="3"/>
  <c r="O957" i="3"/>
  <c r="N957" i="3"/>
  <c r="F957" i="3"/>
  <c r="E957" i="3"/>
  <c r="O956" i="3"/>
  <c r="N956" i="3"/>
  <c r="F956" i="3"/>
  <c r="E956" i="3"/>
  <c r="O955" i="3"/>
  <c r="N955" i="3"/>
  <c r="F955" i="3"/>
  <c r="E955" i="3"/>
  <c r="O954" i="3"/>
  <c r="N954" i="3"/>
  <c r="F954" i="3"/>
  <c r="E954" i="3"/>
  <c r="O953" i="3"/>
  <c r="N953" i="3"/>
  <c r="F953" i="3"/>
  <c r="E953" i="3"/>
  <c r="O952" i="3"/>
  <c r="N952" i="3"/>
  <c r="F952" i="3"/>
  <c r="E952" i="3"/>
  <c r="O951" i="3"/>
  <c r="N951" i="3"/>
  <c r="F951" i="3"/>
  <c r="E951" i="3"/>
  <c r="O950" i="3"/>
  <c r="N950" i="3"/>
  <c r="F950" i="3"/>
  <c r="E950" i="3"/>
  <c r="O949" i="3"/>
  <c r="N949" i="3"/>
  <c r="F949" i="3"/>
  <c r="E949" i="3"/>
  <c r="O948" i="3"/>
  <c r="N948" i="3"/>
  <c r="F948" i="3"/>
  <c r="E948" i="3"/>
  <c r="O947" i="3"/>
  <c r="N947" i="3"/>
  <c r="F947" i="3"/>
  <c r="E947" i="3"/>
  <c r="O946" i="3"/>
  <c r="N946" i="3"/>
  <c r="F946" i="3"/>
  <c r="E946" i="3"/>
  <c r="O945" i="3"/>
  <c r="N945" i="3"/>
  <c r="F945" i="3"/>
  <c r="E945" i="3"/>
  <c r="O944" i="3"/>
  <c r="N944" i="3"/>
  <c r="F944" i="3"/>
  <c r="E944" i="3"/>
  <c r="O943" i="3"/>
  <c r="N943" i="3"/>
  <c r="F943" i="3"/>
  <c r="E943" i="3"/>
  <c r="O942" i="3"/>
  <c r="N942" i="3"/>
  <c r="F942" i="3"/>
  <c r="E942" i="3"/>
  <c r="O941" i="3"/>
  <c r="N941" i="3"/>
  <c r="F941" i="3"/>
  <c r="E941" i="3"/>
  <c r="O940" i="3"/>
  <c r="N940" i="3"/>
  <c r="F940" i="3"/>
  <c r="E940" i="3"/>
  <c r="O939" i="3"/>
  <c r="N939" i="3"/>
  <c r="F939" i="3"/>
  <c r="E939" i="3"/>
  <c r="O938" i="3"/>
  <c r="N938" i="3"/>
  <c r="F938" i="3"/>
  <c r="E938" i="3"/>
  <c r="O937" i="3"/>
  <c r="N937" i="3"/>
  <c r="F937" i="3"/>
  <c r="E937" i="3"/>
  <c r="O936" i="3"/>
  <c r="N936" i="3"/>
  <c r="F936" i="3"/>
  <c r="E936" i="3"/>
  <c r="O935" i="3"/>
  <c r="N935" i="3"/>
  <c r="F935" i="3"/>
  <c r="E935" i="3"/>
  <c r="O934" i="3"/>
  <c r="N934" i="3"/>
  <c r="F934" i="3"/>
  <c r="E934" i="3"/>
  <c r="O933" i="3"/>
  <c r="N933" i="3"/>
  <c r="F933" i="3"/>
  <c r="E933" i="3"/>
  <c r="O932" i="3"/>
  <c r="N932" i="3"/>
  <c r="F932" i="3"/>
  <c r="E932" i="3"/>
  <c r="O931" i="3"/>
  <c r="N931" i="3"/>
  <c r="F931" i="3"/>
  <c r="E931" i="3"/>
  <c r="O930" i="3"/>
  <c r="N930" i="3"/>
  <c r="F930" i="3"/>
  <c r="E930" i="3"/>
  <c r="O929" i="3"/>
  <c r="N929" i="3"/>
  <c r="F929" i="3"/>
  <c r="E929" i="3"/>
  <c r="O928" i="3"/>
  <c r="N928" i="3"/>
  <c r="F928" i="3"/>
  <c r="E928" i="3"/>
  <c r="O927" i="3"/>
  <c r="N927" i="3"/>
  <c r="F927" i="3"/>
  <c r="E927" i="3"/>
  <c r="O926" i="3"/>
  <c r="N926" i="3"/>
  <c r="F926" i="3"/>
  <c r="E926" i="3"/>
  <c r="O925" i="3"/>
  <c r="N925" i="3"/>
  <c r="F925" i="3"/>
  <c r="E925" i="3"/>
  <c r="O924" i="3"/>
  <c r="N924" i="3"/>
  <c r="F924" i="3"/>
  <c r="E924" i="3"/>
  <c r="O923" i="3"/>
  <c r="N923" i="3"/>
  <c r="F923" i="3"/>
  <c r="E923" i="3"/>
  <c r="O922" i="3"/>
  <c r="N922" i="3"/>
  <c r="F922" i="3"/>
  <c r="E922" i="3"/>
  <c r="O921" i="3"/>
  <c r="N921" i="3"/>
  <c r="F921" i="3"/>
  <c r="E921" i="3"/>
  <c r="O920" i="3"/>
  <c r="N920" i="3"/>
  <c r="F920" i="3"/>
  <c r="E920" i="3"/>
  <c r="O919" i="3"/>
  <c r="N919" i="3"/>
  <c r="F919" i="3"/>
  <c r="E919" i="3"/>
  <c r="O918" i="3"/>
  <c r="N918" i="3"/>
  <c r="F918" i="3"/>
  <c r="E918" i="3"/>
  <c r="O917" i="3"/>
  <c r="N917" i="3"/>
  <c r="F917" i="3"/>
  <c r="E917" i="3"/>
  <c r="O916" i="3"/>
  <c r="N916" i="3"/>
  <c r="F916" i="3"/>
  <c r="E916" i="3"/>
  <c r="O915" i="3"/>
  <c r="N915" i="3"/>
  <c r="F915" i="3"/>
  <c r="E915" i="3"/>
  <c r="O914" i="3"/>
  <c r="N914" i="3"/>
  <c r="F914" i="3"/>
  <c r="E914" i="3"/>
  <c r="O913" i="3"/>
  <c r="N913" i="3"/>
  <c r="F913" i="3"/>
  <c r="E913" i="3"/>
  <c r="O912" i="3"/>
  <c r="N912" i="3"/>
  <c r="F912" i="3"/>
  <c r="E912" i="3"/>
  <c r="O911" i="3"/>
  <c r="N911" i="3"/>
  <c r="F911" i="3"/>
  <c r="E911" i="3"/>
  <c r="O910" i="3"/>
  <c r="N910" i="3"/>
  <c r="F910" i="3"/>
  <c r="E910" i="3"/>
  <c r="O909" i="3"/>
  <c r="N909" i="3"/>
  <c r="F909" i="3"/>
  <c r="E909" i="3"/>
  <c r="O908" i="3"/>
  <c r="N908" i="3"/>
  <c r="F908" i="3"/>
  <c r="E908" i="3"/>
  <c r="O907" i="3"/>
  <c r="N907" i="3"/>
  <c r="F907" i="3"/>
  <c r="E907" i="3"/>
  <c r="O906" i="3"/>
  <c r="N906" i="3"/>
  <c r="F906" i="3"/>
  <c r="E906" i="3"/>
  <c r="O905" i="3"/>
  <c r="N905" i="3"/>
  <c r="F905" i="3"/>
  <c r="E905" i="3"/>
  <c r="O904" i="3"/>
  <c r="N904" i="3"/>
  <c r="F904" i="3"/>
  <c r="E904" i="3"/>
  <c r="O903" i="3"/>
  <c r="N903" i="3"/>
  <c r="F903" i="3"/>
  <c r="E903" i="3"/>
  <c r="O902" i="3"/>
  <c r="N902" i="3"/>
  <c r="F902" i="3"/>
  <c r="E902" i="3"/>
  <c r="O901" i="3"/>
  <c r="N901" i="3"/>
  <c r="F901" i="3"/>
  <c r="E901" i="3"/>
  <c r="O900" i="3"/>
  <c r="N900" i="3"/>
  <c r="F900" i="3"/>
  <c r="E900" i="3"/>
  <c r="O899" i="3"/>
  <c r="N899" i="3"/>
  <c r="F899" i="3"/>
  <c r="E899" i="3"/>
  <c r="O898" i="3"/>
  <c r="N898" i="3"/>
  <c r="F898" i="3"/>
  <c r="E898" i="3"/>
  <c r="O897" i="3"/>
  <c r="N897" i="3"/>
  <c r="F897" i="3"/>
  <c r="E897" i="3"/>
  <c r="O896" i="3"/>
  <c r="N896" i="3"/>
  <c r="F896" i="3"/>
  <c r="E896" i="3"/>
  <c r="O895" i="3"/>
  <c r="N895" i="3"/>
  <c r="F895" i="3"/>
  <c r="E895" i="3"/>
  <c r="O894" i="3"/>
  <c r="N894" i="3"/>
  <c r="F894" i="3"/>
  <c r="E894" i="3"/>
  <c r="O893" i="3"/>
  <c r="N893" i="3"/>
  <c r="F893" i="3"/>
  <c r="E893" i="3"/>
  <c r="O892" i="3"/>
  <c r="N892" i="3"/>
  <c r="F892" i="3"/>
  <c r="E892" i="3"/>
  <c r="O891" i="3"/>
  <c r="N891" i="3"/>
  <c r="F891" i="3"/>
  <c r="E891" i="3"/>
  <c r="O890" i="3"/>
  <c r="N890" i="3"/>
  <c r="F890" i="3"/>
  <c r="E890" i="3"/>
  <c r="O889" i="3"/>
  <c r="N889" i="3"/>
  <c r="F889" i="3"/>
  <c r="E889" i="3"/>
  <c r="O888" i="3"/>
  <c r="N888" i="3"/>
  <c r="F888" i="3"/>
  <c r="E888" i="3"/>
  <c r="O887" i="3"/>
  <c r="N887" i="3"/>
  <c r="F887" i="3"/>
  <c r="E887" i="3"/>
  <c r="O886" i="3"/>
  <c r="N886" i="3"/>
  <c r="F886" i="3"/>
  <c r="E886" i="3"/>
  <c r="O885" i="3"/>
  <c r="N885" i="3"/>
  <c r="F885" i="3"/>
  <c r="E885" i="3"/>
  <c r="O884" i="3"/>
  <c r="N884" i="3"/>
  <c r="F884" i="3"/>
  <c r="E884" i="3"/>
  <c r="O883" i="3"/>
  <c r="N883" i="3"/>
  <c r="F883" i="3"/>
  <c r="E883" i="3"/>
  <c r="O882" i="3"/>
  <c r="N882" i="3"/>
  <c r="F882" i="3"/>
  <c r="E882" i="3"/>
  <c r="O881" i="3"/>
  <c r="N881" i="3"/>
  <c r="F881" i="3"/>
  <c r="E881" i="3"/>
  <c r="O880" i="3"/>
  <c r="N880" i="3"/>
  <c r="F880" i="3"/>
  <c r="E880" i="3"/>
  <c r="O879" i="3"/>
  <c r="N879" i="3"/>
  <c r="F879" i="3"/>
  <c r="E879" i="3"/>
  <c r="O878" i="3"/>
  <c r="N878" i="3"/>
  <c r="F878" i="3"/>
  <c r="E878" i="3"/>
  <c r="O877" i="3"/>
  <c r="N877" i="3"/>
  <c r="F877" i="3"/>
  <c r="E877" i="3"/>
  <c r="O876" i="3"/>
  <c r="N876" i="3"/>
  <c r="F876" i="3"/>
  <c r="E876" i="3"/>
  <c r="O875" i="3"/>
  <c r="N875" i="3"/>
  <c r="F875" i="3"/>
  <c r="E875" i="3"/>
  <c r="O874" i="3"/>
  <c r="N874" i="3"/>
  <c r="F874" i="3"/>
  <c r="E874" i="3"/>
  <c r="O873" i="3"/>
  <c r="N873" i="3"/>
  <c r="F873" i="3"/>
  <c r="E873" i="3"/>
  <c r="O872" i="3"/>
  <c r="N872" i="3"/>
  <c r="F872" i="3"/>
  <c r="E872" i="3"/>
  <c r="O871" i="3"/>
  <c r="N871" i="3"/>
  <c r="F871" i="3"/>
  <c r="E871" i="3"/>
  <c r="O870" i="3"/>
  <c r="N870" i="3"/>
  <c r="F870" i="3"/>
  <c r="E870" i="3"/>
  <c r="O869" i="3"/>
  <c r="N869" i="3"/>
  <c r="F869" i="3"/>
  <c r="E869" i="3"/>
  <c r="O868" i="3"/>
  <c r="N868" i="3"/>
  <c r="F868" i="3"/>
  <c r="E868" i="3"/>
  <c r="O867" i="3"/>
  <c r="N867" i="3"/>
  <c r="F867" i="3"/>
  <c r="E867" i="3"/>
  <c r="O866" i="3"/>
  <c r="N866" i="3"/>
  <c r="F866" i="3"/>
  <c r="E866" i="3"/>
  <c r="O865" i="3"/>
  <c r="N865" i="3"/>
  <c r="F865" i="3"/>
  <c r="E865" i="3"/>
  <c r="O864" i="3"/>
  <c r="N864" i="3"/>
  <c r="F864" i="3"/>
  <c r="E864" i="3"/>
  <c r="O863" i="3"/>
  <c r="N863" i="3"/>
  <c r="F863" i="3"/>
  <c r="E863" i="3"/>
  <c r="O862" i="3"/>
  <c r="N862" i="3"/>
  <c r="F862" i="3"/>
  <c r="E862" i="3"/>
  <c r="O861" i="3"/>
  <c r="N861" i="3"/>
  <c r="F861" i="3"/>
  <c r="E861" i="3"/>
  <c r="O860" i="3"/>
  <c r="N860" i="3"/>
  <c r="F860" i="3"/>
  <c r="E860" i="3"/>
  <c r="O859" i="3"/>
  <c r="N859" i="3"/>
  <c r="F859" i="3"/>
  <c r="E859" i="3"/>
  <c r="O858" i="3"/>
  <c r="N858" i="3"/>
  <c r="F858" i="3"/>
  <c r="E858" i="3"/>
  <c r="O857" i="3"/>
  <c r="N857" i="3"/>
  <c r="F857" i="3"/>
  <c r="E857" i="3"/>
  <c r="O856" i="3"/>
  <c r="N856" i="3"/>
  <c r="F856" i="3"/>
  <c r="E856" i="3"/>
  <c r="O855" i="3"/>
  <c r="N855" i="3"/>
  <c r="F855" i="3"/>
  <c r="E855" i="3"/>
  <c r="O854" i="3"/>
  <c r="N854" i="3"/>
  <c r="F854" i="3"/>
  <c r="E854" i="3"/>
  <c r="O853" i="3"/>
  <c r="N853" i="3"/>
  <c r="F853" i="3"/>
  <c r="E853" i="3"/>
  <c r="O852" i="3"/>
  <c r="N852" i="3"/>
  <c r="F852" i="3"/>
  <c r="E852" i="3"/>
  <c r="O851" i="3"/>
  <c r="N851" i="3"/>
  <c r="F851" i="3"/>
  <c r="E851" i="3"/>
  <c r="O850" i="3"/>
  <c r="N850" i="3"/>
  <c r="F850" i="3"/>
  <c r="E850" i="3"/>
  <c r="O849" i="3"/>
  <c r="N849" i="3"/>
  <c r="F849" i="3"/>
  <c r="E849" i="3"/>
  <c r="O848" i="3"/>
  <c r="N848" i="3"/>
  <c r="F848" i="3"/>
  <c r="E848" i="3"/>
  <c r="O847" i="3"/>
  <c r="N847" i="3"/>
  <c r="F847" i="3"/>
  <c r="E847" i="3"/>
  <c r="O846" i="3"/>
  <c r="N846" i="3"/>
  <c r="F846" i="3"/>
  <c r="E846" i="3"/>
  <c r="O845" i="3"/>
  <c r="N845" i="3"/>
  <c r="F845" i="3"/>
  <c r="E845" i="3"/>
  <c r="O844" i="3"/>
  <c r="N844" i="3"/>
  <c r="F844" i="3"/>
  <c r="E844" i="3"/>
  <c r="O843" i="3"/>
  <c r="N843" i="3"/>
  <c r="F843" i="3"/>
  <c r="E843" i="3"/>
  <c r="O842" i="3"/>
  <c r="N842" i="3"/>
  <c r="F842" i="3"/>
  <c r="E842" i="3"/>
  <c r="O841" i="3"/>
  <c r="N841" i="3"/>
  <c r="F841" i="3"/>
  <c r="E841" i="3"/>
  <c r="O840" i="3"/>
  <c r="N840" i="3"/>
  <c r="F840" i="3"/>
  <c r="E840" i="3"/>
  <c r="O839" i="3"/>
  <c r="N839" i="3"/>
  <c r="F839" i="3"/>
  <c r="E839" i="3"/>
  <c r="O838" i="3"/>
  <c r="N838" i="3"/>
  <c r="F838" i="3"/>
  <c r="E838" i="3"/>
  <c r="O837" i="3"/>
  <c r="N837" i="3"/>
  <c r="F837" i="3"/>
  <c r="E837" i="3"/>
  <c r="O836" i="3"/>
  <c r="N836" i="3"/>
  <c r="F836" i="3"/>
  <c r="E836" i="3"/>
  <c r="O835" i="3"/>
  <c r="N835" i="3"/>
  <c r="F835" i="3"/>
  <c r="E835" i="3"/>
  <c r="O834" i="3"/>
  <c r="N834" i="3"/>
  <c r="F834" i="3"/>
  <c r="E834" i="3"/>
  <c r="O833" i="3"/>
  <c r="N833" i="3"/>
  <c r="F833" i="3"/>
  <c r="E833" i="3"/>
  <c r="O832" i="3"/>
  <c r="N832" i="3"/>
  <c r="F832" i="3"/>
  <c r="E832" i="3"/>
  <c r="O831" i="3"/>
  <c r="N831" i="3"/>
  <c r="F831" i="3"/>
  <c r="E831" i="3"/>
  <c r="O830" i="3"/>
  <c r="N830" i="3"/>
  <c r="F830" i="3"/>
  <c r="E830" i="3"/>
  <c r="O829" i="3"/>
  <c r="N829" i="3"/>
  <c r="F829" i="3"/>
  <c r="E829" i="3"/>
  <c r="O828" i="3"/>
  <c r="N828" i="3"/>
  <c r="F828" i="3"/>
  <c r="E828" i="3"/>
  <c r="O827" i="3"/>
  <c r="N827" i="3"/>
  <c r="F827" i="3"/>
  <c r="E827" i="3"/>
  <c r="O826" i="3"/>
  <c r="N826" i="3"/>
  <c r="F826" i="3"/>
  <c r="E826" i="3"/>
  <c r="O825" i="3"/>
  <c r="N825" i="3"/>
  <c r="F825" i="3"/>
  <c r="E825" i="3"/>
  <c r="O824" i="3"/>
  <c r="N824" i="3"/>
  <c r="F824" i="3"/>
  <c r="E824" i="3"/>
  <c r="O823" i="3"/>
  <c r="N823" i="3"/>
  <c r="F823" i="3"/>
  <c r="E823" i="3"/>
  <c r="O822" i="3"/>
  <c r="N822" i="3"/>
  <c r="F822" i="3"/>
  <c r="E822" i="3"/>
  <c r="O821" i="3"/>
  <c r="N821" i="3"/>
  <c r="F821" i="3"/>
  <c r="E821" i="3"/>
  <c r="O820" i="3"/>
  <c r="N820" i="3"/>
  <c r="F820" i="3"/>
  <c r="E820" i="3"/>
  <c r="O819" i="3"/>
  <c r="N819" i="3"/>
  <c r="F819" i="3"/>
  <c r="E819" i="3"/>
  <c r="O818" i="3"/>
  <c r="N818" i="3"/>
  <c r="F818" i="3"/>
  <c r="E818" i="3"/>
  <c r="O817" i="3"/>
  <c r="N817" i="3"/>
  <c r="F817" i="3"/>
  <c r="E817" i="3"/>
  <c r="O816" i="3"/>
  <c r="N816" i="3"/>
  <c r="F816" i="3"/>
  <c r="E816" i="3"/>
  <c r="O815" i="3"/>
  <c r="N815" i="3"/>
  <c r="F815" i="3"/>
  <c r="E815" i="3"/>
  <c r="O814" i="3"/>
  <c r="N814" i="3"/>
  <c r="F814" i="3"/>
  <c r="E814" i="3"/>
  <c r="O813" i="3"/>
  <c r="N813" i="3"/>
  <c r="F813" i="3"/>
  <c r="E813" i="3"/>
  <c r="O812" i="3"/>
  <c r="N812" i="3"/>
  <c r="F812" i="3"/>
  <c r="E812" i="3"/>
  <c r="O811" i="3"/>
  <c r="N811" i="3"/>
  <c r="F811" i="3"/>
  <c r="E811" i="3"/>
  <c r="O810" i="3"/>
  <c r="N810" i="3"/>
  <c r="F810" i="3"/>
  <c r="E810" i="3"/>
  <c r="O809" i="3"/>
  <c r="N809" i="3"/>
  <c r="F809" i="3"/>
  <c r="E809" i="3"/>
  <c r="O808" i="3"/>
  <c r="N808" i="3"/>
  <c r="F808" i="3"/>
  <c r="E808" i="3"/>
  <c r="O807" i="3"/>
  <c r="N807" i="3"/>
  <c r="F807" i="3"/>
  <c r="E807" i="3"/>
  <c r="O806" i="3"/>
  <c r="N806" i="3"/>
  <c r="F806" i="3"/>
  <c r="E806" i="3"/>
  <c r="O805" i="3"/>
  <c r="N805" i="3"/>
  <c r="F805" i="3"/>
  <c r="E805" i="3"/>
  <c r="O804" i="3"/>
  <c r="N804" i="3"/>
  <c r="F804" i="3"/>
  <c r="E804" i="3"/>
  <c r="O803" i="3"/>
  <c r="N803" i="3"/>
  <c r="F803" i="3"/>
  <c r="E803" i="3"/>
  <c r="O802" i="3"/>
  <c r="N802" i="3"/>
  <c r="F802" i="3"/>
  <c r="E802" i="3"/>
  <c r="O801" i="3"/>
  <c r="N801" i="3"/>
  <c r="F801" i="3"/>
  <c r="E801" i="3"/>
  <c r="O800" i="3"/>
  <c r="N800" i="3"/>
  <c r="F800" i="3"/>
  <c r="E800" i="3"/>
  <c r="O799" i="3"/>
  <c r="N799" i="3"/>
  <c r="F799" i="3"/>
  <c r="E799" i="3"/>
  <c r="O798" i="3"/>
  <c r="N798" i="3"/>
  <c r="F798" i="3"/>
  <c r="E798" i="3"/>
  <c r="O797" i="3"/>
  <c r="N797" i="3"/>
  <c r="F797" i="3"/>
  <c r="E797" i="3"/>
  <c r="O796" i="3"/>
  <c r="N796" i="3"/>
  <c r="F796" i="3"/>
  <c r="E796" i="3"/>
  <c r="O795" i="3"/>
  <c r="N795" i="3"/>
  <c r="F795" i="3"/>
  <c r="E795" i="3"/>
  <c r="O794" i="3"/>
  <c r="N794" i="3"/>
  <c r="F794" i="3"/>
  <c r="E794" i="3"/>
  <c r="O793" i="3"/>
  <c r="N793" i="3"/>
  <c r="F793" i="3"/>
  <c r="E793" i="3"/>
  <c r="O792" i="3"/>
  <c r="N792" i="3"/>
  <c r="F792" i="3"/>
  <c r="E792" i="3"/>
  <c r="O791" i="3"/>
  <c r="N791" i="3"/>
  <c r="F791" i="3"/>
  <c r="E791" i="3"/>
  <c r="O790" i="3"/>
  <c r="N790" i="3"/>
  <c r="F790" i="3"/>
  <c r="E790" i="3"/>
  <c r="O789" i="3"/>
  <c r="N789" i="3"/>
  <c r="F789" i="3"/>
  <c r="E789" i="3"/>
  <c r="O788" i="3"/>
  <c r="N788" i="3"/>
  <c r="F788" i="3"/>
  <c r="E788" i="3"/>
  <c r="O787" i="3"/>
  <c r="N787" i="3"/>
  <c r="F787" i="3"/>
  <c r="E787" i="3"/>
  <c r="O786" i="3"/>
  <c r="N786" i="3"/>
  <c r="F786" i="3"/>
  <c r="E786" i="3"/>
  <c r="O785" i="3"/>
  <c r="N785" i="3"/>
  <c r="F785" i="3"/>
  <c r="E785" i="3"/>
  <c r="O784" i="3"/>
  <c r="N784" i="3"/>
  <c r="F784" i="3"/>
  <c r="E784" i="3"/>
  <c r="O783" i="3"/>
  <c r="N783" i="3"/>
  <c r="F783" i="3"/>
  <c r="E783" i="3"/>
  <c r="O782" i="3"/>
  <c r="N782" i="3"/>
  <c r="F782" i="3"/>
  <c r="E782" i="3"/>
  <c r="O781" i="3"/>
  <c r="N781" i="3"/>
  <c r="F781" i="3"/>
  <c r="E781" i="3"/>
  <c r="O780" i="3"/>
  <c r="N780" i="3"/>
  <c r="F780" i="3"/>
  <c r="E780" i="3"/>
  <c r="O779" i="3"/>
  <c r="N779" i="3"/>
  <c r="F779" i="3"/>
  <c r="E779" i="3"/>
  <c r="O778" i="3"/>
  <c r="N778" i="3"/>
  <c r="F778" i="3"/>
  <c r="E778" i="3"/>
  <c r="O777" i="3"/>
  <c r="N777" i="3"/>
  <c r="F777" i="3"/>
  <c r="E777" i="3"/>
  <c r="O776" i="3"/>
  <c r="N776" i="3"/>
  <c r="F776" i="3"/>
  <c r="E776" i="3"/>
  <c r="O775" i="3"/>
  <c r="N775" i="3"/>
  <c r="F775" i="3"/>
  <c r="E775" i="3"/>
  <c r="O774" i="3"/>
  <c r="N774" i="3"/>
  <c r="F774" i="3"/>
  <c r="E774" i="3"/>
  <c r="O773" i="3"/>
  <c r="N773" i="3"/>
  <c r="F773" i="3"/>
  <c r="E773" i="3"/>
  <c r="O772" i="3"/>
  <c r="N772" i="3"/>
  <c r="F772" i="3"/>
  <c r="E772" i="3"/>
  <c r="O771" i="3"/>
  <c r="N771" i="3"/>
  <c r="F771" i="3"/>
  <c r="E771" i="3"/>
  <c r="O770" i="3"/>
  <c r="N770" i="3"/>
  <c r="F770" i="3"/>
  <c r="E770" i="3"/>
  <c r="O769" i="3"/>
  <c r="N769" i="3"/>
  <c r="F769" i="3"/>
  <c r="E769" i="3"/>
  <c r="O768" i="3"/>
  <c r="N768" i="3"/>
  <c r="F768" i="3"/>
  <c r="E768" i="3"/>
  <c r="O767" i="3"/>
  <c r="N767" i="3"/>
  <c r="F767" i="3"/>
  <c r="E767" i="3"/>
  <c r="O766" i="3"/>
  <c r="N766" i="3"/>
  <c r="F766" i="3"/>
  <c r="E766" i="3"/>
  <c r="O765" i="3"/>
  <c r="N765" i="3"/>
  <c r="F765" i="3"/>
  <c r="E765" i="3"/>
  <c r="O764" i="3"/>
  <c r="N764" i="3"/>
  <c r="F764" i="3"/>
  <c r="E764" i="3"/>
  <c r="O763" i="3"/>
  <c r="N763" i="3"/>
  <c r="F763" i="3"/>
  <c r="E763" i="3"/>
  <c r="O762" i="3"/>
  <c r="N762" i="3"/>
  <c r="F762" i="3"/>
  <c r="E762" i="3"/>
  <c r="O761" i="3"/>
  <c r="N761" i="3"/>
  <c r="F761" i="3"/>
  <c r="E761" i="3"/>
  <c r="O760" i="3"/>
  <c r="N760" i="3"/>
  <c r="F760" i="3"/>
  <c r="E760" i="3"/>
  <c r="O759" i="3"/>
  <c r="N759" i="3"/>
  <c r="F759" i="3"/>
  <c r="E759" i="3"/>
  <c r="O758" i="3"/>
  <c r="N758" i="3"/>
  <c r="F758" i="3"/>
  <c r="E758" i="3"/>
  <c r="O757" i="3"/>
  <c r="N757" i="3"/>
  <c r="F757" i="3"/>
  <c r="E757" i="3"/>
  <c r="O756" i="3"/>
  <c r="N756" i="3"/>
  <c r="L756" i="3"/>
  <c r="F756" i="3"/>
  <c r="E756" i="3"/>
  <c r="O755" i="3"/>
  <c r="N755" i="3"/>
  <c r="F755" i="3"/>
  <c r="E755" i="3"/>
  <c r="O754" i="3"/>
  <c r="N754" i="3"/>
  <c r="F754" i="3"/>
  <c r="E754" i="3"/>
  <c r="O753" i="3"/>
  <c r="N753" i="3"/>
  <c r="F753" i="3"/>
  <c r="E753" i="3"/>
  <c r="O752" i="3"/>
  <c r="N752" i="3"/>
  <c r="F752" i="3"/>
  <c r="E752" i="3"/>
  <c r="O751" i="3"/>
  <c r="N751" i="3"/>
  <c r="F751" i="3"/>
  <c r="E751" i="3"/>
  <c r="O750" i="3"/>
  <c r="N750" i="3"/>
  <c r="F750" i="3"/>
  <c r="E750" i="3"/>
  <c r="O749" i="3"/>
  <c r="N749" i="3"/>
  <c r="F749" i="3"/>
  <c r="E749" i="3"/>
  <c r="O748" i="3"/>
  <c r="N748" i="3"/>
  <c r="F748" i="3"/>
  <c r="E748" i="3"/>
  <c r="O747" i="3"/>
  <c r="N747" i="3"/>
  <c r="F747" i="3"/>
  <c r="E747" i="3"/>
  <c r="O746" i="3"/>
  <c r="N746" i="3"/>
  <c r="F746" i="3"/>
  <c r="E746" i="3"/>
  <c r="O745" i="3"/>
  <c r="N745" i="3"/>
  <c r="F745" i="3"/>
  <c r="E745" i="3"/>
  <c r="O744" i="3"/>
  <c r="N744" i="3"/>
  <c r="F744" i="3"/>
  <c r="E744" i="3"/>
  <c r="O743" i="3"/>
  <c r="N743" i="3"/>
  <c r="F743" i="3"/>
  <c r="E743" i="3"/>
  <c r="O742" i="3"/>
  <c r="N742" i="3"/>
  <c r="F742" i="3"/>
  <c r="E742" i="3"/>
  <c r="O741" i="3"/>
  <c r="N741" i="3"/>
  <c r="F741" i="3"/>
  <c r="E741" i="3"/>
  <c r="O740" i="3"/>
  <c r="N740" i="3"/>
  <c r="F740" i="3"/>
  <c r="E740" i="3"/>
  <c r="O739" i="3"/>
  <c r="N739" i="3"/>
  <c r="F739" i="3"/>
  <c r="E739" i="3"/>
  <c r="O738" i="3"/>
  <c r="N738" i="3"/>
  <c r="F738" i="3"/>
  <c r="E738" i="3"/>
  <c r="O737" i="3"/>
  <c r="N737" i="3"/>
  <c r="F737" i="3"/>
  <c r="E737" i="3"/>
  <c r="O736" i="3"/>
  <c r="N736" i="3"/>
  <c r="F736" i="3"/>
  <c r="E736" i="3"/>
  <c r="O735" i="3"/>
  <c r="N735" i="3"/>
  <c r="F735" i="3"/>
  <c r="E735" i="3"/>
  <c r="O734" i="3"/>
  <c r="N734" i="3"/>
  <c r="F734" i="3"/>
  <c r="E734" i="3"/>
  <c r="O733" i="3"/>
  <c r="N733" i="3"/>
  <c r="F733" i="3"/>
  <c r="E733" i="3"/>
  <c r="O732" i="3"/>
  <c r="N732" i="3"/>
  <c r="F732" i="3"/>
  <c r="E732" i="3"/>
  <c r="O731" i="3"/>
  <c r="N731" i="3"/>
  <c r="F731" i="3"/>
  <c r="E731" i="3"/>
  <c r="O730" i="3"/>
  <c r="N730" i="3"/>
  <c r="F730" i="3"/>
  <c r="E730" i="3"/>
  <c r="O729" i="3"/>
  <c r="N729" i="3"/>
  <c r="F729" i="3"/>
  <c r="E729" i="3"/>
  <c r="O728" i="3"/>
  <c r="N728" i="3"/>
  <c r="F728" i="3"/>
  <c r="E728" i="3"/>
  <c r="O727" i="3"/>
  <c r="N727" i="3"/>
  <c r="F727" i="3"/>
  <c r="E727" i="3"/>
  <c r="O726" i="3"/>
  <c r="N726" i="3"/>
  <c r="F726" i="3"/>
  <c r="E726" i="3"/>
  <c r="O725" i="3"/>
  <c r="N725" i="3"/>
  <c r="F725" i="3"/>
  <c r="E725" i="3"/>
  <c r="O724" i="3"/>
  <c r="N724" i="3"/>
  <c r="F724" i="3"/>
  <c r="E724" i="3"/>
  <c r="O723" i="3"/>
  <c r="N723" i="3"/>
  <c r="F723" i="3"/>
  <c r="E723" i="3"/>
  <c r="O722" i="3"/>
  <c r="N722" i="3"/>
  <c r="F722" i="3"/>
  <c r="E722" i="3"/>
  <c r="O721" i="3"/>
  <c r="N721" i="3"/>
  <c r="F721" i="3"/>
  <c r="E721" i="3"/>
  <c r="O720" i="3"/>
  <c r="N720" i="3"/>
  <c r="F720" i="3"/>
  <c r="E720" i="3"/>
  <c r="O719" i="3"/>
  <c r="N719" i="3"/>
  <c r="F719" i="3"/>
  <c r="E719" i="3"/>
  <c r="O718" i="3"/>
  <c r="N718" i="3"/>
  <c r="F718" i="3"/>
  <c r="E718" i="3"/>
  <c r="O717" i="3"/>
  <c r="N717" i="3"/>
  <c r="F717" i="3"/>
  <c r="E717" i="3"/>
  <c r="O716" i="3"/>
  <c r="N716" i="3"/>
  <c r="F716" i="3"/>
  <c r="E716" i="3"/>
  <c r="O715" i="3"/>
  <c r="N715" i="3"/>
  <c r="F715" i="3"/>
  <c r="E715" i="3"/>
  <c r="O714" i="3"/>
  <c r="N714" i="3"/>
  <c r="F714" i="3"/>
  <c r="E714" i="3"/>
  <c r="O713" i="3"/>
  <c r="N713" i="3"/>
  <c r="F713" i="3"/>
  <c r="E713" i="3"/>
  <c r="O712" i="3"/>
  <c r="N712" i="3"/>
  <c r="F712" i="3"/>
  <c r="E712" i="3"/>
  <c r="O711" i="3"/>
  <c r="N711" i="3"/>
  <c r="F711" i="3"/>
  <c r="E711" i="3"/>
  <c r="O710" i="3"/>
  <c r="N710" i="3"/>
  <c r="F710" i="3"/>
  <c r="E710" i="3"/>
  <c r="O709" i="3"/>
  <c r="N709" i="3"/>
  <c r="F709" i="3"/>
  <c r="E709" i="3"/>
  <c r="O708" i="3"/>
  <c r="N708" i="3"/>
  <c r="F708" i="3"/>
  <c r="E708" i="3"/>
  <c r="O707" i="3"/>
  <c r="N707" i="3"/>
  <c r="F707" i="3"/>
  <c r="E707" i="3"/>
  <c r="O706" i="3"/>
  <c r="N706" i="3"/>
  <c r="F706" i="3"/>
  <c r="E706" i="3"/>
  <c r="O705" i="3"/>
  <c r="N705" i="3"/>
  <c r="F705" i="3"/>
  <c r="E705" i="3"/>
  <c r="O704" i="3"/>
  <c r="N704" i="3"/>
  <c r="F704" i="3"/>
  <c r="E704" i="3"/>
  <c r="O703" i="3"/>
  <c r="N703" i="3"/>
  <c r="F703" i="3"/>
  <c r="E703" i="3"/>
  <c r="O702" i="3"/>
  <c r="N702" i="3"/>
  <c r="F702" i="3"/>
  <c r="E702" i="3"/>
  <c r="O701" i="3"/>
  <c r="N701" i="3"/>
  <c r="F701" i="3"/>
  <c r="E701" i="3"/>
  <c r="O700" i="3"/>
  <c r="N700" i="3"/>
  <c r="F700" i="3"/>
  <c r="E700" i="3"/>
  <c r="O699" i="3"/>
  <c r="N699" i="3"/>
  <c r="F699" i="3"/>
  <c r="E699" i="3"/>
  <c r="O698" i="3"/>
  <c r="N698" i="3"/>
  <c r="F698" i="3"/>
  <c r="E698" i="3"/>
  <c r="O697" i="3"/>
  <c r="N697" i="3"/>
  <c r="F697" i="3"/>
  <c r="E697" i="3"/>
  <c r="O696" i="3"/>
  <c r="N696" i="3"/>
  <c r="F696" i="3"/>
  <c r="E696" i="3"/>
  <c r="O695" i="3"/>
  <c r="N695" i="3"/>
  <c r="F695" i="3"/>
  <c r="E695" i="3"/>
  <c r="O694" i="3"/>
  <c r="N694" i="3"/>
  <c r="F694" i="3"/>
  <c r="E694" i="3"/>
  <c r="O693" i="3"/>
  <c r="N693" i="3"/>
  <c r="F693" i="3"/>
  <c r="E693" i="3"/>
  <c r="O692" i="3"/>
  <c r="N692" i="3"/>
  <c r="F692" i="3"/>
  <c r="E692" i="3"/>
  <c r="O691" i="3"/>
  <c r="N691" i="3"/>
  <c r="F691" i="3"/>
  <c r="E691" i="3"/>
  <c r="O690" i="3"/>
  <c r="N690" i="3"/>
  <c r="F690" i="3"/>
  <c r="E690" i="3"/>
  <c r="O689" i="3"/>
  <c r="N689" i="3"/>
  <c r="F689" i="3"/>
  <c r="E689" i="3"/>
  <c r="O688" i="3"/>
  <c r="N688" i="3"/>
  <c r="F688" i="3"/>
  <c r="E688" i="3"/>
  <c r="O687" i="3"/>
  <c r="N687" i="3"/>
  <c r="F687" i="3"/>
  <c r="E687" i="3"/>
  <c r="O686" i="3"/>
  <c r="N686" i="3"/>
  <c r="F686" i="3"/>
  <c r="E686" i="3"/>
  <c r="O685" i="3"/>
  <c r="N685" i="3"/>
  <c r="F685" i="3"/>
  <c r="E685" i="3"/>
  <c r="O684" i="3"/>
  <c r="N684" i="3"/>
  <c r="F684" i="3"/>
  <c r="E684" i="3"/>
  <c r="O683" i="3"/>
  <c r="N683" i="3"/>
  <c r="F683" i="3"/>
  <c r="E683" i="3"/>
  <c r="O682" i="3"/>
  <c r="N682" i="3"/>
  <c r="F682" i="3"/>
  <c r="E682" i="3"/>
  <c r="O681" i="3"/>
  <c r="N681" i="3"/>
  <c r="F681" i="3"/>
  <c r="E681" i="3"/>
  <c r="O680" i="3"/>
  <c r="N680" i="3"/>
  <c r="F680" i="3"/>
  <c r="E680" i="3"/>
  <c r="O679" i="3"/>
  <c r="N679" i="3"/>
  <c r="F679" i="3"/>
  <c r="E679" i="3"/>
  <c r="O678" i="3"/>
  <c r="N678" i="3"/>
  <c r="F678" i="3"/>
  <c r="E678" i="3"/>
  <c r="O677" i="3"/>
  <c r="N677" i="3"/>
  <c r="F677" i="3"/>
  <c r="E677" i="3"/>
  <c r="O676" i="3"/>
  <c r="N676" i="3"/>
  <c r="F676" i="3"/>
  <c r="E676" i="3"/>
  <c r="O675" i="3"/>
  <c r="N675" i="3"/>
  <c r="F675" i="3"/>
  <c r="E675" i="3"/>
  <c r="O674" i="3"/>
  <c r="N674" i="3"/>
  <c r="F674" i="3"/>
  <c r="E674" i="3"/>
  <c r="O673" i="3"/>
  <c r="N673" i="3"/>
  <c r="F673" i="3"/>
  <c r="E673" i="3"/>
  <c r="O672" i="3"/>
  <c r="N672" i="3"/>
  <c r="F672" i="3"/>
  <c r="E672" i="3"/>
  <c r="O671" i="3"/>
  <c r="N671" i="3"/>
  <c r="F671" i="3"/>
  <c r="E671" i="3"/>
  <c r="O670" i="3"/>
  <c r="N670" i="3"/>
  <c r="F670" i="3"/>
  <c r="E670" i="3"/>
  <c r="O669" i="3"/>
  <c r="N669" i="3"/>
  <c r="F669" i="3"/>
  <c r="E669" i="3"/>
  <c r="O668" i="3"/>
  <c r="N668" i="3"/>
  <c r="F668" i="3"/>
  <c r="E668" i="3"/>
  <c r="O667" i="3"/>
  <c r="N667" i="3"/>
  <c r="F667" i="3"/>
  <c r="E667" i="3"/>
  <c r="O666" i="3"/>
  <c r="N666" i="3"/>
  <c r="F666" i="3"/>
  <c r="E666" i="3"/>
  <c r="O665" i="3"/>
  <c r="N665" i="3"/>
  <c r="F665" i="3"/>
  <c r="E665" i="3"/>
  <c r="O664" i="3"/>
  <c r="N664" i="3"/>
  <c r="F664" i="3"/>
  <c r="E664" i="3"/>
  <c r="O663" i="3"/>
  <c r="N663" i="3"/>
  <c r="F663" i="3"/>
  <c r="E663" i="3"/>
  <c r="O662" i="3"/>
  <c r="N662" i="3"/>
  <c r="F662" i="3"/>
  <c r="E662" i="3"/>
  <c r="O661" i="3"/>
  <c r="N661" i="3"/>
  <c r="F661" i="3"/>
  <c r="E661" i="3"/>
  <c r="O660" i="3"/>
  <c r="N660" i="3"/>
  <c r="F660" i="3"/>
  <c r="E660" i="3"/>
  <c r="O659" i="3"/>
  <c r="N659" i="3"/>
  <c r="F659" i="3"/>
  <c r="E659" i="3"/>
  <c r="O658" i="3"/>
  <c r="N658" i="3"/>
  <c r="F658" i="3"/>
  <c r="E658" i="3"/>
  <c r="O657" i="3"/>
  <c r="N657" i="3"/>
  <c r="F657" i="3"/>
  <c r="E657" i="3"/>
  <c r="O656" i="3"/>
  <c r="N656" i="3"/>
  <c r="F656" i="3"/>
  <c r="E656" i="3"/>
  <c r="O655" i="3"/>
  <c r="N655" i="3"/>
  <c r="F655" i="3"/>
  <c r="E655" i="3"/>
  <c r="O654" i="3"/>
  <c r="N654" i="3"/>
  <c r="F654" i="3"/>
  <c r="E654" i="3"/>
  <c r="O653" i="3"/>
  <c r="N653" i="3"/>
  <c r="F653" i="3"/>
  <c r="E653" i="3"/>
  <c r="O652" i="3"/>
  <c r="N652" i="3"/>
  <c r="F652" i="3"/>
  <c r="E652" i="3"/>
  <c r="O651" i="3"/>
  <c r="N651" i="3"/>
  <c r="F651" i="3"/>
  <c r="E651" i="3"/>
  <c r="O650" i="3"/>
  <c r="N650" i="3"/>
  <c r="F650" i="3"/>
  <c r="E650" i="3"/>
  <c r="O649" i="3"/>
  <c r="N649" i="3"/>
  <c r="F649" i="3"/>
  <c r="E649" i="3"/>
  <c r="O648" i="3"/>
  <c r="N648" i="3"/>
  <c r="F648" i="3"/>
  <c r="E648" i="3"/>
  <c r="O647" i="3"/>
  <c r="N647" i="3"/>
  <c r="F647" i="3"/>
  <c r="E647" i="3"/>
  <c r="O646" i="3"/>
  <c r="N646" i="3"/>
  <c r="F646" i="3"/>
  <c r="E646" i="3"/>
  <c r="O645" i="3"/>
  <c r="N645" i="3"/>
  <c r="F645" i="3"/>
  <c r="E645" i="3"/>
  <c r="O644" i="3"/>
  <c r="N644" i="3"/>
  <c r="F644" i="3"/>
  <c r="E644" i="3"/>
  <c r="O643" i="3"/>
  <c r="N643" i="3"/>
  <c r="F643" i="3"/>
  <c r="E643" i="3"/>
  <c r="O642" i="3"/>
  <c r="N642" i="3"/>
  <c r="F642" i="3"/>
  <c r="E642" i="3"/>
  <c r="O641" i="3"/>
  <c r="N641" i="3"/>
  <c r="F641" i="3"/>
  <c r="E641" i="3"/>
  <c r="O640" i="3"/>
  <c r="N640" i="3"/>
  <c r="F640" i="3"/>
  <c r="E640" i="3"/>
  <c r="O639" i="3"/>
  <c r="N639" i="3"/>
  <c r="F639" i="3"/>
  <c r="E639" i="3"/>
  <c r="O638" i="3"/>
  <c r="N638" i="3"/>
  <c r="F638" i="3"/>
  <c r="E638" i="3"/>
  <c r="O637" i="3"/>
  <c r="N637" i="3"/>
  <c r="F637" i="3"/>
  <c r="E637" i="3"/>
  <c r="O636" i="3"/>
  <c r="N636" i="3"/>
  <c r="F636" i="3"/>
  <c r="E636" i="3"/>
  <c r="O635" i="3"/>
  <c r="N635" i="3"/>
  <c r="F635" i="3"/>
  <c r="E635" i="3"/>
  <c r="O634" i="3"/>
  <c r="N634" i="3"/>
  <c r="F634" i="3"/>
  <c r="E634" i="3"/>
  <c r="O633" i="3"/>
  <c r="N633" i="3"/>
  <c r="F633" i="3"/>
  <c r="E633" i="3"/>
  <c r="O632" i="3"/>
  <c r="N632" i="3"/>
  <c r="F632" i="3"/>
  <c r="E632" i="3"/>
  <c r="O631" i="3"/>
  <c r="N631" i="3"/>
  <c r="F631" i="3"/>
  <c r="E631" i="3"/>
  <c r="O630" i="3"/>
  <c r="N630" i="3"/>
  <c r="F630" i="3"/>
  <c r="E630" i="3"/>
  <c r="O629" i="3"/>
  <c r="N629" i="3"/>
  <c r="F629" i="3"/>
  <c r="E629" i="3"/>
  <c r="O628" i="3"/>
  <c r="N628" i="3"/>
  <c r="F628" i="3"/>
  <c r="E628" i="3"/>
  <c r="O627" i="3"/>
  <c r="N627" i="3"/>
  <c r="F627" i="3"/>
  <c r="E627" i="3"/>
  <c r="O626" i="3"/>
  <c r="N626" i="3"/>
  <c r="F626" i="3"/>
  <c r="E626" i="3"/>
  <c r="O625" i="3"/>
  <c r="N625" i="3"/>
  <c r="F625" i="3"/>
  <c r="E625" i="3"/>
  <c r="O624" i="3"/>
  <c r="N624" i="3"/>
  <c r="F624" i="3"/>
  <c r="E624" i="3"/>
  <c r="O623" i="3"/>
  <c r="N623" i="3"/>
  <c r="F623" i="3"/>
  <c r="E623" i="3"/>
  <c r="O622" i="3"/>
  <c r="N622" i="3"/>
  <c r="F622" i="3"/>
  <c r="E622" i="3"/>
  <c r="O621" i="3"/>
  <c r="N621" i="3"/>
  <c r="F621" i="3"/>
  <c r="E621" i="3"/>
  <c r="O620" i="3"/>
  <c r="N620" i="3"/>
  <c r="F620" i="3"/>
  <c r="E620" i="3"/>
  <c r="O619" i="3"/>
  <c r="N619" i="3"/>
  <c r="F619" i="3"/>
  <c r="E619" i="3"/>
  <c r="O618" i="3"/>
  <c r="N618" i="3"/>
  <c r="F618" i="3"/>
  <c r="E618" i="3"/>
  <c r="O617" i="3"/>
  <c r="N617" i="3"/>
  <c r="F617" i="3"/>
  <c r="E617" i="3"/>
  <c r="O616" i="3"/>
  <c r="N616" i="3"/>
  <c r="F616" i="3"/>
  <c r="E616" i="3"/>
  <c r="O615" i="3"/>
  <c r="N615" i="3"/>
  <c r="F615" i="3"/>
  <c r="E615" i="3"/>
  <c r="O614" i="3"/>
  <c r="N614" i="3"/>
  <c r="F614" i="3"/>
  <c r="E614" i="3"/>
  <c r="O613" i="3"/>
  <c r="N613" i="3"/>
  <c r="F613" i="3"/>
  <c r="E613" i="3"/>
  <c r="O612" i="3"/>
  <c r="N612" i="3"/>
  <c r="F612" i="3"/>
  <c r="E612" i="3"/>
  <c r="O611" i="3"/>
  <c r="N611" i="3"/>
  <c r="F611" i="3"/>
  <c r="E611" i="3"/>
  <c r="O610" i="3"/>
  <c r="N610" i="3"/>
  <c r="F610" i="3"/>
  <c r="E610" i="3"/>
  <c r="O609" i="3"/>
  <c r="N609" i="3"/>
  <c r="F609" i="3"/>
  <c r="E609" i="3"/>
  <c r="O608" i="3"/>
  <c r="N608" i="3"/>
  <c r="F608" i="3"/>
  <c r="E608" i="3"/>
  <c r="O607" i="3"/>
  <c r="N607" i="3"/>
  <c r="F607" i="3"/>
  <c r="E607" i="3"/>
  <c r="O606" i="3"/>
  <c r="N606" i="3"/>
  <c r="F606" i="3"/>
  <c r="E606" i="3"/>
  <c r="O605" i="3"/>
  <c r="N605" i="3"/>
  <c r="F605" i="3"/>
  <c r="E605" i="3"/>
  <c r="O604" i="3"/>
  <c r="N604" i="3"/>
  <c r="F604" i="3"/>
  <c r="E604" i="3"/>
  <c r="O603" i="3"/>
  <c r="N603" i="3"/>
  <c r="F603" i="3"/>
  <c r="E603" i="3"/>
  <c r="O602" i="3"/>
  <c r="N602" i="3"/>
  <c r="F602" i="3"/>
  <c r="E602" i="3"/>
  <c r="O601" i="3"/>
  <c r="N601" i="3"/>
  <c r="F601" i="3"/>
  <c r="E601" i="3"/>
  <c r="O600" i="3"/>
  <c r="N600" i="3"/>
  <c r="F600" i="3"/>
  <c r="E600" i="3"/>
  <c r="O599" i="3"/>
  <c r="N599" i="3"/>
  <c r="F599" i="3"/>
  <c r="E599" i="3"/>
  <c r="O598" i="3"/>
  <c r="N598" i="3"/>
  <c r="F598" i="3"/>
  <c r="E598" i="3"/>
  <c r="O597" i="3"/>
  <c r="N597" i="3"/>
  <c r="F597" i="3"/>
  <c r="E597" i="3"/>
  <c r="O596" i="3"/>
  <c r="N596" i="3"/>
  <c r="F596" i="3"/>
  <c r="E596" i="3"/>
  <c r="O595" i="3"/>
  <c r="N595" i="3"/>
  <c r="F595" i="3"/>
  <c r="E595" i="3"/>
  <c r="O594" i="3"/>
  <c r="N594" i="3"/>
  <c r="F594" i="3"/>
  <c r="E594" i="3"/>
  <c r="O593" i="3"/>
  <c r="N593" i="3"/>
  <c r="F593" i="3"/>
  <c r="E593" i="3"/>
  <c r="O592" i="3"/>
  <c r="N592" i="3"/>
  <c r="F592" i="3"/>
  <c r="E592" i="3"/>
  <c r="O591" i="3"/>
  <c r="N591" i="3"/>
  <c r="F591" i="3"/>
  <c r="E591" i="3"/>
  <c r="O590" i="3"/>
  <c r="N590" i="3"/>
  <c r="F590" i="3"/>
  <c r="E590" i="3"/>
  <c r="O589" i="3"/>
  <c r="N589" i="3"/>
  <c r="F589" i="3"/>
  <c r="E589" i="3"/>
  <c r="O588" i="3"/>
  <c r="N588" i="3"/>
  <c r="F588" i="3"/>
  <c r="E588" i="3"/>
  <c r="O587" i="3"/>
  <c r="N587" i="3"/>
  <c r="F587" i="3"/>
  <c r="E587" i="3"/>
  <c r="O586" i="3"/>
  <c r="N586" i="3"/>
  <c r="F586" i="3"/>
  <c r="E586" i="3"/>
  <c r="O585" i="3"/>
  <c r="N585" i="3"/>
  <c r="F585" i="3"/>
  <c r="E585" i="3"/>
  <c r="O584" i="3"/>
  <c r="N584" i="3"/>
  <c r="F584" i="3"/>
  <c r="E584" i="3"/>
  <c r="O583" i="3"/>
  <c r="N583" i="3"/>
  <c r="F583" i="3"/>
  <c r="E583" i="3"/>
  <c r="O582" i="3"/>
  <c r="N582" i="3"/>
  <c r="F582" i="3"/>
  <c r="E582" i="3"/>
  <c r="O581" i="3"/>
  <c r="N581" i="3"/>
  <c r="F581" i="3"/>
  <c r="E581" i="3"/>
  <c r="O580" i="3"/>
  <c r="N580" i="3"/>
  <c r="F580" i="3"/>
  <c r="E580" i="3"/>
  <c r="O579" i="3"/>
  <c r="N579" i="3"/>
  <c r="F579" i="3"/>
  <c r="E579" i="3"/>
  <c r="O578" i="3"/>
  <c r="N578" i="3"/>
  <c r="F578" i="3"/>
  <c r="E578" i="3"/>
  <c r="O577" i="3"/>
  <c r="N577" i="3"/>
  <c r="F577" i="3"/>
  <c r="E577" i="3"/>
  <c r="O576" i="3"/>
  <c r="N576" i="3"/>
  <c r="F576" i="3"/>
  <c r="E576" i="3"/>
  <c r="O575" i="3"/>
  <c r="N575" i="3"/>
  <c r="F575" i="3"/>
  <c r="E575" i="3"/>
  <c r="O574" i="3"/>
  <c r="N574" i="3"/>
  <c r="F574" i="3"/>
  <c r="E574" i="3"/>
  <c r="O573" i="3"/>
  <c r="N573" i="3"/>
  <c r="F573" i="3"/>
  <c r="E573" i="3"/>
  <c r="O572" i="3"/>
  <c r="N572" i="3"/>
  <c r="F572" i="3"/>
  <c r="E572" i="3"/>
  <c r="O571" i="3"/>
  <c r="N571" i="3"/>
  <c r="F571" i="3"/>
  <c r="E571" i="3"/>
  <c r="O570" i="3"/>
  <c r="N570" i="3"/>
  <c r="F570" i="3"/>
  <c r="E570" i="3"/>
  <c r="O569" i="3"/>
  <c r="N569" i="3"/>
  <c r="F569" i="3"/>
  <c r="E569" i="3"/>
  <c r="O568" i="3"/>
  <c r="N568" i="3"/>
  <c r="F568" i="3"/>
  <c r="E568" i="3"/>
  <c r="O567" i="3"/>
  <c r="N567" i="3"/>
  <c r="F567" i="3"/>
  <c r="E567" i="3"/>
  <c r="O566" i="3"/>
  <c r="N566" i="3"/>
  <c r="F566" i="3"/>
  <c r="E566" i="3"/>
  <c r="O565" i="3"/>
  <c r="N565" i="3"/>
  <c r="F565" i="3"/>
  <c r="E565" i="3"/>
  <c r="O564" i="3"/>
  <c r="N564" i="3"/>
  <c r="F564" i="3"/>
  <c r="E564" i="3"/>
  <c r="O563" i="3"/>
  <c r="N563" i="3"/>
  <c r="F563" i="3"/>
  <c r="E563" i="3"/>
  <c r="O562" i="3"/>
  <c r="N562" i="3"/>
  <c r="F562" i="3"/>
  <c r="E562" i="3"/>
  <c r="O561" i="3"/>
  <c r="N561" i="3"/>
  <c r="F561" i="3"/>
  <c r="E561" i="3"/>
  <c r="O560" i="3"/>
  <c r="N560" i="3"/>
  <c r="F560" i="3"/>
  <c r="E560" i="3"/>
  <c r="O559" i="3"/>
  <c r="N559" i="3"/>
  <c r="F559" i="3"/>
  <c r="E559" i="3"/>
  <c r="O558" i="3"/>
  <c r="N558" i="3"/>
  <c r="F558" i="3"/>
  <c r="E558" i="3"/>
  <c r="O557" i="3"/>
  <c r="N557" i="3"/>
  <c r="F557" i="3"/>
  <c r="E557" i="3"/>
  <c r="O556" i="3"/>
  <c r="N556" i="3"/>
  <c r="F556" i="3"/>
  <c r="E556" i="3"/>
  <c r="O555" i="3"/>
  <c r="N555" i="3"/>
  <c r="F555" i="3"/>
  <c r="E555" i="3"/>
  <c r="O554" i="3"/>
  <c r="N554" i="3"/>
  <c r="F554" i="3"/>
  <c r="E554" i="3"/>
  <c r="O553" i="3"/>
  <c r="N553" i="3"/>
  <c r="F553" i="3"/>
  <c r="E553" i="3"/>
  <c r="O552" i="3"/>
  <c r="N552" i="3"/>
  <c r="F552" i="3"/>
  <c r="E552" i="3"/>
  <c r="O551" i="3"/>
  <c r="N551" i="3"/>
  <c r="F551" i="3"/>
  <c r="E551" i="3"/>
  <c r="O550" i="3"/>
  <c r="N550" i="3"/>
  <c r="F550" i="3"/>
  <c r="E550" i="3"/>
  <c r="O549" i="3"/>
  <c r="N549" i="3"/>
  <c r="F549" i="3"/>
  <c r="E549" i="3"/>
  <c r="O548" i="3"/>
  <c r="N548" i="3"/>
  <c r="F548" i="3"/>
  <c r="E548" i="3"/>
  <c r="O547" i="3"/>
  <c r="N547" i="3"/>
  <c r="F547" i="3"/>
  <c r="E547" i="3"/>
  <c r="O546" i="3"/>
  <c r="N546" i="3"/>
  <c r="F546" i="3"/>
  <c r="E546" i="3"/>
  <c r="O545" i="3"/>
  <c r="N545" i="3"/>
  <c r="F545" i="3"/>
  <c r="E545" i="3"/>
  <c r="O544" i="3"/>
  <c r="N544" i="3"/>
  <c r="F544" i="3"/>
  <c r="E544" i="3"/>
  <c r="O543" i="3"/>
  <c r="N543" i="3"/>
  <c r="F543" i="3"/>
  <c r="E543" i="3"/>
  <c r="O542" i="3"/>
  <c r="N542" i="3"/>
  <c r="F542" i="3"/>
  <c r="E542" i="3"/>
  <c r="O541" i="3"/>
  <c r="N541" i="3"/>
  <c r="F541" i="3"/>
  <c r="E541" i="3"/>
  <c r="O540" i="3"/>
  <c r="N540" i="3"/>
  <c r="F540" i="3"/>
  <c r="E540" i="3"/>
  <c r="O539" i="3"/>
  <c r="N539" i="3"/>
  <c r="F539" i="3"/>
  <c r="E539" i="3"/>
  <c r="O538" i="3"/>
  <c r="N538" i="3"/>
  <c r="F538" i="3"/>
  <c r="E538" i="3"/>
  <c r="O537" i="3"/>
  <c r="N537" i="3"/>
  <c r="F537" i="3"/>
  <c r="E537" i="3"/>
  <c r="O536" i="3"/>
  <c r="N536" i="3"/>
  <c r="F536" i="3"/>
  <c r="E536" i="3"/>
  <c r="O535" i="3"/>
  <c r="N535" i="3"/>
  <c r="F535" i="3"/>
  <c r="E535" i="3"/>
  <c r="O534" i="3"/>
  <c r="N534" i="3"/>
  <c r="F534" i="3"/>
  <c r="E534" i="3"/>
  <c r="O533" i="3"/>
  <c r="N533" i="3"/>
  <c r="F533" i="3"/>
  <c r="E533" i="3"/>
  <c r="O532" i="3"/>
  <c r="N532" i="3"/>
  <c r="F532" i="3"/>
  <c r="E532" i="3"/>
  <c r="O531" i="3"/>
  <c r="N531" i="3"/>
  <c r="F531" i="3"/>
  <c r="E531" i="3"/>
  <c r="O530" i="3"/>
  <c r="N530" i="3"/>
  <c r="F530" i="3"/>
  <c r="E530" i="3"/>
  <c r="O529" i="3"/>
  <c r="N529" i="3"/>
  <c r="F529" i="3"/>
  <c r="E529" i="3"/>
  <c r="O528" i="3"/>
  <c r="N528" i="3"/>
  <c r="F528" i="3"/>
  <c r="E528" i="3"/>
  <c r="O527" i="3"/>
  <c r="N527" i="3"/>
  <c r="F527" i="3"/>
  <c r="E527" i="3"/>
  <c r="O526" i="3"/>
  <c r="N526" i="3"/>
  <c r="F526" i="3"/>
  <c r="E526" i="3"/>
  <c r="O525" i="3"/>
  <c r="N525" i="3"/>
  <c r="F525" i="3"/>
  <c r="E525" i="3"/>
  <c r="O524" i="3"/>
  <c r="N524" i="3"/>
  <c r="F524" i="3"/>
  <c r="E524" i="3"/>
  <c r="O523" i="3"/>
  <c r="N523" i="3"/>
  <c r="F523" i="3"/>
  <c r="E523" i="3"/>
  <c r="O522" i="3"/>
  <c r="N522" i="3"/>
  <c r="F522" i="3"/>
  <c r="E522" i="3"/>
  <c r="O521" i="3"/>
  <c r="N521" i="3"/>
  <c r="F521" i="3"/>
  <c r="E521" i="3"/>
  <c r="O520" i="3"/>
  <c r="N520" i="3"/>
  <c r="F520" i="3"/>
  <c r="E520" i="3"/>
  <c r="O519" i="3"/>
  <c r="N519" i="3"/>
  <c r="F519" i="3"/>
  <c r="E519" i="3"/>
  <c r="O518" i="3"/>
  <c r="N518" i="3"/>
  <c r="F518" i="3"/>
  <c r="E518" i="3"/>
  <c r="O517" i="3"/>
  <c r="N517" i="3"/>
  <c r="F517" i="3"/>
  <c r="E517" i="3"/>
  <c r="O516" i="3"/>
  <c r="N516" i="3"/>
  <c r="F516" i="3"/>
  <c r="E516" i="3"/>
  <c r="O515" i="3"/>
  <c r="N515" i="3"/>
  <c r="F515" i="3"/>
  <c r="E515" i="3"/>
  <c r="O514" i="3"/>
  <c r="N514" i="3"/>
  <c r="F514" i="3"/>
  <c r="E514" i="3"/>
  <c r="O513" i="3"/>
  <c r="N513" i="3"/>
  <c r="F513" i="3"/>
  <c r="E513" i="3"/>
  <c r="O512" i="3"/>
  <c r="N512" i="3"/>
  <c r="F512" i="3"/>
  <c r="E512" i="3"/>
  <c r="O511" i="3"/>
  <c r="N511" i="3"/>
  <c r="F511" i="3"/>
  <c r="E511" i="3"/>
  <c r="O510" i="3"/>
  <c r="N510" i="3"/>
  <c r="F510" i="3"/>
  <c r="E510" i="3"/>
  <c r="O509" i="3"/>
  <c r="N509" i="3"/>
  <c r="F509" i="3"/>
  <c r="E509" i="3"/>
  <c r="O508" i="3"/>
  <c r="N508" i="3"/>
  <c r="F508" i="3"/>
  <c r="E508" i="3"/>
  <c r="O507" i="3"/>
  <c r="N507" i="3"/>
  <c r="F507" i="3"/>
  <c r="E507" i="3"/>
  <c r="O506" i="3"/>
  <c r="N506" i="3"/>
  <c r="F506" i="3"/>
  <c r="E506" i="3"/>
  <c r="O505" i="3"/>
  <c r="N505" i="3"/>
  <c r="F505" i="3"/>
  <c r="E505" i="3"/>
  <c r="O504" i="3"/>
  <c r="N504" i="3"/>
  <c r="F504" i="3"/>
  <c r="E504" i="3"/>
  <c r="O503" i="3"/>
  <c r="N503" i="3"/>
  <c r="F503" i="3"/>
  <c r="E503" i="3"/>
  <c r="O502" i="3"/>
  <c r="N502" i="3"/>
  <c r="F502" i="3"/>
  <c r="E502" i="3"/>
  <c r="O501" i="3"/>
  <c r="N501" i="3"/>
  <c r="F501" i="3"/>
  <c r="E501" i="3"/>
  <c r="O500" i="3"/>
  <c r="N500" i="3"/>
  <c r="F500" i="3"/>
  <c r="E500" i="3"/>
  <c r="O499" i="3"/>
  <c r="N499" i="3"/>
  <c r="F499" i="3"/>
  <c r="E499" i="3"/>
  <c r="O498" i="3"/>
  <c r="N498" i="3"/>
  <c r="F498" i="3"/>
  <c r="E498" i="3"/>
  <c r="O497" i="3"/>
  <c r="N497" i="3"/>
  <c r="F497" i="3"/>
  <c r="E497" i="3"/>
  <c r="O496" i="3"/>
  <c r="N496" i="3"/>
  <c r="F496" i="3"/>
  <c r="E496" i="3"/>
  <c r="O495" i="3"/>
  <c r="N495" i="3"/>
  <c r="F495" i="3"/>
  <c r="E495" i="3"/>
  <c r="O494" i="3"/>
  <c r="N494" i="3"/>
  <c r="F494" i="3"/>
  <c r="E494" i="3"/>
  <c r="O493" i="3"/>
  <c r="N493" i="3"/>
  <c r="F493" i="3"/>
  <c r="E493" i="3"/>
  <c r="O492" i="3"/>
  <c r="N492" i="3"/>
  <c r="F492" i="3"/>
  <c r="E492" i="3"/>
  <c r="O491" i="3"/>
  <c r="N491" i="3"/>
  <c r="F491" i="3"/>
  <c r="E491" i="3"/>
  <c r="O490" i="3"/>
  <c r="N490" i="3"/>
  <c r="F490" i="3"/>
  <c r="E490" i="3"/>
  <c r="O489" i="3"/>
  <c r="N489" i="3"/>
  <c r="F489" i="3"/>
  <c r="E489" i="3"/>
  <c r="O488" i="3"/>
  <c r="N488" i="3"/>
  <c r="F488" i="3"/>
  <c r="E488" i="3"/>
  <c r="O487" i="3"/>
  <c r="N487" i="3"/>
  <c r="F487" i="3"/>
  <c r="E487" i="3"/>
  <c r="O486" i="3"/>
  <c r="N486" i="3"/>
  <c r="F486" i="3"/>
  <c r="E486" i="3"/>
  <c r="O485" i="3"/>
  <c r="N485" i="3"/>
  <c r="F485" i="3"/>
  <c r="E485" i="3"/>
  <c r="O484" i="3"/>
  <c r="N484" i="3"/>
  <c r="F484" i="3"/>
  <c r="E484" i="3"/>
  <c r="O483" i="3"/>
  <c r="N483" i="3"/>
  <c r="F483" i="3"/>
  <c r="E483" i="3"/>
  <c r="O482" i="3"/>
  <c r="N482" i="3"/>
  <c r="F482" i="3"/>
  <c r="E482" i="3"/>
  <c r="O481" i="3"/>
  <c r="N481" i="3"/>
  <c r="F481" i="3"/>
  <c r="E481" i="3"/>
  <c r="O480" i="3"/>
  <c r="N480" i="3"/>
  <c r="F480" i="3"/>
  <c r="E480" i="3"/>
  <c r="O479" i="3"/>
  <c r="N479" i="3"/>
  <c r="F479" i="3"/>
  <c r="E479" i="3"/>
  <c r="O478" i="3"/>
  <c r="N478" i="3"/>
  <c r="F478" i="3"/>
  <c r="E478" i="3"/>
  <c r="O477" i="3"/>
  <c r="N477" i="3"/>
  <c r="F477" i="3"/>
  <c r="E477" i="3"/>
  <c r="O476" i="3"/>
  <c r="N476" i="3"/>
  <c r="F476" i="3"/>
  <c r="E476" i="3"/>
  <c r="O475" i="3"/>
  <c r="N475" i="3"/>
  <c r="F475" i="3"/>
  <c r="E475" i="3"/>
  <c r="O474" i="3"/>
  <c r="N474" i="3"/>
  <c r="F474" i="3"/>
  <c r="E474" i="3"/>
  <c r="O473" i="3"/>
  <c r="N473" i="3"/>
  <c r="F473" i="3"/>
  <c r="E473" i="3"/>
  <c r="O472" i="3"/>
  <c r="N472" i="3"/>
  <c r="F472" i="3"/>
  <c r="E472" i="3"/>
  <c r="O471" i="3"/>
  <c r="N471" i="3"/>
  <c r="F471" i="3"/>
  <c r="E471" i="3"/>
  <c r="O470" i="3"/>
  <c r="N470" i="3"/>
  <c r="F470" i="3"/>
  <c r="E470" i="3"/>
  <c r="O469" i="3"/>
  <c r="N469" i="3"/>
  <c r="F469" i="3"/>
  <c r="E469" i="3"/>
  <c r="O468" i="3"/>
  <c r="N468" i="3"/>
  <c r="F468" i="3"/>
  <c r="E468" i="3"/>
  <c r="O467" i="3"/>
  <c r="N467" i="3"/>
  <c r="F467" i="3"/>
  <c r="E467" i="3"/>
  <c r="O466" i="3"/>
  <c r="N466" i="3"/>
  <c r="F466" i="3"/>
  <c r="E466" i="3"/>
  <c r="O465" i="3"/>
  <c r="N465" i="3"/>
  <c r="F465" i="3"/>
  <c r="E465" i="3"/>
  <c r="O464" i="3"/>
  <c r="N464" i="3"/>
  <c r="F464" i="3"/>
  <c r="E464" i="3"/>
  <c r="O463" i="3"/>
  <c r="N463" i="3"/>
  <c r="F463" i="3"/>
  <c r="E463" i="3"/>
  <c r="O462" i="3"/>
  <c r="N462" i="3"/>
  <c r="F462" i="3"/>
  <c r="E462" i="3"/>
  <c r="O461" i="3"/>
  <c r="N461" i="3"/>
  <c r="F461" i="3"/>
  <c r="E461" i="3"/>
  <c r="O460" i="3"/>
  <c r="N460" i="3"/>
  <c r="F460" i="3"/>
  <c r="E460" i="3"/>
  <c r="O459" i="3"/>
  <c r="N459" i="3"/>
  <c r="F459" i="3"/>
  <c r="E459" i="3"/>
  <c r="O458" i="3"/>
  <c r="N458" i="3"/>
  <c r="F458" i="3"/>
  <c r="E458" i="3"/>
  <c r="O457" i="3"/>
  <c r="N457" i="3"/>
  <c r="F457" i="3"/>
  <c r="E457" i="3"/>
  <c r="O456" i="3"/>
  <c r="N456" i="3"/>
  <c r="F456" i="3"/>
  <c r="E456" i="3"/>
  <c r="O455" i="3"/>
  <c r="N455" i="3"/>
  <c r="F455" i="3"/>
  <c r="E455" i="3"/>
  <c r="O454" i="3"/>
  <c r="N454" i="3"/>
  <c r="F454" i="3"/>
  <c r="E454" i="3"/>
  <c r="O453" i="3"/>
  <c r="N453" i="3"/>
  <c r="F453" i="3"/>
  <c r="E453" i="3"/>
  <c r="O452" i="3"/>
  <c r="N452" i="3"/>
  <c r="F452" i="3"/>
  <c r="E452" i="3"/>
  <c r="O451" i="3"/>
  <c r="N451" i="3"/>
  <c r="F451" i="3"/>
  <c r="E451" i="3"/>
  <c r="O450" i="3"/>
  <c r="N450" i="3"/>
  <c r="F450" i="3"/>
  <c r="E450" i="3"/>
  <c r="O449" i="3"/>
  <c r="N449" i="3"/>
  <c r="F449" i="3"/>
  <c r="E449" i="3"/>
  <c r="O448" i="3"/>
  <c r="N448" i="3"/>
  <c r="F448" i="3"/>
  <c r="E448" i="3"/>
  <c r="O447" i="3"/>
  <c r="N447" i="3"/>
  <c r="F447" i="3"/>
  <c r="E447" i="3"/>
  <c r="O446" i="3"/>
  <c r="N446" i="3"/>
  <c r="F446" i="3"/>
  <c r="E446" i="3"/>
  <c r="O445" i="3"/>
  <c r="N445" i="3"/>
  <c r="F445" i="3"/>
  <c r="E445" i="3"/>
  <c r="O444" i="3"/>
  <c r="N444" i="3"/>
  <c r="F444" i="3"/>
  <c r="E444" i="3"/>
  <c r="O443" i="3"/>
  <c r="N443" i="3"/>
  <c r="F443" i="3"/>
  <c r="E443" i="3"/>
  <c r="O442" i="3"/>
  <c r="N442" i="3"/>
  <c r="F442" i="3"/>
  <c r="E442" i="3"/>
  <c r="O441" i="3"/>
  <c r="N441" i="3"/>
  <c r="F441" i="3"/>
  <c r="E441" i="3"/>
  <c r="O440" i="3"/>
  <c r="N440" i="3"/>
  <c r="F440" i="3"/>
  <c r="E440" i="3"/>
  <c r="O439" i="3"/>
  <c r="N439" i="3"/>
  <c r="F439" i="3"/>
  <c r="E439" i="3"/>
  <c r="O438" i="3"/>
  <c r="N438" i="3"/>
  <c r="F438" i="3"/>
  <c r="E438" i="3"/>
  <c r="O437" i="3"/>
  <c r="N437" i="3"/>
  <c r="F437" i="3"/>
  <c r="E437" i="3"/>
  <c r="O436" i="3"/>
  <c r="N436" i="3"/>
  <c r="F436" i="3"/>
  <c r="E436" i="3"/>
  <c r="O435" i="3"/>
  <c r="N435" i="3"/>
  <c r="F435" i="3"/>
  <c r="E435" i="3"/>
  <c r="O434" i="3"/>
  <c r="N434" i="3"/>
  <c r="F434" i="3"/>
  <c r="E434" i="3"/>
  <c r="O433" i="3"/>
  <c r="N433" i="3"/>
  <c r="F433" i="3"/>
  <c r="E433" i="3"/>
  <c r="O432" i="3"/>
  <c r="N432" i="3"/>
  <c r="F432" i="3"/>
  <c r="E432" i="3"/>
  <c r="O431" i="3"/>
  <c r="N431" i="3"/>
  <c r="F431" i="3"/>
  <c r="E431" i="3"/>
  <c r="O430" i="3"/>
  <c r="N430" i="3"/>
  <c r="F430" i="3"/>
  <c r="E430" i="3"/>
  <c r="O429" i="3"/>
  <c r="N429" i="3"/>
  <c r="F429" i="3"/>
  <c r="E429" i="3"/>
  <c r="O428" i="3"/>
  <c r="N428" i="3"/>
  <c r="F428" i="3"/>
  <c r="E428" i="3"/>
  <c r="O427" i="3"/>
  <c r="N427" i="3"/>
  <c r="F427" i="3"/>
  <c r="E427" i="3"/>
  <c r="O426" i="3"/>
  <c r="N426" i="3"/>
  <c r="F426" i="3"/>
  <c r="E426" i="3"/>
  <c r="O425" i="3"/>
  <c r="N425" i="3"/>
  <c r="F425" i="3"/>
  <c r="E425" i="3"/>
  <c r="O424" i="3"/>
  <c r="N424" i="3"/>
  <c r="F424" i="3"/>
  <c r="E424" i="3"/>
  <c r="O423" i="3"/>
  <c r="N423" i="3"/>
  <c r="F423" i="3"/>
  <c r="E423" i="3"/>
  <c r="O422" i="3"/>
  <c r="N422" i="3"/>
  <c r="F422" i="3"/>
  <c r="E422" i="3"/>
  <c r="O421" i="3"/>
  <c r="N421" i="3"/>
  <c r="F421" i="3"/>
  <c r="E421" i="3"/>
  <c r="O420" i="3"/>
  <c r="N420" i="3"/>
  <c r="F420" i="3"/>
  <c r="E420" i="3"/>
  <c r="O419" i="3"/>
  <c r="N419" i="3"/>
  <c r="F419" i="3"/>
  <c r="E419" i="3"/>
  <c r="O418" i="3"/>
  <c r="N418" i="3"/>
  <c r="F418" i="3"/>
  <c r="E418" i="3"/>
  <c r="O417" i="3"/>
  <c r="N417" i="3"/>
  <c r="F417" i="3"/>
  <c r="E417" i="3"/>
  <c r="O416" i="3"/>
  <c r="N416" i="3"/>
  <c r="F416" i="3"/>
  <c r="E416" i="3"/>
  <c r="O415" i="3"/>
  <c r="N415" i="3"/>
  <c r="F415" i="3"/>
  <c r="E415" i="3"/>
  <c r="O414" i="3"/>
  <c r="N414" i="3"/>
  <c r="F414" i="3"/>
  <c r="E414" i="3"/>
  <c r="O413" i="3"/>
  <c r="N413" i="3"/>
  <c r="F413" i="3"/>
  <c r="E413" i="3"/>
  <c r="O412" i="3"/>
  <c r="N412" i="3"/>
  <c r="F412" i="3"/>
  <c r="E412" i="3"/>
  <c r="O411" i="3"/>
  <c r="N411" i="3"/>
  <c r="F411" i="3"/>
  <c r="E411" i="3"/>
  <c r="O410" i="3"/>
  <c r="N410" i="3"/>
  <c r="F410" i="3"/>
  <c r="E410" i="3"/>
  <c r="O409" i="3"/>
  <c r="N409" i="3"/>
  <c r="F409" i="3"/>
  <c r="E409" i="3"/>
  <c r="O408" i="3"/>
  <c r="N408" i="3"/>
  <c r="F408" i="3"/>
  <c r="E408" i="3"/>
  <c r="O407" i="3"/>
  <c r="N407" i="3"/>
  <c r="F407" i="3"/>
  <c r="E407" i="3"/>
  <c r="O406" i="3"/>
  <c r="N406" i="3"/>
  <c r="F406" i="3"/>
  <c r="E406" i="3"/>
  <c r="O405" i="3"/>
  <c r="N405" i="3"/>
  <c r="F405" i="3"/>
  <c r="E405" i="3"/>
  <c r="O404" i="3"/>
  <c r="N404" i="3"/>
  <c r="F404" i="3"/>
  <c r="E404" i="3"/>
  <c r="O403" i="3"/>
  <c r="N403" i="3"/>
  <c r="F403" i="3"/>
  <c r="E403" i="3"/>
  <c r="O402" i="3"/>
  <c r="N402" i="3"/>
  <c r="F402" i="3"/>
  <c r="E402" i="3"/>
  <c r="O401" i="3"/>
  <c r="N401" i="3"/>
  <c r="F401" i="3"/>
  <c r="E401" i="3"/>
  <c r="O400" i="3"/>
  <c r="N400" i="3"/>
  <c r="F400" i="3"/>
  <c r="E400" i="3"/>
  <c r="O399" i="3"/>
  <c r="N399" i="3"/>
  <c r="F399" i="3"/>
  <c r="E399" i="3"/>
  <c r="O398" i="3"/>
  <c r="N398" i="3"/>
  <c r="F398" i="3"/>
  <c r="E398" i="3"/>
  <c r="O397" i="3"/>
  <c r="N397" i="3"/>
  <c r="F397" i="3"/>
  <c r="E397" i="3"/>
  <c r="O396" i="3"/>
  <c r="N396" i="3"/>
  <c r="F396" i="3"/>
  <c r="E396" i="3"/>
  <c r="O395" i="3"/>
  <c r="N395" i="3"/>
  <c r="F395" i="3"/>
  <c r="E395" i="3"/>
  <c r="O394" i="3"/>
  <c r="N394" i="3"/>
  <c r="F394" i="3"/>
  <c r="E394" i="3"/>
  <c r="O393" i="3"/>
  <c r="N393" i="3"/>
  <c r="F393" i="3"/>
  <c r="E393" i="3"/>
  <c r="O392" i="3"/>
  <c r="N392" i="3"/>
  <c r="F392" i="3"/>
  <c r="E392" i="3"/>
  <c r="O391" i="3"/>
  <c r="N391" i="3"/>
  <c r="F391" i="3"/>
  <c r="E391" i="3"/>
  <c r="O390" i="3"/>
  <c r="N390" i="3"/>
  <c r="F390" i="3"/>
  <c r="E390" i="3"/>
  <c r="O389" i="3"/>
  <c r="N389" i="3"/>
  <c r="F389" i="3"/>
  <c r="E389" i="3"/>
  <c r="O388" i="3"/>
  <c r="N388" i="3"/>
  <c r="F388" i="3"/>
  <c r="E388" i="3"/>
  <c r="O387" i="3"/>
  <c r="N387" i="3"/>
  <c r="F387" i="3"/>
  <c r="E387" i="3"/>
  <c r="O386" i="3"/>
  <c r="N386" i="3"/>
  <c r="F386" i="3"/>
  <c r="E386" i="3"/>
  <c r="O385" i="3"/>
  <c r="N385" i="3"/>
  <c r="F385" i="3"/>
  <c r="E385" i="3"/>
  <c r="O384" i="3"/>
  <c r="N384" i="3"/>
  <c r="F384" i="3"/>
  <c r="E384" i="3"/>
  <c r="O383" i="3"/>
  <c r="N383" i="3"/>
  <c r="F383" i="3"/>
  <c r="E383" i="3"/>
  <c r="O382" i="3"/>
  <c r="N382" i="3"/>
  <c r="F382" i="3"/>
  <c r="E382" i="3"/>
  <c r="O381" i="3"/>
  <c r="N381" i="3"/>
  <c r="F381" i="3"/>
  <c r="E381" i="3"/>
  <c r="O380" i="3"/>
  <c r="N380" i="3"/>
  <c r="F380" i="3"/>
  <c r="E380" i="3"/>
  <c r="O379" i="3"/>
  <c r="N379" i="3"/>
  <c r="F379" i="3"/>
  <c r="E379" i="3"/>
  <c r="O378" i="3"/>
  <c r="N378" i="3"/>
  <c r="F378" i="3"/>
  <c r="E378" i="3"/>
  <c r="O377" i="3"/>
  <c r="N377" i="3"/>
  <c r="F377" i="3"/>
  <c r="E377" i="3"/>
  <c r="O376" i="3"/>
  <c r="N376" i="3"/>
  <c r="F376" i="3"/>
  <c r="E376" i="3"/>
  <c r="O375" i="3"/>
  <c r="N375" i="3"/>
  <c r="F375" i="3"/>
  <c r="E375" i="3"/>
  <c r="O374" i="3"/>
  <c r="N374" i="3"/>
  <c r="F374" i="3"/>
  <c r="E374" i="3"/>
  <c r="O373" i="3"/>
  <c r="N373" i="3"/>
  <c r="F373" i="3"/>
  <c r="E373" i="3"/>
  <c r="O372" i="3"/>
  <c r="N372" i="3"/>
  <c r="F372" i="3"/>
  <c r="E372" i="3"/>
  <c r="O371" i="3"/>
  <c r="N371" i="3"/>
  <c r="F371" i="3"/>
  <c r="E371" i="3"/>
  <c r="O370" i="3"/>
  <c r="N370" i="3"/>
  <c r="F370" i="3"/>
  <c r="E370" i="3"/>
  <c r="O369" i="3"/>
  <c r="N369" i="3"/>
  <c r="F369" i="3"/>
  <c r="E369" i="3"/>
  <c r="O368" i="3"/>
  <c r="N368" i="3"/>
  <c r="F368" i="3"/>
  <c r="E368" i="3"/>
  <c r="O367" i="3"/>
  <c r="N367" i="3"/>
  <c r="F367" i="3"/>
  <c r="E367" i="3"/>
  <c r="O366" i="3"/>
  <c r="N366" i="3"/>
  <c r="F366" i="3"/>
  <c r="E366" i="3"/>
  <c r="O365" i="3"/>
  <c r="N365" i="3"/>
  <c r="F365" i="3"/>
  <c r="E365" i="3"/>
  <c r="O364" i="3"/>
  <c r="N364" i="3"/>
  <c r="F364" i="3"/>
  <c r="E364" i="3"/>
  <c r="O363" i="3"/>
  <c r="N363" i="3"/>
  <c r="F363" i="3"/>
  <c r="E363" i="3"/>
  <c r="O362" i="3"/>
  <c r="N362" i="3"/>
  <c r="F362" i="3"/>
  <c r="E362" i="3"/>
  <c r="O361" i="3"/>
  <c r="N361" i="3"/>
  <c r="F361" i="3"/>
  <c r="E361" i="3"/>
  <c r="O360" i="3"/>
  <c r="N360" i="3"/>
  <c r="F360" i="3"/>
  <c r="E360" i="3"/>
  <c r="O359" i="3"/>
  <c r="N359" i="3"/>
  <c r="F359" i="3"/>
  <c r="E359" i="3"/>
  <c r="O358" i="3"/>
  <c r="N358" i="3"/>
  <c r="F358" i="3"/>
  <c r="E358" i="3"/>
  <c r="O357" i="3"/>
  <c r="N357" i="3"/>
  <c r="F357" i="3"/>
  <c r="E357" i="3"/>
  <c r="O356" i="3"/>
  <c r="N356" i="3"/>
  <c r="F356" i="3"/>
  <c r="E356" i="3"/>
  <c r="O355" i="3"/>
  <c r="N355" i="3"/>
  <c r="F355" i="3"/>
  <c r="E355" i="3"/>
  <c r="O354" i="3"/>
  <c r="N354" i="3"/>
  <c r="F354" i="3"/>
  <c r="E354" i="3"/>
  <c r="O353" i="3"/>
  <c r="N353" i="3"/>
  <c r="F353" i="3"/>
  <c r="E353" i="3"/>
  <c r="O352" i="3"/>
  <c r="N352" i="3"/>
  <c r="F352" i="3"/>
  <c r="E352" i="3"/>
  <c r="O351" i="3"/>
  <c r="N351" i="3"/>
  <c r="F351" i="3"/>
  <c r="E351" i="3"/>
  <c r="O350" i="3"/>
  <c r="N350" i="3"/>
  <c r="F350" i="3"/>
  <c r="E350" i="3"/>
  <c r="O349" i="3"/>
  <c r="N349" i="3"/>
  <c r="F349" i="3"/>
  <c r="E349" i="3"/>
  <c r="O348" i="3"/>
  <c r="N348" i="3"/>
  <c r="F348" i="3"/>
  <c r="E348" i="3"/>
  <c r="O347" i="3"/>
  <c r="N347" i="3"/>
  <c r="F347" i="3"/>
  <c r="E347" i="3"/>
  <c r="O346" i="3"/>
  <c r="N346" i="3"/>
  <c r="F346" i="3"/>
  <c r="E346" i="3"/>
  <c r="O345" i="3"/>
  <c r="N345" i="3"/>
  <c r="F345" i="3"/>
  <c r="E345" i="3"/>
  <c r="O344" i="3"/>
  <c r="N344" i="3"/>
  <c r="F344" i="3"/>
  <c r="E344" i="3"/>
  <c r="O343" i="3"/>
  <c r="N343" i="3"/>
  <c r="F343" i="3"/>
  <c r="E343" i="3"/>
  <c r="O342" i="3"/>
  <c r="N342" i="3"/>
  <c r="F342" i="3"/>
  <c r="E342" i="3"/>
  <c r="O341" i="3"/>
  <c r="N341" i="3"/>
  <c r="F341" i="3"/>
  <c r="E341" i="3"/>
  <c r="O340" i="3"/>
  <c r="N340" i="3"/>
  <c r="F340" i="3"/>
  <c r="E340" i="3"/>
  <c r="O339" i="3"/>
  <c r="N339" i="3"/>
  <c r="F339" i="3"/>
  <c r="E339" i="3"/>
  <c r="O338" i="3"/>
  <c r="N338" i="3"/>
  <c r="F338" i="3"/>
  <c r="E338" i="3"/>
  <c r="O337" i="3"/>
  <c r="N337" i="3"/>
  <c r="F337" i="3"/>
  <c r="E337" i="3"/>
  <c r="O336" i="3"/>
  <c r="N336" i="3"/>
  <c r="F336" i="3"/>
  <c r="E336" i="3"/>
  <c r="O335" i="3"/>
  <c r="N335" i="3"/>
  <c r="F335" i="3"/>
  <c r="E335" i="3"/>
  <c r="O334" i="3"/>
  <c r="N334" i="3"/>
  <c r="F334" i="3"/>
  <c r="E334" i="3"/>
  <c r="O333" i="3"/>
  <c r="N333" i="3"/>
  <c r="F333" i="3"/>
  <c r="E333" i="3"/>
  <c r="O332" i="3"/>
  <c r="N332" i="3"/>
  <c r="F332" i="3"/>
  <c r="E332" i="3"/>
  <c r="O331" i="3"/>
  <c r="N331" i="3"/>
  <c r="F331" i="3"/>
  <c r="E331" i="3"/>
  <c r="O330" i="3"/>
  <c r="N330" i="3"/>
  <c r="F330" i="3"/>
  <c r="E330" i="3"/>
  <c r="O329" i="3"/>
  <c r="N329" i="3"/>
  <c r="L329" i="3"/>
  <c r="F329" i="3"/>
  <c r="E329" i="3"/>
  <c r="O328" i="3"/>
  <c r="N328" i="3"/>
  <c r="F328" i="3"/>
  <c r="E328" i="3"/>
  <c r="O327" i="3"/>
  <c r="N327" i="3"/>
  <c r="F327" i="3"/>
  <c r="E327" i="3"/>
  <c r="O326" i="3"/>
  <c r="N326" i="3"/>
  <c r="F326" i="3"/>
  <c r="E326" i="3"/>
  <c r="O325" i="3"/>
  <c r="N325" i="3"/>
  <c r="F325" i="3"/>
  <c r="E325" i="3"/>
  <c r="O324" i="3"/>
  <c r="N324" i="3"/>
  <c r="F324" i="3"/>
  <c r="E324" i="3"/>
  <c r="O323" i="3"/>
  <c r="N323" i="3"/>
  <c r="F323" i="3"/>
  <c r="E323" i="3"/>
  <c r="O322" i="3"/>
  <c r="N322" i="3"/>
  <c r="F322" i="3"/>
  <c r="E322" i="3"/>
  <c r="O321" i="3"/>
  <c r="N321" i="3"/>
  <c r="F321" i="3"/>
  <c r="E321" i="3"/>
  <c r="O320" i="3"/>
  <c r="N320" i="3"/>
  <c r="F320" i="3"/>
  <c r="E320" i="3"/>
  <c r="O319" i="3"/>
  <c r="N319" i="3"/>
  <c r="F319" i="3"/>
  <c r="E319" i="3"/>
  <c r="O318" i="3"/>
  <c r="N318" i="3"/>
  <c r="F318" i="3"/>
  <c r="E318" i="3"/>
  <c r="O317" i="3"/>
  <c r="N317" i="3"/>
  <c r="F317" i="3"/>
  <c r="E317" i="3"/>
  <c r="O316" i="3"/>
  <c r="N316" i="3"/>
  <c r="F316" i="3"/>
  <c r="E316" i="3"/>
  <c r="O315" i="3"/>
  <c r="N315" i="3"/>
  <c r="F315" i="3"/>
  <c r="E315" i="3"/>
  <c r="O314" i="3"/>
  <c r="N314" i="3"/>
  <c r="F314" i="3"/>
  <c r="E314" i="3"/>
  <c r="O313" i="3"/>
  <c r="N313" i="3"/>
  <c r="F313" i="3"/>
  <c r="E313" i="3"/>
  <c r="O312" i="3"/>
  <c r="N312" i="3"/>
  <c r="F312" i="3"/>
  <c r="E312" i="3"/>
  <c r="O311" i="3"/>
  <c r="N311" i="3"/>
  <c r="F311" i="3"/>
  <c r="E311" i="3"/>
  <c r="O310" i="3"/>
  <c r="N310" i="3"/>
  <c r="F310" i="3"/>
  <c r="E310" i="3"/>
  <c r="O309" i="3"/>
  <c r="N309" i="3"/>
  <c r="F309" i="3"/>
  <c r="E309" i="3"/>
  <c r="O308" i="3"/>
  <c r="N308" i="3"/>
  <c r="F308" i="3"/>
  <c r="E308" i="3"/>
  <c r="O307" i="3"/>
  <c r="N307" i="3"/>
  <c r="F307" i="3"/>
  <c r="E307" i="3"/>
  <c r="O306" i="3"/>
  <c r="N306" i="3"/>
  <c r="F306" i="3"/>
  <c r="E306" i="3"/>
  <c r="O305" i="3"/>
  <c r="N305" i="3"/>
  <c r="F305" i="3"/>
  <c r="E305" i="3"/>
  <c r="O304" i="3"/>
  <c r="N304" i="3"/>
  <c r="F304" i="3"/>
  <c r="E304" i="3"/>
  <c r="O303" i="3"/>
  <c r="N303" i="3"/>
  <c r="F303" i="3"/>
  <c r="E303" i="3"/>
  <c r="O302" i="3"/>
  <c r="N302" i="3"/>
  <c r="F302" i="3"/>
  <c r="E302" i="3"/>
  <c r="O301" i="3"/>
  <c r="N301" i="3"/>
  <c r="F301" i="3"/>
  <c r="E301" i="3"/>
  <c r="O300" i="3"/>
  <c r="N300" i="3"/>
  <c r="F300" i="3"/>
  <c r="E300" i="3"/>
  <c r="O299" i="3"/>
  <c r="N299" i="3"/>
  <c r="F299" i="3"/>
  <c r="E299" i="3"/>
  <c r="O298" i="3"/>
  <c r="N298" i="3"/>
  <c r="F298" i="3"/>
  <c r="E298" i="3"/>
  <c r="O297" i="3"/>
  <c r="N297" i="3"/>
  <c r="F297" i="3"/>
  <c r="E297" i="3"/>
  <c r="O296" i="3"/>
  <c r="N296" i="3"/>
  <c r="F296" i="3"/>
  <c r="E296" i="3"/>
  <c r="O295" i="3"/>
  <c r="N295" i="3"/>
  <c r="F295" i="3"/>
  <c r="E295" i="3"/>
  <c r="O294" i="3"/>
  <c r="N294" i="3"/>
  <c r="F294" i="3"/>
  <c r="E294" i="3"/>
  <c r="O293" i="3"/>
  <c r="N293" i="3"/>
  <c r="F293" i="3"/>
  <c r="E293" i="3"/>
  <c r="O292" i="3"/>
  <c r="N292" i="3"/>
  <c r="F292" i="3"/>
  <c r="E292" i="3"/>
  <c r="O291" i="3"/>
  <c r="N291" i="3"/>
  <c r="F291" i="3"/>
  <c r="E291" i="3"/>
  <c r="O290" i="3"/>
  <c r="N290" i="3"/>
  <c r="F290" i="3"/>
  <c r="E290" i="3"/>
  <c r="O289" i="3"/>
  <c r="N289" i="3"/>
  <c r="F289" i="3"/>
  <c r="E289" i="3"/>
  <c r="O288" i="3"/>
  <c r="N288" i="3"/>
  <c r="F288" i="3"/>
  <c r="E288" i="3"/>
  <c r="O287" i="3"/>
  <c r="N287" i="3"/>
  <c r="F287" i="3"/>
  <c r="E287" i="3"/>
  <c r="O286" i="3"/>
  <c r="N286" i="3"/>
  <c r="F286" i="3"/>
  <c r="E286" i="3"/>
  <c r="O285" i="3"/>
  <c r="N285" i="3"/>
  <c r="F285" i="3"/>
  <c r="E285" i="3"/>
  <c r="O284" i="3"/>
  <c r="N284" i="3"/>
  <c r="F284" i="3"/>
  <c r="E284" i="3"/>
  <c r="O283" i="3"/>
  <c r="N283" i="3"/>
  <c r="F283" i="3"/>
  <c r="E283" i="3"/>
  <c r="O282" i="3"/>
  <c r="N282" i="3"/>
  <c r="F282" i="3"/>
  <c r="E282" i="3"/>
  <c r="O281" i="3"/>
  <c r="N281" i="3"/>
  <c r="F281" i="3"/>
  <c r="E281" i="3"/>
  <c r="O280" i="3"/>
  <c r="N280" i="3"/>
  <c r="F280" i="3"/>
  <c r="E280" i="3"/>
  <c r="O279" i="3"/>
  <c r="N279" i="3"/>
  <c r="F279" i="3"/>
  <c r="E279" i="3"/>
  <c r="O278" i="3"/>
  <c r="N278" i="3"/>
  <c r="F278" i="3"/>
  <c r="E278" i="3"/>
  <c r="O277" i="3"/>
  <c r="N277" i="3"/>
  <c r="F277" i="3"/>
  <c r="E277" i="3"/>
  <c r="O276" i="3"/>
  <c r="N276" i="3"/>
  <c r="F276" i="3"/>
  <c r="E276" i="3"/>
  <c r="O275" i="3"/>
  <c r="N275" i="3"/>
  <c r="F275" i="3"/>
  <c r="E275" i="3"/>
  <c r="O274" i="3"/>
  <c r="N274" i="3"/>
  <c r="F274" i="3"/>
  <c r="E274" i="3"/>
  <c r="O273" i="3"/>
  <c r="N273" i="3"/>
  <c r="F273" i="3"/>
  <c r="E273" i="3"/>
  <c r="O272" i="3"/>
  <c r="N272" i="3"/>
  <c r="F272" i="3"/>
  <c r="E272" i="3"/>
  <c r="O271" i="3"/>
  <c r="N271" i="3"/>
  <c r="F271" i="3"/>
  <c r="E271" i="3"/>
  <c r="O270" i="3"/>
  <c r="N270" i="3"/>
  <c r="F270" i="3"/>
  <c r="E270" i="3"/>
  <c r="O269" i="3"/>
  <c r="N269" i="3"/>
  <c r="F269" i="3"/>
  <c r="E269" i="3"/>
  <c r="O268" i="3"/>
  <c r="N268" i="3"/>
  <c r="F268" i="3"/>
  <c r="E268" i="3"/>
  <c r="O267" i="3"/>
  <c r="N267" i="3"/>
  <c r="F267" i="3"/>
  <c r="E267" i="3"/>
  <c r="O266" i="3"/>
  <c r="N266" i="3"/>
  <c r="F266" i="3"/>
  <c r="E266" i="3"/>
  <c r="O265" i="3"/>
  <c r="N265" i="3"/>
  <c r="F265" i="3"/>
  <c r="E265" i="3"/>
  <c r="O264" i="3"/>
  <c r="N264" i="3"/>
  <c r="F264" i="3"/>
  <c r="E264" i="3"/>
  <c r="O263" i="3"/>
  <c r="N263" i="3"/>
  <c r="F263" i="3"/>
  <c r="E263" i="3"/>
  <c r="O262" i="3"/>
  <c r="N262" i="3"/>
  <c r="F262" i="3"/>
  <c r="E262" i="3"/>
  <c r="O261" i="3"/>
  <c r="N261" i="3"/>
  <c r="F261" i="3"/>
  <c r="E261" i="3"/>
  <c r="O260" i="3"/>
  <c r="N260" i="3"/>
  <c r="F260" i="3"/>
  <c r="E260" i="3"/>
  <c r="O259" i="3"/>
  <c r="N259" i="3"/>
  <c r="F259" i="3"/>
  <c r="E259" i="3"/>
  <c r="O258" i="3"/>
  <c r="N258" i="3"/>
  <c r="F258" i="3"/>
  <c r="E258" i="3"/>
  <c r="O257" i="3"/>
  <c r="N257" i="3"/>
  <c r="F257" i="3"/>
  <c r="E257" i="3"/>
  <c r="O256" i="3"/>
  <c r="N256" i="3"/>
  <c r="F256" i="3"/>
  <c r="E256" i="3"/>
  <c r="O255" i="3"/>
  <c r="N255" i="3"/>
  <c r="F255" i="3"/>
  <c r="E255" i="3"/>
  <c r="O254" i="3"/>
  <c r="N254" i="3"/>
  <c r="F254" i="3"/>
  <c r="E254" i="3"/>
  <c r="O253" i="3"/>
  <c r="N253" i="3"/>
  <c r="F253" i="3"/>
  <c r="E253" i="3"/>
  <c r="O252" i="3"/>
  <c r="N252" i="3"/>
  <c r="F252" i="3"/>
  <c r="E252" i="3"/>
  <c r="O251" i="3"/>
  <c r="N251" i="3"/>
  <c r="F251" i="3"/>
  <c r="E251" i="3"/>
  <c r="O250" i="3"/>
  <c r="N250" i="3"/>
  <c r="F250" i="3"/>
  <c r="E250" i="3"/>
  <c r="O249" i="3"/>
  <c r="N249" i="3"/>
  <c r="F249" i="3"/>
  <c r="E249" i="3"/>
  <c r="O248" i="3"/>
  <c r="N248" i="3"/>
  <c r="F248" i="3"/>
  <c r="E248" i="3"/>
  <c r="O247" i="3"/>
  <c r="N247" i="3"/>
  <c r="F247" i="3"/>
  <c r="E247" i="3"/>
  <c r="O246" i="3"/>
  <c r="N246" i="3"/>
  <c r="F246" i="3"/>
  <c r="E246" i="3"/>
  <c r="O245" i="3"/>
  <c r="N245" i="3"/>
  <c r="F245" i="3"/>
  <c r="E245" i="3"/>
  <c r="O244" i="3"/>
  <c r="N244" i="3"/>
  <c r="F244" i="3"/>
  <c r="E244" i="3"/>
  <c r="O243" i="3"/>
  <c r="N243" i="3"/>
  <c r="F243" i="3"/>
  <c r="E243" i="3"/>
  <c r="O242" i="3"/>
  <c r="N242" i="3"/>
  <c r="F242" i="3"/>
  <c r="E242" i="3"/>
  <c r="O241" i="3"/>
  <c r="N241" i="3"/>
  <c r="F241" i="3"/>
  <c r="E241" i="3"/>
  <c r="O240" i="3"/>
  <c r="N240" i="3"/>
  <c r="F240" i="3"/>
  <c r="E240" i="3"/>
  <c r="O239" i="3"/>
  <c r="N239" i="3"/>
  <c r="F239" i="3"/>
  <c r="E239" i="3"/>
  <c r="O238" i="3"/>
  <c r="N238" i="3"/>
  <c r="F238" i="3"/>
  <c r="E238" i="3"/>
  <c r="O237" i="3"/>
  <c r="N237" i="3"/>
  <c r="F237" i="3"/>
  <c r="E237" i="3"/>
  <c r="O236" i="3"/>
  <c r="N236" i="3"/>
  <c r="F236" i="3"/>
  <c r="E236" i="3"/>
  <c r="O235" i="3"/>
  <c r="N235" i="3"/>
  <c r="F235" i="3"/>
  <c r="E235" i="3"/>
  <c r="O234" i="3"/>
  <c r="N234" i="3"/>
  <c r="F234" i="3"/>
  <c r="E234" i="3"/>
  <c r="O233" i="3"/>
  <c r="N233" i="3"/>
  <c r="F233" i="3"/>
  <c r="E233" i="3"/>
  <c r="O232" i="3"/>
  <c r="N232" i="3"/>
  <c r="F232" i="3"/>
  <c r="E232" i="3"/>
  <c r="O231" i="3"/>
  <c r="N231" i="3"/>
  <c r="F231" i="3"/>
  <c r="E231" i="3"/>
  <c r="O230" i="3"/>
  <c r="N230" i="3"/>
  <c r="F230" i="3"/>
  <c r="E230" i="3"/>
  <c r="O229" i="3"/>
  <c r="N229" i="3"/>
  <c r="F229" i="3"/>
  <c r="E229" i="3"/>
  <c r="O228" i="3"/>
  <c r="N228" i="3"/>
  <c r="F228" i="3"/>
  <c r="E228" i="3"/>
  <c r="O227" i="3"/>
  <c r="N227" i="3"/>
  <c r="F227" i="3"/>
  <c r="E227" i="3"/>
  <c r="O226" i="3"/>
  <c r="N226" i="3"/>
  <c r="F226" i="3"/>
  <c r="E226" i="3"/>
  <c r="O225" i="3"/>
  <c r="N225" i="3"/>
  <c r="F225" i="3"/>
  <c r="E225" i="3"/>
  <c r="O224" i="3"/>
  <c r="N224" i="3"/>
  <c r="F224" i="3"/>
  <c r="E224" i="3"/>
  <c r="O223" i="3"/>
  <c r="N223" i="3"/>
  <c r="F223" i="3"/>
  <c r="E223" i="3"/>
  <c r="O222" i="3"/>
  <c r="N222" i="3"/>
  <c r="F222" i="3"/>
  <c r="E222" i="3"/>
  <c r="O221" i="3"/>
  <c r="N221" i="3"/>
  <c r="F221" i="3"/>
  <c r="E221" i="3"/>
  <c r="O220" i="3"/>
  <c r="N220" i="3"/>
  <c r="F220" i="3"/>
  <c r="E220" i="3"/>
  <c r="O219" i="3"/>
  <c r="N219" i="3"/>
  <c r="F219" i="3"/>
  <c r="E219" i="3"/>
  <c r="O218" i="3"/>
  <c r="N218" i="3"/>
  <c r="F218" i="3"/>
  <c r="E218" i="3"/>
  <c r="O217" i="3"/>
  <c r="N217" i="3"/>
  <c r="F217" i="3"/>
  <c r="E217" i="3"/>
  <c r="O216" i="3"/>
  <c r="N216" i="3"/>
  <c r="F216" i="3"/>
  <c r="E216" i="3"/>
  <c r="O215" i="3"/>
  <c r="N215" i="3"/>
  <c r="F215" i="3"/>
  <c r="E215" i="3"/>
  <c r="O214" i="3"/>
  <c r="N214" i="3"/>
  <c r="F214" i="3"/>
  <c r="E214" i="3"/>
  <c r="O213" i="3"/>
  <c r="N213" i="3"/>
  <c r="F213" i="3"/>
  <c r="E213" i="3"/>
  <c r="O212" i="3"/>
  <c r="N212" i="3"/>
  <c r="F212" i="3"/>
  <c r="E212" i="3"/>
  <c r="O211" i="3"/>
  <c r="N211" i="3"/>
  <c r="F211" i="3"/>
  <c r="E211" i="3"/>
  <c r="O210" i="3"/>
  <c r="N210" i="3"/>
  <c r="F210" i="3"/>
  <c r="E210" i="3"/>
  <c r="O209" i="3"/>
  <c r="N209" i="3"/>
  <c r="F209" i="3"/>
  <c r="E209" i="3"/>
  <c r="O208" i="3"/>
  <c r="N208" i="3"/>
  <c r="F208" i="3"/>
  <c r="E208" i="3"/>
  <c r="O207" i="3"/>
  <c r="N207" i="3"/>
  <c r="F207" i="3"/>
  <c r="E207" i="3"/>
  <c r="O206" i="3"/>
  <c r="N206" i="3"/>
  <c r="F206" i="3"/>
  <c r="E206" i="3"/>
  <c r="O205" i="3"/>
  <c r="N205" i="3"/>
  <c r="F205" i="3"/>
  <c r="E205" i="3"/>
  <c r="O204" i="3"/>
  <c r="N204" i="3"/>
  <c r="F204" i="3"/>
  <c r="E204" i="3"/>
  <c r="O203" i="3"/>
  <c r="N203" i="3"/>
  <c r="F203" i="3"/>
  <c r="E203" i="3"/>
  <c r="O202" i="3"/>
  <c r="N202" i="3"/>
  <c r="F202" i="3"/>
  <c r="E202" i="3"/>
  <c r="O201" i="3"/>
  <c r="N201" i="3"/>
  <c r="F201" i="3"/>
  <c r="E201" i="3"/>
  <c r="O200" i="3"/>
  <c r="N200" i="3"/>
  <c r="F200" i="3"/>
  <c r="E200" i="3"/>
  <c r="O199" i="3"/>
  <c r="N199" i="3"/>
  <c r="F199" i="3"/>
  <c r="E199" i="3"/>
  <c r="O198" i="3"/>
  <c r="N198" i="3"/>
  <c r="F198" i="3"/>
  <c r="E198" i="3"/>
  <c r="O197" i="3"/>
  <c r="N197" i="3"/>
  <c r="F197" i="3"/>
  <c r="E197" i="3"/>
  <c r="O196" i="3"/>
  <c r="N196" i="3"/>
  <c r="F196" i="3"/>
  <c r="E196" i="3"/>
  <c r="O195" i="3"/>
  <c r="N195" i="3"/>
  <c r="F195" i="3"/>
  <c r="E195" i="3"/>
  <c r="O194" i="3"/>
  <c r="N194" i="3"/>
  <c r="F194" i="3"/>
  <c r="E194" i="3"/>
  <c r="O193" i="3"/>
  <c r="N193" i="3"/>
  <c r="F193" i="3"/>
  <c r="E193" i="3"/>
  <c r="O192" i="3"/>
  <c r="N192" i="3"/>
  <c r="F192" i="3"/>
  <c r="E192" i="3"/>
  <c r="O191" i="3"/>
  <c r="N191" i="3"/>
  <c r="F191" i="3"/>
  <c r="E191" i="3"/>
  <c r="O190" i="3"/>
  <c r="N190" i="3"/>
  <c r="F190" i="3"/>
  <c r="E190" i="3"/>
  <c r="O189" i="3"/>
  <c r="N189" i="3"/>
  <c r="F189" i="3"/>
  <c r="E189" i="3"/>
  <c r="O188" i="3"/>
  <c r="N188" i="3"/>
  <c r="F188" i="3"/>
  <c r="E188" i="3"/>
  <c r="O187" i="3"/>
  <c r="N187" i="3"/>
  <c r="F187" i="3"/>
  <c r="E187" i="3"/>
  <c r="O186" i="3"/>
  <c r="N186" i="3"/>
  <c r="F186" i="3"/>
  <c r="E186" i="3"/>
  <c r="O185" i="3"/>
  <c r="N185" i="3"/>
  <c r="F185" i="3"/>
  <c r="E185" i="3"/>
  <c r="O184" i="3"/>
  <c r="N184" i="3"/>
  <c r="F184" i="3"/>
  <c r="E184" i="3"/>
  <c r="O183" i="3"/>
  <c r="N183" i="3"/>
  <c r="F183" i="3"/>
  <c r="E183" i="3"/>
  <c r="O182" i="3"/>
  <c r="N182" i="3"/>
  <c r="F182" i="3"/>
  <c r="E182" i="3"/>
  <c r="O181" i="3"/>
  <c r="N181" i="3"/>
  <c r="L181" i="3"/>
  <c r="F181" i="3"/>
  <c r="E181" i="3"/>
  <c r="O180" i="3"/>
  <c r="N180" i="3"/>
  <c r="F180" i="3"/>
  <c r="E180" i="3"/>
  <c r="O179" i="3"/>
  <c r="N179" i="3"/>
  <c r="F179" i="3"/>
  <c r="E179" i="3"/>
  <c r="O178" i="3"/>
  <c r="N178" i="3"/>
  <c r="F178" i="3"/>
  <c r="E178" i="3"/>
  <c r="O177" i="3"/>
  <c r="N177" i="3"/>
  <c r="F177" i="3"/>
  <c r="E177" i="3"/>
  <c r="O176" i="3"/>
  <c r="N176" i="3"/>
  <c r="F176" i="3"/>
  <c r="E176" i="3"/>
  <c r="O175" i="3"/>
  <c r="N175" i="3"/>
  <c r="F175" i="3"/>
  <c r="E175" i="3"/>
  <c r="O174" i="3"/>
  <c r="N174" i="3"/>
  <c r="F174" i="3"/>
  <c r="E174" i="3"/>
  <c r="O173" i="3"/>
  <c r="N173" i="3"/>
  <c r="F173" i="3"/>
  <c r="E173" i="3"/>
  <c r="O172" i="3"/>
  <c r="N172" i="3"/>
  <c r="F172" i="3"/>
  <c r="E172" i="3"/>
  <c r="O171" i="3"/>
  <c r="N171" i="3"/>
  <c r="F171" i="3"/>
  <c r="E171" i="3"/>
  <c r="O170" i="3"/>
  <c r="N170" i="3"/>
  <c r="F170" i="3"/>
  <c r="E170" i="3"/>
  <c r="O169" i="3"/>
  <c r="N169" i="3"/>
  <c r="F169" i="3"/>
  <c r="E169" i="3"/>
  <c r="O168" i="3"/>
  <c r="N168" i="3"/>
  <c r="F168" i="3"/>
  <c r="E168" i="3"/>
  <c r="O167" i="3"/>
  <c r="N167" i="3"/>
  <c r="F167" i="3"/>
  <c r="E167" i="3"/>
  <c r="O166" i="3"/>
  <c r="N166" i="3"/>
  <c r="F166" i="3"/>
  <c r="E166" i="3"/>
  <c r="O165" i="3"/>
  <c r="N165" i="3"/>
  <c r="F165" i="3"/>
  <c r="E165" i="3"/>
  <c r="O164" i="3"/>
  <c r="N164" i="3"/>
  <c r="F164" i="3"/>
  <c r="E164" i="3"/>
  <c r="O163" i="3"/>
  <c r="N163" i="3"/>
  <c r="F163" i="3"/>
  <c r="E163" i="3"/>
  <c r="O162" i="3"/>
  <c r="N162" i="3"/>
  <c r="F162" i="3"/>
  <c r="E162" i="3"/>
  <c r="O161" i="3"/>
  <c r="N161" i="3"/>
  <c r="F161" i="3"/>
  <c r="E161" i="3"/>
  <c r="O160" i="3"/>
  <c r="N160" i="3"/>
  <c r="F160" i="3"/>
  <c r="E160" i="3"/>
  <c r="O159" i="3"/>
  <c r="N159" i="3"/>
  <c r="F159" i="3"/>
  <c r="E159" i="3"/>
  <c r="O158" i="3"/>
  <c r="N158" i="3"/>
  <c r="F158" i="3"/>
  <c r="E158" i="3"/>
  <c r="O157" i="3"/>
  <c r="N157" i="3"/>
  <c r="F157" i="3"/>
  <c r="E157" i="3"/>
  <c r="O156" i="3"/>
  <c r="N156" i="3"/>
  <c r="F156" i="3"/>
  <c r="E156" i="3"/>
  <c r="O155" i="3"/>
  <c r="N155" i="3"/>
  <c r="F155" i="3"/>
  <c r="E155" i="3"/>
  <c r="O154" i="3"/>
  <c r="N154" i="3"/>
  <c r="F154" i="3"/>
  <c r="E154" i="3"/>
  <c r="O153" i="3"/>
  <c r="N153" i="3"/>
  <c r="F153" i="3"/>
  <c r="E153" i="3"/>
  <c r="O152" i="3"/>
  <c r="N152" i="3"/>
  <c r="F152" i="3"/>
  <c r="E152" i="3"/>
  <c r="O151" i="3"/>
  <c r="N151" i="3"/>
  <c r="F151" i="3"/>
  <c r="E151" i="3"/>
  <c r="O150" i="3"/>
  <c r="N150" i="3"/>
  <c r="F150" i="3"/>
  <c r="E150" i="3"/>
  <c r="O149" i="3"/>
  <c r="N149" i="3"/>
  <c r="F149" i="3"/>
  <c r="E149" i="3"/>
  <c r="O148" i="3"/>
  <c r="N148" i="3"/>
  <c r="F148" i="3"/>
  <c r="E148" i="3"/>
  <c r="O147" i="3"/>
  <c r="N147" i="3"/>
  <c r="F147" i="3"/>
  <c r="E147" i="3"/>
  <c r="O146" i="3"/>
  <c r="N146" i="3"/>
  <c r="F146" i="3"/>
  <c r="E146" i="3"/>
  <c r="O145" i="3"/>
  <c r="N145" i="3"/>
  <c r="F145" i="3"/>
  <c r="E145" i="3"/>
  <c r="O144" i="3"/>
  <c r="N144" i="3"/>
  <c r="F144" i="3"/>
  <c r="E144" i="3"/>
  <c r="O143" i="3"/>
  <c r="N143" i="3"/>
  <c r="F143" i="3"/>
  <c r="E143" i="3"/>
  <c r="O142" i="3"/>
  <c r="N142" i="3"/>
  <c r="F142" i="3"/>
  <c r="E142" i="3"/>
  <c r="O141" i="3"/>
  <c r="N141" i="3"/>
  <c r="F141" i="3"/>
  <c r="E141" i="3"/>
  <c r="O140" i="3"/>
  <c r="N140" i="3"/>
  <c r="F140" i="3"/>
  <c r="E140" i="3"/>
  <c r="O139" i="3"/>
  <c r="N139" i="3"/>
  <c r="F139" i="3"/>
  <c r="E139" i="3"/>
  <c r="O138" i="3"/>
  <c r="N138" i="3"/>
  <c r="F138" i="3"/>
  <c r="E138" i="3"/>
  <c r="O137" i="3"/>
  <c r="N137" i="3"/>
  <c r="F137" i="3"/>
  <c r="E137" i="3"/>
  <c r="O136" i="3"/>
  <c r="N136" i="3"/>
  <c r="F136" i="3"/>
  <c r="E136" i="3"/>
  <c r="O135" i="3"/>
  <c r="N135" i="3"/>
  <c r="F135" i="3"/>
  <c r="E135" i="3"/>
  <c r="O134" i="3"/>
  <c r="N134" i="3"/>
  <c r="F134" i="3"/>
  <c r="E134" i="3"/>
  <c r="O133" i="3"/>
  <c r="N133" i="3"/>
  <c r="F133" i="3"/>
  <c r="E133" i="3"/>
  <c r="O132" i="3"/>
  <c r="N132" i="3"/>
  <c r="F132" i="3"/>
  <c r="E132" i="3"/>
  <c r="O131" i="3"/>
  <c r="N131" i="3"/>
  <c r="F131" i="3"/>
  <c r="E131" i="3"/>
  <c r="O130" i="3"/>
  <c r="N130" i="3"/>
  <c r="F130" i="3"/>
  <c r="E130" i="3"/>
  <c r="O129" i="3"/>
  <c r="N129" i="3"/>
  <c r="F129" i="3"/>
  <c r="E129" i="3"/>
  <c r="O128" i="3"/>
  <c r="N128" i="3"/>
  <c r="F128" i="3"/>
  <c r="E128" i="3"/>
  <c r="O127" i="3"/>
  <c r="N127" i="3"/>
  <c r="F127" i="3"/>
  <c r="E127" i="3"/>
  <c r="O126" i="3"/>
  <c r="N126" i="3"/>
  <c r="F126" i="3"/>
  <c r="E126" i="3"/>
  <c r="O125" i="3"/>
  <c r="N125" i="3"/>
  <c r="F125" i="3"/>
  <c r="E125" i="3"/>
  <c r="O124" i="3"/>
  <c r="N124" i="3"/>
  <c r="F124" i="3"/>
  <c r="E124" i="3"/>
  <c r="O123" i="3"/>
  <c r="N123" i="3"/>
  <c r="F123" i="3"/>
  <c r="E123" i="3"/>
  <c r="O122" i="3"/>
  <c r="N122" i="3"/>
  <c r="F122" i="3"/>
  <c r="E122" i="3"/>
  <c r="O121" i="3"/>
  <c r="N121" i="3"/>
  <c r="F121" i="3"/>
  <c r="E121" i="3"/>
  <c r="O120" i="3"/>
  <c r="N120" i="3"/>
  <c r="F120" i="3"/>
  <c r="E120" i="3"/>
  <c r="O119" i="3"/>
  <c r="N119" i="3"/>
  <c r="F119" i="3"/>
  <c r="E119" i="3"/>
  <c r="O118" i="3"/>
  <c r="N118" i="3"/>
  <c r="F118" i="3"/>
  <c r="E118" i="3"/>
  <c r="O117" i="3"/>
  <c r="N117" i="3"/>
  <c r="F117" i="3"/>
  <c r="E117" i="3"/>
  <c r="O116" i="3"/>
  <c r="N116" i="3"/>
  <c r="F116" i="3"/>
  <c r="E116" i="3"/>
  <c r="O115" i="3"/>
  <c r="N115" i="3"/>
  <c r="F115" i="3"/>
  <c r="E115" i="3"/>
  <c r="O114" i="3"/>
  <c r="N114" i="3"/>
  <c r="F114" i="3"/>
  <c r="E114" i="3"/>
  <c r="O113" i="3"/>
  <c r="N113" i="3"/>
  <c r="F113" i="3"/>
  <c r="E113" i="3"/>
  <c r="O112" i="3"/>
  <c r="N112" i="3"/>
  <c r="F112" i="3"/>
  <c r="E112" i="3"/>
  <c r="O111" i="3"/>
  <c r="N111" i="3"/>
  <c r="F111" i="3"/>
  <c r="E111" i="3"/>
  <c r="O110" i="3"/>
  <c r="N110" i="3"/>
  <c r="F110" i="3"/>
  <c r="E110" i="3"/>
  <c r="O109" i="3"/>
  <c r="N109" i="3"/>
  <c r="F109" i="3"/>
  <c r="E109" i="3"/>
  <c r="O108" i="3"/>
  <c r="N108" i="3"/>
  <c r="F108" i="3"/>
  <c r="E108" i="3"/>
  <c r="O107" i="3"/>
  <c r="N107" i="3"/>
  <c r="F107" i="3"/>
  <c r="E107" i="3"/>
  <c r="O106" i="3"/>
  <c r="N106" i="3"/>
  <c r="F106" i="3"/>
  <c r="E106" i="3"/>
  <c r="O105" i="3"/>
  <c r="N105" i="3"/>
  <c r="F105" i="3"/>
  <c r="E105" i="3"/>
  <c r="O104" i="3"/>
  <c r="N104" i="3"/>
  <c r="F104" i="3"/>
  <c r="E104" i="3"/>
  <c r="O103" i="3"/>
  <c r="N103" i="3"/>
  <c r="F103" i="3"/>
  <c r="E103" i="3"/>
  <c r="O102" i="3"/>
  <c r="N102" i="3"/>
  <c r="F102" i="3"/>
  <c r="E102" i="3"/>
  <c r="O101" i="3"/>
  <c r="N101" i="3"/>
  <c r="F101" i="3"/>
  <c r="E101" i="3"/>
  <c r="O100" i="3"/>
  <c r="N100" i="3"/>
  <c r="F100" i="3"/>
  <c r="E100" i="3"/>
  <c r="O99" i="3"/>
  <c r="N99" i="3"/>
  <c r="F99" i="3"/>
  <c r="E99" i="3"/>
  <c r="O98" i="3"/>
  <c r="N98" i="3"/>
  <c r="F98" i="3"/>
  <c r="E98" i="3"/>
  <c r="O97" i="3"/>
  <c r="N97" i="3"/>
  <c r="F97" i="3"/>
  <c r="E97" i="3"/>
  <c r="O96" i="3"/>
  <c r="N96" i="3"/>
  <c r="F96" i="3"/>
  <c r="E96" i="3"/>
  <c r="O95" i="3"/>
  <c r="N95" i="3"/>
  <c r="F95" i="3"/>
  <c r="E95" i="3"/>
  <c r="O94" i="3"/>
  <c r="N94" i="3"/>
  <c r="F94" i="3"/>
  <c r="E94" i="3"/>
  <c r="O93" i="3"/>
  <c r="N93" i="3"/>
  <c r="F93" i="3"/>
  <c r="E93" i="3"/>
  <c r="O92" i="3"/>
  <c r="N92" i="3"/>
  <c r="F92" i="3"/>
  <c r="E92" i="3"/>
  <c r="O91" i="3"/>
  <c r="N91" i="3"/>
  <c r="F91" i="3"/>
  <c r="E91" i="3"/>
  <c r="O90" i="3"/>
  <c r="N90" i="3"/>
  <c r="F90" i="3"/>
  <c r="E90" i="3"/>
  <c r="O89" i="3"/>
  <c r="N89" i="3"/>
  <c r="F89" i="3"/>
  <c r="E89" i="3"/>
  <c r="O88" i="3"/>
  <c r="N88" i="3"/>
  <c r="F88" i="3"/>
  <c r="E88" i="3"/>
  <c r="O87" i="3"/>
  <c r="N87" i="3"/>
  <c r="F87" i="3"/>
  <c r="E87" i="3"/>
  <c r="O86" i="3"/>
  <c r="N86" i="3"/>
  <c r="F86" i="3"/>
  <c r="E86" i="3"/>
  <c r="O85" i="3"/>
  <c r="N85" i="3"/>
  <c r="F85" i="3"/>
  <c r="E85" i="3"/>
  <c r="O84" i="3"/>
  <c r="N84" i="3"/>
  <c r="F84" i="3"/>
  <c r="E84" i="3"/>
  <c r="O83" i="3"/>
  <c r="N83" i="3"/>
  <c r="F83" i="3"/>
  <c r="E83" i="3"/>
  <c r="O82" i="3"/>
  <c r="N82" i="3"/>
  <c r="F82" i="3"/>
  <c r="E82" i="3"/>
  <c r="O81" i="3"/>
  <c r="N81" i="3"/>
  <c r="F81" i="3"/>
  <c r="E81" i="3"/>
  <c r="O80" i="3"/>
  <c r="N80" i="3"/>
  <c r="F80" i="3"/>
  <c r="E80" i="3"/>
  <c r="O79" i="3"/>
  <c r="N79" i="3"/>
  <c r="F79" i="3"/>
  <c r="E79" i="3"/>
  <c r="O78" i="3"/>
  <c r="N78" i="3"/>
  <c r="F78" i="3"/>
  <c r="E78" i="3"/>
  <c r="O77" i="3"/>
  <c r="N77" i="3"/>
  <c r="F77" i="3"/>
  <c r="E77" i="3"/>
  <c r="O76" i="3"/>
  <c r="N76" i="3"/>
  <c r="F76" i="3"/>
  <c r="E76" i="3"/>
  <c r="O75" i="3"/>
  <c r="N75" i="3"/>
  <c r="F75" i="3"/>
  <c r="E75" i="3"/>
  <c r="O74" i="3"/>
  <c r="N74" i="3"/>
  <c r="F74" i="3"/>
  <c r="E74" i="3"/>
  <c r="O73" i="3"/>
  <c r="N73" i="3"/>
  <c r="F73" i="3"/>
  <c r="E73" i="3"/>
  <c r="O72" i="3"/>
  <c r="N72" i="3"/>
  <c r="F72" i="3"/>
  <c r="E72" i="3"/>
  <c r="O71" i="3"/>
  <c r="N71" i="3"/>
  <c r="F71" i="3"/>
  <c r="E71" i="3"/>
  <c r="O70" i="3"/>
  <c r="N70" i="3"/>
  <c r="F70" i="3"/>
  <c r="E70" i="3"/>
  <c r="O69" i="3"/>
  <c r="N69" i="3"/>
  <c r="F69" i="3"/>
  <c r="E69" i="3"/>
  <c r="O68" i="3"/>
  <c r="N68" i="3"/>
  <c r="F68" i="3"/>
  <c r="E68" i="3"/>
  <c r="O67" i="3"/>
  <c r="N67" i="3"/>
  <c r="F67" i="3"/>
  <c r="E67" i="3"/>
  <c r="O66" i="3"/>
  <c r="N66" i="3"/>
  <c r="F66" i="3"/>
  <c r="E66" i="3"/>
  <c r="O65" i="3"/>
  <c r="N65" i="3"/>
  <c r="F65" i="3"/>
  <c r="E65" i="3"/>
  <c r="O64" i="3"/>
  <c r="N64" i="3"/>
  <c r="F64" i="3"/>
  <c r="E64" i="3"/>
  <c r="O63" i="3"/>
  <c r="N63" i="3"/>
  <c r="F63" i="3"/>
  <c r="E63" i="3"/>
  <c r="O62" i="3"/>
  <c r="N62" i="3"/>
  <c r="F62" i="3"/>
  <c r="E62" i="3"/>
  <c r="O61" i="3"/>
  <c r="N61" i="3"/>
  <c r="F61" i="3"/>
  <c r="E61" i="3"/>
  <c r="O60" i="3"/>
  <c r="N60" i="3"/>
  <c r="F60" i="3"/>
  <c r="E60" i="3"/>
  <c r="O59" i="3"/>
  <c r="N59" i="3"/>
  <c r="F59" i="3"/>
  <c r="E59" i="3"/>
  <c r="O58" i="3"/>
  <c r="N58" i="3"/>
  <c r="F58" i="3"/>
  <c r="E58" i="3"/>
  <c r="O57" i="3"/>
  <c r="N57" i="3"/>
  <c r="F57" i="3"/>
  <c r="E57" i="3"/>
  <c r="O56" i="3"/>
  <c r="N56" i="3"/>
  <c r="F56" i="3"/>
  <c r="E56" i="3"/>
  <c r="O55" i="3"/>
  <c r="N55" i="3"/>
  <c r="F55" i="3"/>
  <c r="E55" i="3"/>
  <c r="O54" i="3"/>
  <c r="N54" i="3"/>
  <c r="F54" i="3"/>
  <c r="E54" i="3"/>
  <c r="O53" i="3"/>
  <c r="N53" i="3"/>
  <c r="F53" i="3"/>
  <c r="E53" i="3"/>
  <c r="O52" i="3"/>
  <c r="N52" i="3"/>
  <c r="F52" i="3"/>
  <c r="E52" i="3"/>
  <c r="O51" i="3"/>
  <c r="N51" i="3"/>
  <c r="F51" i="3"/>
  <c r="E51" i="3"/>
  <c r="O50" i="3"/>
  <c r="N50" i="3"/>
  <c r="F50" i="3"/>
  <c r="E50" i="3"/>
  <c r="O49" i="3"/>
  <c r="N49" i="3"/>
  <c r="F49" i="3"/>
  <c r="E49" i="3"/>
  <c r="O48" i="3"/>
  <c r="N48" i="3"/>
  <c r="F48" i="3"/>
  <c r="E48" i="3"/>
  <c r="O47" i="3"/>
  <c r="N47" i="3"/>
  <c r="F47" i="3"/>
  <c r="E47" i="3"/>
  <c r="O46" i="3"/>
  <c r="N46" i="3"/>
  <c r="F46" i="3"/>
  <c r="E46" i="3"/>
  <c r="O45" i="3"/>
  <c r="N45" i="3"/>
  <c r="F45" i="3"/>
  <c r="E45" i="3"/>
  <c r="O44" i="3"/>
  <c r="N44" i="3"/>
  <c r="H44" i="3"/>
  <c r="F44" i="3"/>
  <c r="E44" i="3"/>
  <c r="O43" i="3"/>
  <c r="N43" i="3"/>
  <c r="F43" i="3"/>
  <c r="E43" i="3"/>
  <c r="O42" i="3"/>
  <c r="N42" i="3"/>
  <c r="F42" i="3"/>
  <c r="E42" i="3"/>
  <c r="O41" i="3"/>
  <c r="N41" i="3"/>
  <c r="F41" i="3"/>
  <c r="E41" i="3"/>
  <c r="O40" i="3"/>
  <c r="N40" i="3"/>
  <c r="F40" i="3"/>
  <c r="E40" i="3"/>
  <c r="O39" i="3"/>
  <c r="N39" i="3"/>
  <c r="F39" i="3"/>
  <c r="E39" i="3"/>
  <c r="O38" i="3"/>
  <c r="N38" i="3"/>
  <c r="F38" i="3"/>
  <c r="E38" i="3"/>
  <c r="O37" i="3"/>
  <c r="N37" i="3"/>
  <c r="F37" i="3"/>
  <c r="E37" i="3"/>
  <c r="O36" i="3"/>
  <c r="N36" i="3"/>
  <c r="F36" i="3"/>
  <c r="E36" i="3"/>
  <c r="O35" i="3"/>
  <c r="N35" i="3"/>
  <c r="F35" i="3"/>
  <c r="E35" i="3"/>
  <c r="O34" i="3"/>
  <c r="N34" i="3"/>
  <c r="F34" i="3"/>
  <c r="E34" i="3"/>
  <c r="O33" i="3"/>
  <c r="N33" i="3"/>
  <c r="F33" i="3"/>
  <c r="E33" i="3"/>
  <c r="O32" i="3"/>
  <c r="N32" i="3"/>
  <c r="F32" i="3"/>
  <c r="E32" i="3"/>
  <c r="O31" i="3"/>
  <c r="N31" i="3"/>
  <c r="F31" i="3"/>
  <c r="E31" i="3"/>
  <c r="O30" i="3"/>
  <c r="N30" i="3"/>
  <c r="F30" i="3"/>
  <c r="E30" i="3"/>
  <c r="O29" i="3"/>
  <c r="N29" i="3"/>
  <c r="F29" i="3"/>
  <c r="E29" i="3"/>
  <c r="O28" i="3"/>
  <c r="N28" i="3"/>
  <c r="F28" i="3"/>
  <c r="E28" i="3"/>
  <c r="O27" i="3"/>
  <c r="N27" i="3"/>
  <c r="F27" i="3"/>
  <c r="E27" i="3"/>
  <c r="O26" i="3"/>
  <c r="N26" i="3"/>
  <c r="F26" i="3"/>
  <c r="E26" i="3"/>
  <c r="O25" i="3"/>
  <c r="N25" i="3"/>
  <c r="F25" i="3"/>
  <c r="E25" i="3"/>
  <c r="O24" i="3"/>
  <c r="N24" i="3"/>
  <c r="F24" i="3"/>
  <c r="E24" i="3"/>
  <c r="O23" i="3"/>
  <c r="N23" i="3"/>
  <c r="F23" i="3"/>
  <c r="E23" i="3"/>
  <c r="O22" i="3"/>
  <c r="N22" i="3"/>
  <c r="F22" i="3"/>
  <c r="E22" i="3"/>
  <c r="O21" i="3"/>
  <c r="N21" i="3"/>
  <c r="F21" i="3"/>
  <c r="E21" i="3"/>
  <c r="O20" i="3"/>
  <c r="N20" i="3"/>
  <c r="F20" i="3"/>
  <c r="E20" i="3"/>
  <c r="O19" i="3"/>
  <c r="N19" i="3"/>
  <c r="F19" i="3"/>
  <c r="E19" i="3"/>
  <c r="O18" i="3"/>
  <c r="N18" i="3"/>
  <c r="F18" i="3"/>
  <c r="E18" i="3"/>
  <c r="O17" i="3"/>
  <c r="N17" i="3"/>
  <c r="F17" i="3"/>
  <c r="E17" i="3"/>
  <c r="O16" i="3"/>
  <c r="N16" i="3"/>
  <c r="F16" i="3"/>
  <c r="E16" i="3"/>
  <c r="O15" i="3"/>
  <c r="N15" i="3"/>
  <c r="F15" i="3"/>
  <c r="E15" i="3"/>
  <c r="O14" i="3"/>
  <c r="N14" i="3"/>
  <c r="F14" i="3"/>
  <c r="E14" i="3"/>
  <c r="O13" i="3"/>
  <c r="N13" i="3"/>
  <c r="F13" i="3"/>
  <c r="E13" i="3"/>
  <c r="O12" i="3"/>
  <c r="N12" i="3"/>
  <c r="F12" i="3"/>
  <c r="E12" i="3"/>
  <c r="O11" i="3"/>
  <c r="N11" i="3"/>
  <c r="F11" i="3"/>
  <c r="E11" i="3"/>
  <c r="O10" i="3"/>
  <c r="N10" i="3"/>
  <c r="F10" i="3"/>
  <c r="E10" i="3"/>
  <c r="O9" i="3"/>
  <c r="N9" i="3"/>
  <c r="F9" i="3"/>
  <c r="E9" i="3"/>
  <c r="O8" i="3"/>
  <c r="N8" i="3"/>
  <c r="L8" i="3"/>
  <c r="F8" i="3"/>
  <c r="E8" i="3"/>
  <c r="O7" i="3"/>
  <c r="N7" i="3"/>
  <c r="F7" i="3"/>
  <c r="E7" i="3"/>
  <c r="O6" i="3"/>
  <c r="N6" i="3"/>
  <c r="F6" i="3"/>
  <c r="E6" i="3"/>
  <c r="O5" i="3"/>
  <c r="N5" i="3"/>
  <c r="F5" i="3"/>
  <c r="E5" i="3"/>
  <c r="O4" i="3"/>
  <c r="N4" i="3"/>
  <c r="F4" i="3"/>
  <c r="E4" i="3"/>
  <c r="O3" i="3"/>
  <c r="N3" i="3"/>
  <c r="F3" i="3"/>
  <c r="E3" i="3"/>
  <c r="O2" i="3"/>
  <c r="N2" i="3"/>
  <c r="F2" i="3"/>
  <c r="E2" i="3"/>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 r="B4" i="2"/>
  <c r="B3" i="2"/>
  <c r="B2" i="2"/>
  <c r="B2" i="1"/>
</calcChain>
</file>

<file path=xl/sharedStrings.xml><?xml version="1.0" encoding="utf-8"?>
<sst xmlns="http://schemas.openxmlformats.org/spreadsheetml/2006/main" count="14416" uniqueCount="4460">
  <si>
    <t>Report</t>
  </si>
  <si>
    <t>Indy Eleven Raw Reports (March 2024-Oct. 2024)</t>
  </si>
  <si>
    <t>URL</t>
  </si>
  <si>
    <t>Exported On</t>
  </si>
  <si>
    <t>Generated By</t>
  </si>
  <si>
    <t>Cathy Kightlinger</t>
  </si>
  <si>
    <t>Links</t>
  </si>
  <si>
    <t>Total Engagement</t>
  </si>
  <si>
    <t>Average Engagement</t>
  </si>
  <si>
    <t>Total UVM (Insights by Similarweb)</t>
  </si>
  <si>
    <t>Total AVE</t>
  </si>
  <si>
    <t>Total Journalist Shares</t>
  </si>
  <si>
    <t>Total Journalist Reach</t>
  </si>
  <si>
    <t>Article</t>
  </si>
  <si>
    <t>Author</t>
  </si>
  <si>
    <t>Media Outlet</t>
  </si>
  <si>
    <t>Published</t>
  </si>
  <si>
    <t>Snippet</t>
  </si>
  <si>
    <t>UVM (Insights by Similarweb)</t>
  </si>
  <si>
    <t>Journalist Shares</t>
  </si>
  <si>
    <t>Journalist Reach</t>
  </si>
  <si>
    <t>Sentiment</t>
  </si>
  <si>
    <t>Advertising Value Equivalency</t>
  </si>
  <si>
    <t>Pitch Placement</t>
  </si>
  <si>
    <t>Our Sports Central</t>
  </si>
  <si>
    <t>Positive</t>
  </si>
  <si>
    <t>Nicholas Murray -, Nicholas Murray</t>
  </si>
  <si>
    <t>USL League One</t>
  </si>
  <si>
    <t>USL Championship</t>
  </si>
  <si>
    <t>Doug Roberson</t>
  </si>
  <si>
    <t>The Atlanta Journal-Constitution</t>
  </si>
  <si>
    <t>Neutral</t>
  </si>
  <si>
    <t>Match Preview: Rhode Island FC at Indy Eleven: November 3, 2024</t>
  </si>
  <si>
    <t>The Ocean State club is set to face Indy Eleven in the Eastern Conference Quarterfinals in a single-elimination, fixed bracket playoff race, with the ultimate goal of reaching the USL Championship final on Nov. 23 at 12 p.m. (CBS).</t>
  </si>
  <si>
    <t>Coming Up</t>
  </si>
  <si>
    <t>The Herald Bulletin</t>
  </si>
  <si>
    <t>USL Championship Playoffs – Rhode Island FC at Indy Eleven, 1 p.m.
NFL – Indianapolis Colts at Minnesota Vikings, 8 p.m.</t>
  </si>
  <si>
    <t>Indy Eleven Coaches Show Episode 9</t>
  </si>
  <si>
    <t>WISH-TV (Indianapolis, IN)</t>
  </si>
  <si>
    <t>Podcasts &gt; The Indy Eleven Coaches Show
New!</t>
  </si>
  <si>
    <t>Yahoo Sport UK</t>
  </si>
  <si>
    <t>Yahoo Sports Canada</t>
  </si>
  <si>
    <t>Indy Eleven to Host Playoff Game Sunday at 1 PM</t>
  </si>
  <si>
    <t>Indy Eleven to Host Playoff Game Sunday at 1 PM
October 30, 2024 - United Soccer League Championship (USL)
Indy Eleven News Release
INDIANAPOLIS - Indy Eleven will host its first USL Championship playoff home game since 2019 on Sunday, November 3 vs.</t>
  </si>
  <si>
    <t>USL Championship Playoffs Preview - Indy Eleven vs. Rhode Island FC</t>
  </si>
  <si>
    <t>Nicholas Murray, Nicholas Murray -</t>
  </si>
  <si>
    <t>INDIANAPOLIS – Indy Eleven will welcome Rhode Island FC on Sunday in the Eastern Conference Quarterfinals of the 2024 USL Championship Playoffs presented by Terminix with Rhode Island aiming to extend a successful inaugural season against an Indy side looking for its first postseason victory in five</t>
  </si>
  <si>
    <t>Negative</t>
  </si>
  <si>
    <t>Loan Watch | Hunter Sulte and Indy Eleven prepare for USL Championship Playoffs</t>
  </si>
  <si>
    <t>Portland Timbers</t>
  </si>
  <si>
    <t>shorturl.at</t>
  </si>
  <si>
    <t>Portland Timbers Homegrown goalkeeper Hunter Sulte has spent just over eight months on loan at Indy Eleven in the USL Championship.
Arriving in February of this year, Sulte made his Indy Eleven debut a couple of months later with a solid performance in a 1-1 draw with Colorado Springs.</t>
  </si>
  <si>
    <t>USL Championship Power Rankings - Week 34</t>
  </si>
  <si>
    <t>OC 
5
Last Week:
12 
8
 North Carolina FC
(13-12-9)
Playoffs: @ LOU
5
Last Week: 
13 
9
 Indy Eleven
(14-11-9)
Playoffs: vs.</t>
  </si>
  <si>
    <t>Indy Eleven Playoff Ticket Giveaway!</t>
  </si>
  <si>
    <t>Allan Haw</t>
  </si>
  <si>
    <t>NewsPub</t>
  </si>
  <si>
    <t>What's Up Newp</t>
  </si>
  <si>
    <t>Jacob Rousseau</t>
  </si>
  <si>
    <t>Our Community Now</t>
  </si>
  <si>
    <t>Michael Lewis</t>
  </si>
  <si>
    <t>Front Row Soccer</t>
  </si>
  <si>
    <t>Saturday night will also see No. 3 seed Detroit City FC play host to a playoff game for the first time since it joined the league when it hosts the No. 6 seed Tampa Bay Rowdies at Keyworth Stadium, while No. 4 seed Indy Eleven will host first-year club and No. 5 seed Rhode Island FC on Sunday at Michael</t>
  </si>
  <si>
    <t>Field for 2024 USL Championship Playoffs presented by Terminix Set</t>
  </si>
  <si>
    <t>Detroit News</t>
  </si>
  <si>
    <t>Match Center | USLChampionship.com</t>
  </si>
  <si>
    <t>skip navigation
Tampa Bay Rowdies vs Indy Eleven</t>
  </si>
  <si>
    <t>Rowdies Close Regular Season with 3-0 WIN Over Indy</t>
  </si>
  <si>
    <t>October 26, 2024 - United Soccer League Championship (USL)
Tampa Bay Rowdies News Release
BRADENTON, FL - The Tampa Bay Rowdies closed out the regular season with an emphatic 3-0 victory over Indy Eleven at IMG Academy on Saturday night.</t>
  </si>
  <si>
    <t>Indy Eleven Earns #4 Seed, Will Host Rhode Island in USLC Playoffs</t>
  </si>
  <si>
    <t>October 26, 2024 - United Soccer League Championship (USL)
Indy Eleven News Release
Bradenton, Fla. - Indy Eleven completed its regular season with a 3-0 setback at the Tampa Bay Rowdies on Saturday night, snapping its five-match unbeaten streak.</t>
  </si>
  <si>
    <t>10.26.2024: Tampa Bay Rowdies vs. Indy Eleven - Game Highlights</t>
  </si>
  <si>
    <t>Indy Eleven - Game Highlights
October 26, 2024 - United Soccer League Championship (USL)
Tampa Bay Rowdies YouTube Video
Manuel Arteaga and Cal Jennings each found the net as the Tampa Bay Rowdies headed into the 2024 USL Championship Playoffs with a 3-0 victory against Indy Eleven at IMG Academy</t>
  </si>
  <si>
    <t>Soccer Saturday 10/26/24</t>
  </si>
  <si>
    <t>Corbin Lingenfelter</t>
  </si>
  <si>
    <t>WFNI-AM (Indianapolis, IN)</t>
  </si>
  <si>
    <t>[Indianapolis, IN]- Soccer Saturday with Greg Rakestraw returns and it is jam packed with Indy Eleven and Soccer world guests. … McAuley recaps the last match, making the playoffs in his first season, and more.
19:40-33:45- Indy Eleven’s Jack Blake and Laurence Woten join. Blake and Woten recap their goals, making the playoffs and more.
33:45-50:22- Angela Barry-White joins.</t>
  </si>
  <si>
    <t>WWJ-TV (Detroit, MI)</t>
  </si>
  <si>
    <t>Camel resident enjoying second stint with Indy Eleven</t>
  </si>
  <si>
    <t>Mark Ambrogi</t>
  </si>
  <si>
    <t>Current Publishing</t>
  </si>
  <si>
    <t>Cam Lindley is finding the second time around with the Indy Eleven to be quite special.
The Carmel resident started all 34 matches in 2023. Heading into the Oct. 26 regular-season finale, the midfielder had started 21 of 28 matches this season.</t>
  </si>
  <si>
    <t>USL Championship – Indy Eleven at Tampa Bay Rowdies, 7:30 p.m.
NFL – Indianapolis Colts at Houston Texans, 1 p.m.
NBA – Philadelphia 76ers at Indiana Pacers, 3:30 p.m.
NBA – Indiana Pacers at Orlando Magic, 7 p.m.</t>
  </si>
  <si>
    <t>Jerin Steele</t>
  </si>
  <si>
    <t>Pittsburgh Tribune-Review</t>
  </si>
  <si>
    <t>Detroit City Wire</t>
  </si>
  <si>
    <t>The USL Championship Weekend: The Interconference Finale</t>
  </si>
  <si>
    <t>#TBRvIND: The Tampa Bay Rowdies got the job done for themselves, and in a strange way for Indy Eleven on Wednesday night, with the Boys in Blue guaranteed a home game thanks to the Rowdies’ draw against Hartford.</t>
  </si>
  <si>
    <t>Preview: Rowdies vs Indy Eleven</t>
  </si>
  <si>
    <t>October 25, 2024 - United Soccer League Championship (USL)
Tampa Bay Rowdies News Release
Matchday 34 Info:      
Tampa Bay Rowdies vs Indy Eleven   
Saturday, October 26, 7:30 p.m.</t>
  </si>
  <si>
    <t>Indy Eleven clinches home playoff berth, sets sights on conference quarterfinals</t>
  </si>
  <si>
    <t>Scott Sander</t>
  </si>
  <si>
    <t>INDIANAPOLIS (WISH) — The mercurial season of the Indy Eleven will go to stoppage time!
Much as soccer referees almost always add extra minutes to a match, the Eleven have been working hard to make sure Sunday’s regular season finale is not the final whistle on the year.</t>
  </si>
  <si>
    <t>USL Championship – Indy Eleven at Tampa Bay Rowdies, 7:30 p.m.
NFL – Indianapolis Colts at Houston Texans, 1 p.m.
NBA – Philadelphia 76ers at Indiana Pacers, 3:30 p.m.</t>
  </si>
  <si>
    <t>Indy Eleven to Host Home Playoff Game on Sunday, November 3</t>
  </si>
  <si>
    <t>October 23, 2024 - United Soccer League Championship (USL)
Indy Eleven News Release
INDIANAPOLIS - The Indy Eleven will host a 2024 USL Championship Eastern Conference quarterfinal game on Sunday, November 3 at Carroll Stadium. Match time and opponent have not been determined.</t>
  </si>
  <si>
    <t>Patrik Bergabo</t>
  </si>
  <si>
    <t>Sporting Kansas City</t>
  </si>
  <si>
    <t>USL Championship – Indy Eleven at Tampa Bay Rowdies, 7:30 p.m.</t>
  </si>
  <si>
    <t>USL Championship Team of the Week - Week 33</t>
  </si>
  <si>
    <t>Rodriguez earned 67 percent of the ballot to claim the award, with Indy Eleven’s Jack Blake, Hartford Athletic’s Emmanuel Samadia and Orange County SC’s Colin Shutler finishing tied for second on 11 percent apiece. … M – Rida Zouhir, Birmingham Legion FC: The 20-year-old Canadian had a stellar display in a losing cause as Legion fell to Indy Eleven, recording six shots and four chances created while completing 71 of 83 passes and winning 7 of 13 duels before capping his night with a brilliant 35-yard strike late</t>
  </si>
  <si>
    <t>USL League One Team of the Week - Week 24</t>
  </si>
  <si>
    <t>Nicholas Murray -, Nicholas Murray, Christian Hirschboeck</t>
  </si>
  <si>
    <t>M - Max Schneider, Union Omaha: The Bayer 04 Leverkusen academy product and Indy Eleven loanee dished out the winning assist in the 90th minute to help Omaha confirm its third USL League One Players' Shield.</t>
  </si>
  <si>
    <t>John Krysinsky</t>
  </si>
  <si>
    <t>Pittsburgh Soccer Now</t>
  </si>
  <si>
    <t>Where to watch the USL Championship and USL League One this week</t>
  </si>
  <si>
    <t>Emily Hopkins</t>
  </si>
  <si>
    <t>Indy Eleven vs. Birmingham Legion FC from Oct. 19, 2024</t>
  </si>
  <si>
    <t>Michaela Springer</t>
  </si>
  <si>
    <t>INDIANAPOLIS (WISH) — Did you miss Saturday’s match between Indy Eleven and Birmingham Legion FC?
Click on the video above to catch every minute of the action!
The Boys in Blue will return to WISH-TV on Oct. 36 when they play at the Tampa Bay Rowdies.</t>
  </si>
  <si>
    <t>Slideshow: Indy Eleven Clinch Play Off Spot</t>
  </si>
  <si>
    <t>Matt Edwards</t>
  </si>
  <si>
    <t>Nuvo</t>
  </si>
  <si>
    <t>State AlabamaAlaskaArizonaArkansasCaliforniaColoradoConnecticutDelawareFloridaGeorgiaHawaiiIdahoIllinoisIndianaIowaKansasKentuckyLouisianaMaineMarylandMassachusettsMichiganMinnesotaMississippiMissouriMontanaNebraskaNevadaNew HampshireNew JerseyNew MexicoNew YorkNorth CarolinaNorth DakotaOhioOklahomaOregonPennsylvaniaRhode IslandSouth CarolinaSouth DakotaTennesseeTexasUtahVermontVirginiaWashingtonWashington D.C.West VirginiaWisconsinWyomingPuerto RicoUS Virgin IslandsArmed Forces AmericasArmed...</t>
  </si>
  <si>
    <t>Indy Eleven vs Birmingham Legion FC</t>
  </si>
  <si>
    <t>skip navigation
Indy Eleven vs Birmingham Legion FC</t>
  </si>
  <si>
    <t>Legion FC Fights to the End in 3-2 Loss at Indy</t>
  </si>
  <si>
    <t>Unfortunately, the tough month continued for The Three Sparks as it came up just short in a 3-2 loss at Indy Eleven on Saturday night.</t>
  </si>
  <si>
    <t>Indy Eleven Clinch Playoff Berth with 3-2 Victory</t>
  </si>
  <si>
    <t>October 19, 2024 - United Soccer League Championship (USL)
Indy Eleven News Release
Indianapolis - Indy Eleven clinched a berth in the USL Championship playoffs with an exciting 3-2 victory over Birmingham Legion FC at Carroll Stadium on Saturday night.</t>
  </si>
  <si>
    <t>Indy Eleven vs. Birmingham Legion FC - Game Highlights</t>
  </si>
  <si>
    <t>Indy Eleven vs.</t>
  </si>
  <si>
    <t>DC News Now</t>
  </si>
  <si>
    <t>Soccer Saturday 10/19/24</t>
  </si>
  <si>
    <t>Today’s guests feature Sean McAuley, Logan Neidlinger, and Wrexham AFC’s Mark Griffiths.
00:00-1:29- Greg Rakestraw previews today’s show.
1:29-16:43- Indy Eleven Head Coach Sean McAuley makes his weekly stop on the show.</t>
  </si>
  <si>
    <t>Carmel teen gets invaluable training as member of Indy Eleven  • Current Publishing</t>
  </si>
  <si>
    <t>McCoy started with Indy Eleven in the preseason in January. He has been with the Indiana Fire, which is now Indy Eleven Academy, since he was 12.
“I’ve been playing soccer as long as I can remember,” said McCoy, who started playing in the Carmel Dads’ Club.</t>
  </si>
  <si>
    <t>USL Championship - Birmingham Legion FC at Indy Eleven, 7 p.m.
Sunday 
NFL - Miami Dolphins at Indianapolis Colts, 1 p.m.
ECHL - Indy Fuel at Atlanta Gladiators, 3 p.m.
Monday 
No events scheduled
Tuesday 
No events scheduled</t>
  </si>
  <si>
    <t>Warmer forecast for weekend events in central Indiana</t>
  </si>
  <si>
    <t>WTHR-TV (Indianapolis, IN)</t>
  </si>
  <si>
    <t>- Temperatures will be in the 60s for the start of Indy Eleven tonight at Carroll Stadium
- We'll drop into the 50s this evening, so jackets are required!</t>
  </si>
  <si>
    <t>Mirror Indy (US)</t>
  </si>
  <si>
    <t>Indy Eleven's fan appreciation event to end regular season - Indianapolis News</t>
  </si>
  <si>
    <t>Dylan Hodges</t>
  </si>
  <si>
    <t>LIFE.STYLE.LIVE!</t>
  </si>
  <si>
    <t>Indy Eleven is gearing up for a major fan appreciation event during their final home game of the regular season. The event, scheduled for Sat., Oct. 19, will see the team face off against Birmingham Legion.</t>
  </si>
  <si>
    <t>Yahoo Sports</t>
  </si>
  <si>
    <t>Marc Topkin</t>
  </si>
  <si>
    <t>Tampa Bay Times</t>
  </si>
  <si>
    <t>WTSP-TV (St Petersburg, FL)</t>
  </si>
  <si>
    <t>USL Championship – Birmingham Legion FC at Indy Eleven, 7 p.m.
NFL – Miami Dolphins at Indianapolis Colts, 1 p.m.
ECHL – Indy Fuel at Atlanta Gladiators, 3 p.m.</t>
  </si>
  <si>
    <t>Indianapolis weekend events: Rocky Horror Picture Show, Bands of America, Dane Cook and more</t>
  </si>
  <si>
    <t>Justin L. Mack</t>
  </si>
  <si>
    <t>Axios Indianapolis</t>
  </si>
  <si>
    <t>⚽ Cheer for the Indy Eleven as they host Birmingham Legions FC for fan appreciation night at Carroll Stadium, 7pm Saturday.
🎤 Take in a Cher tribute show when "The Beat Goes On" goes down at Butler's Schrott Center for the Arts, 6pm Sunday.</t>
  </si>
  <si>
    <t>WTTV-TV (Indianapolis, IN)</t>
  </si>
  <si>
    <t>WXIN-TV (Indianapolis, IN)</t>
  </si>
  <si>
    <t>Howl &amp; Wine and more from the WISH-TV Community Calendar!</t>
  </si>
  <si>
    <t>Saturday, October 19, 1:00pm-3:30pm
19000 Grand Park Blvd,
Westfield, IN
Chicken &amp; Beer Festival
Saturday, October 19, 2:00pm-8:00pm
325 N Meridian Street
Indianapolis, IN
Garfield Park Art and Music Festival
Saturday, October 19, 4:00pm-9:00pm
2425 Conservatory Dr
North Indianapolis, IN
Indy … Eleven vs.</t>
  </si>
  <si>
    <t>USL Championship – Birmingham Legion FC at Indy Eleven, 7 p.m.</t>
  </si>
  <si>
    <t>USL Championship Team of the Week - Week 32</t>
  </si>
  <si>
    <t>D – Ben Ofeimu, Indy Eleven: Ofeimu led Indy’s back line to a pair of shutouts over the week, recording a team-high 20 clearances while winning 9 of 14 duels and notching the assist on the side’s game-winning goal against Loudoun United FC on Tuesday night.</t>
  </si>
  <si>
    <t>Ofeimu &amp; Sulte on USL Championship</t>
  </si>
  <si>
    <t>October 15, 2024 - United Soccer League Championship (USL)
Indy Eleven News Release
Tampa, Fla. - Defender Ben Ofeimu and goalie Hunter Sulte have been named to the USL Championship "Team of the Week" after leading Indy Eleven to back-to-back shutouts on the road last week.</t>
  </si>
  <si>
    <t>Indy Eleven vs. Birmingham Legion FC at Michael A. Carroll Stadium (IUPUI)</t>
  </si>
  <si>
    <t>Do317</t>
  </si>
  <si>
    <t>Indy Eleven vs. Birmingham Legion FC
 Edit</t>
  </si>
  <si>
    <t>Detroit City FC secures playoff spot after draw against Indy Eleven</t>
  </si>
  <si>
    <t>Detroit City FC secured a spot in the 2024 USL Championship playoffs with a goalless draw against Indy Eleven at Keyworth Stadium. Despite dominating possession, Detroit struggled to convert their chances into goals.</t>
  </si>
  <si>
    <t>Detroit City FC aims to secure playoff spot against Indy Eleven</t>
  </si>
  <si>
    <t>Detroit City FC is preparing for a crucial match against Indy Eleven at Keyworth Stadium this Saturday. The game, significant for both teams' playoff aspirations, will begin at 4:00 PM EDT and can be watched on ESPN+ or CW Detroit 50 (WKBD-TV).</t>
  </si>
  <si>
    <t>Detroit City FC plays Indy Eleven to scoreless draw, clinches playoff spot</t>
  </si>
  <si>
    <t>Detroit City FC clinched a United Soccer League Championship playoff spot by playing to a scoreless draw with Indy Eleven on Saturday in Hamtramck.</t>
  </si>
  <si>
    <t>Sulte Second Straight Shutout Earns Key Road Point</t>
  </si>
  <si>
    <t>October 12, 2024 - United Soccer League Championship (USL)
Indy Eleven News Release
Hamtramck, Mich. - Indy Eleven goalie Hunter Sulte recorded his ninth clean sheet of the season and his second in a row to help his team to a key road point in a scoreless tie at Detroit City on Saturday afternoon.</t>
  </si>
  <si>
    <t>Detroit City FC vs. Indy Eleven - Game Highlights</t>
  </si>
  <si>
    <t>Indy Eleven - Game Highlights
October 12, 2024 - United Soccer League Championship (USL)
Detroit City FC YouTube Video
Detroit City FC earned its third consecutive trip to the USL Championship Playoffs as it played to a scoreless draw with Indy Eleven at Keyworth Stadium.</t>
  </si>
  <si>
    <t>Watch Live: Detroit City FC vs. Indy Eleven</t>
  </si>
  <si>
    <t>(CBS DETROIT) - Detroit City FC returns to Keyworth Stadium this Saturday to start the final homestand for the regular season, facing off against Eastern Conference rival Indy Eleven.</t>
  </si>
  <si>
    <t>Soccer Saturday 10/12/2024</t>
  </si>
  <si>
    <t>Host Greg Rakestraw is joined by Sean McAuley, Neil Ruhle, James Jenkins, and Andrew Minnis.
00:00-1:00- Greg Rakestraw runs down today’s guests.
1:00-16:13- Indy Eleven Head Coach Sea McAuley makes his weekly stop.</t>
  </si>
  <si>
    <t>USL Championship – Indy Eleven at Detroit City FC, 4 p.m.
ECHL – Indy Fuel at Bloomington Bison, 6 p.m.
NFL – Indianapolis Colts at Tennessee Titans, 1 p.m.
NBA Preseason – Memphis Grizzlies at Indiana Pacers, 7 p.m.</t>
  </si>
  <si>
    <t>Le Rouge Can Clinch a Playoff Spot Today against Indy Eleven</t>
  </si>
  <si>
    <t>Eleven. … But in the US Open Cup in May, Indy Eleven claimed a 3-0 victory and moved on to the quarterfinals.
Le Rouge's final regular-season match at Keyworth Stadium for the 2024 season kicks off next Saturday against Miami FC. Kickoff is set for 4 p.m.</t>
  </si>
  <si>
    <t>Other Recent Indy Eleven Stories</t>
  </si>
  <si>
    <t>Indy Eleven Named to the IBJ</t>
  </si>
  <si>
    <t>October 11, 2024 - United Soccer League Championship (USL)
Indy Eleven News Release
INDIANAPOLIS - Indy Eleven has been selected to the Top 25 attractions list on the 2024 IBJ (Indianapolis Business Journal) "Most Popular Attractions" list published today, which for efficiency purposes rank these top</t>
  </si>
  <si>
    <t>On Tuesday night, the Hounds did get some good news, as eighth place Loudoun United FC fell, 1-0, to Indy Eleven, thanks to a late second half goal from James Musa.
It's James Musa with the breakthrough in his 200th regular season appearance 😤 @IndyEleven takes the lead late!</t>
  </si>
  <si>
    <t>USL Championship – Indy Eleven at Detroit City FC, 4 p.m.
ECHL – Indy Fuel at Bloomington Bison, 6 p.m.
NFL – Indianapolis Colts at Tennessee Titans, 1 p.m.</t>
  </si>
  <si>
    <t>Which USL Championship and League One players are on international duty this week?</t>
  </si>
  <si>
    <t>Guinea Bissau (1) – Bura Nogueira (San Antonio FC)
Haiti (2) – Ronaldo Damus (Colorado Springs Switchbacks FC), Duke Lacroix (Colorado Springs Switchbacks FC)
Jamaica (3) – Tyreek Magee (Colorado Springs Switchbacks FC), Jahmali Waite (El Paso Locomotive FC), Romario Williams (Indy … Eleven)
Malta (1) – Yannik Yankam (Lexington SC)
Puerto Rico (4) – Nicolas Cardona (Miami FC), Jaden Servania (North Carolina FC), Steven Echevarria (Colorado Springs Switchbacks FC)
Rwanda (1) – Jojea Kwizera (Rhode Island FC), Nshuti Innocent (One Knoxville SC)
St.</t>
  </si>
  <si>
    <t>Indy Eleven signs Academy product Logan Neidlinger to first pro contract</t>
  </si>
  <si>
    <t>INDIANAPOLIS – Indy Eleven announced on Wednesday it had signed Academy product Logan Neidlinger to his first professional contract. The 19-year-old Indiana native had previously competed for the side as a USL Academy signing this season.</t>
  </si>
  <si>
    <t>Logan Neidlinger Third Indy Eleven Academy Player to Sign a Professional Contract</t>
  </si>
  <si>
    <t>October 9, 2024 - United Soccer League Championship (USL)
Indy Eleven News Release
INDIANAPOLIS - Indy Eleven has signed defender Logan Neidlinger to a professional contract. The 19-year-old Indiana native had been on a USL Academy contract with the club that started on January 30, 2024.</t>
  </si>
  <si>
    <t>USL Championship – Indy Eleven at Detroit City FC, 4 p.m.
ECHL – Indy Fuel at Bloomington Bison, 6 p.m.</t>
  </si>
  <si>
    <t>USL Championship Playoff Race Update: Riverhounds get some help from Indy Eleven</t>
  </si>
  <si>
    <t>Striker Augustine Williams Named In USL Team Of The Week</t>
  </si>
  <si>
    <t>Alie Bittar</t>
  </si>
  <si>
    <t>Football Sierra Leone</t>
  </si>
  <si>
    <t>Indy Eleven forward Augi Williams has been recognized as part of the USL Championship Team of the Week for the second consecutive week.</t>
  </si>
  <si>
    <t>Loudoun United FC falls to Indy Eleven 1-0 with three matches remaining</t>
  </si>
  <si>
    <t>Derek Forrest</t>
  </si>
  <si>
    <t>(DC News Now) — Heading into Tuesday night’s match with Indy Eleven, Loudoun United FC controlled their own destiny for postseason play as they were sitting in the 8th and final playoff spot in the eastern conference with 41 points. A win or a draw would go a long way earning them points.</t>
  </si>
  <si>
    <t>Loudoun United FC unable to secure points at home following a 0-1 loss to Indy Eleven at Segra Field</t>
  </si>
  <si>
    <t>With this result, Loudoun United FC remains in 8th place with 41 points and Indy Eleven moves up to 4th place with 47 points in an ever changing Eastern Conference playoff race.</t>
  </si>
  <si>
    <t>10.8.2024: Loudoun United FC vs. Indy Eleven - Game Highlights</t>
  </si>
  <si>
    <t>Indy Eleven - Game Highlights
October 8, 2024 - United Soccer League Championship (USL)
Loudoun United FC YouTube Video
James Musa marked his 200th regular season appearance in the USL Championship with a late game-winner as Indy Eleven earned a 1-0 victory against Loudoun United FC at Segra Field</t>
  </si>
  <si>
    <t>Indy Eleven 4th in Eastern Conference After Critical 1-0 Road Win</t>
  </si>
  <si>
    <t>October 8, 2024 - United Soccer League Championship (USL)
Indy Eleven News Release
Leesburg, Va. - Indy Eleven moved up two positions to fourth place in the USL Championship Eastern Conference standings with a crucial 1-0 road victory at Loudoun United in a rare mid-week contest.</t>
  </si>
  <si>
    <t>WATCH LIVE: Loudoun United FC vs. Indy Eleven FC</t>
  </si>
  <si>
    <t>(DC News Now) — Watch Loudoun United FC face off against Indy Eleven FC in the live stream player above.
Loudoun United FC is hosting Indy Eleven FC on Tuesday night starting at 7 p.m. at Segra Field.
DC News Now is Loudoun United FC’s official media team.</t>
  </si>
  <si>
    <t>Loudoun United FC vs. Indy Eleven FC pre-match show</t>
  </si>
  <si>
    <t>With Indy Eleven coming to town Tuesday night over at Segra Field in Leesburg, Virginia, a win, and three points would go a long way. 
Kickoff between the two clubs is set for 7pm. 
Loudoun is currently 11-8-11 on the season.</t>
  </si>
  <si>
    <t>With Indy Eleven coming to town Tuesday night over at Segra Field in Leesburg, Virginia, a win, and three points would go a long way.
Kickoff between the two clubs is set for 7pm.
Loudoun is currently 11-8-11 on the season.</t>
  </si>
  <si>
    <t>USL Championship Team of the Week - Week 31</t>
  </si>
  <si>
    <t>F – Augustine Williams, Indy Eleven: The Sierra Leone international scored both goals for Indy in its 2-2 draw against LIPAFC rival Louisville City FC on Saturday night, putting home both of his shots on the night while also completing 13 of 18 passes and winning 5 of 11 duels.</t>
  </si>
  <si>
    <t>Mark Ogden</t>
  </si>
  <si>
    <t>ESPN</t>
  </si>
  <si>
    <t>ESPN UK</t>
  </si>
  <si>
    <t>USL Championship – Indy Eleven at Loudon United FC, 7 p.m.
NBA Preseason – Indiana Pacers at Atlanta Hawks, 7:30 p.m.
NBA Preseason – Indiana Pacers at Cleveland Cavaliers, 7 p.m.</t>
  </si>
  <si>
    <t>Loudoun United FC vs Indy Eleven: October 8, 2024</t>
  </si>
  <si>
    <t>Other Recent Loudoun United FC Stories</t>
  </si>
  <si>
    <t>Sierra Leone's Augustine Williams Nets Brace In Indy's Draw</t>
  </si>
  <si>
    <t>Augi made history as the first Indy Eleven player to score five goals in consecutive matches, following his hat trick against Miami FC on September 28.
He currently leads the Eleven with 10 goals this season, marking his third consecutive campaign with double-digit goals.</t>
  </si>
  <si>
    <t>Indy Eleven vs. Louisville FC from Oct. 5, 2024</t>
  </si>
  <si>
    <t>INDIANAPOLIS (WISH) — Did you miss Saturday’s match between Indy Eleven and The Miami FC?
Click on the video above to catch every minute of the action!
The Boys in Blue will return to WISH-TV on Oct. 19 when they host Birmingham Legion FC.</t>
  </si>
  <si>
    <t>USL Championship – Indy Eleven at Loudon United FC, 7 p.m.
NBA Preseason – Indiana Pacers at Atlanta Hawks, 7:30 p.m.</t>
  </si>
  <si>
    <t>Augi Williams Makes More History in 2-2 Draw</t>
  </si>
  <si>
    <t>October 6, 2024 - United Soccer League Championship (USL)
Indy Eleven News Release
Indianapolis - Reigning USL Championship "Player of the Week" Augi Williams continued his scoring run with two goals to lead the host Boys in Blue in a 2-2 draw vs.</t>
  </si>
  <si>
    <t>Louisville City clinches regular season title with 2-2 draw against Indy Eleven</t>
  </si>
  <si>
    <t>WDRB-TV (Louisville, KY)</t>
  </si>
  <si>
    <t>LouCity Clinches Players' Shield on Late Equalizer at Indy Eleven</t>
  </si>
  <si>
    <t>Game Summary: Indy Eleven vs. Louisville City FC
Date: October 5, 2024
Venue: Carroll Stadium
Kickoff: 7 p.m.</t>
  </si>
  <si>
    <t>Indy Eleven vs. Louisville City FC - Game Highlights</t>
  </si>
  <si>
    <t>theblazingmusket.com</t>
  </si>
  <si>
    <t>Soccer Saturday - 10/5/24</t>
  </si>
  <si>
    <t>Elijah Roberson</t>
  </si>
  <si>
    <t>(0:00-3:52) Greg Rakestraw starts the show previewing the upcoming Indy Eleven vs. Louisville game. He talks about some of the fun themes for Indy Eleven’s upcoming game and where you can watch it, and previews the show.</t>
  </si>
  <si>
    <t>USL Championship – Louisville City FC at Indy Eleven, 7 p.m.
NFL – Indianapolis Colts at Jacksonville Jaguars, 1 p.m.
USL Championship – Indy Eleven at Loudon United FC, 7 p.m.
NBA Preseason – Indiana Pacers at Atlanta Hawks, 7:30 p.m.</t>
  </si>
  <si>
    <t>Sam Kovzan</t>
  </si>
  <si>
    <t>Who owns Indy Eleven? LouCity’s Wilson Harris has made it a habit over his career</t>
  </si>
  <si>
    <t>Since its launch, Ersal Ozdemir has served as owner of Indy Eleven.</t>
  </si>
  <si>
    <t>USL Championship – Louisville City FC at Indy Eleven, 7 p.m.
NFL – Indianapolis Colts at Jacksonville Jaguars, 1 p.m.</t>
  </si>
  <si>
    <t>Loudoun United FC vs. Indy Eleven</t>
  </si>
  <si>
    <t>AllEvents</t>
  </si>
  <si>
    <t>Indy Eleven
                             Don't miss Loudoun United FC vs. Indy Eleven happening at Segra Field, Leesburg, VA, United States. A great evening with good music and a laid-back atmosphere awaits you.</t>
  </si>
  <si>
    <t>What to Watch for with LouCity at Indy Eleven</t>
  </si>
  <si>
    <t>That's because LouCity plays at Indy Eleven, with kickoff set for 7 p.m. at Carroll Stadium in Indianapolis.
The return game of a 5-3 Louisville victory back in April will both decide the rivalry series and, under either of two scenarios, add silverware to the trophy case.</t>
  </si>
  <si>
    <t>Indy Eleven Coaches Show Episode 8</t>
  </si>
  <si>
    <t>Podcasts &gt; The Indy Eleven Coaches Show
New!
Indy Eleven Coaches Show Episode 8
Indy Eleven top man Sean McAuley previews the all-important LIPAFC matchup against Lousiville City.</t>
  </si>
  <si>
    <t>WHAS-TV (Louisville, KY)</t>
  </si>
  <si>
    <t>USL Championship – Louisville City FC at Indy Eleven, 7 p.m.</t>
  </si>
  <si>
    <t>Hat's off to Augi!: Indy Eleven's Augustine Williams Is USL Championship Player of the Week</t>
  </si>
  <si>
    <t>: Indy Eleven's Augustine Williams Is USL Championship Player of the Week
October 1, 2024 - United Soccer League Championship (USL)
Indy Eleven YouTube Video
The USL Championship announced the Team of the Week for Week 30 of the 2024 regular season on Tuesday, with Indy Eleven forward Augustine Williams</t>
  </si>
  <si>
    <t>Augi Williams USL Championship</t>
  </si>
  <si>
    <t>October 1, 2024 - United Soccer League Championship (USL)
Indy Eleven News Release
TAMPA, Fla. - The USL Championship announced its Team of the Week for Week 30 of the 2024 regular season, with Indy Eleven forward Augi Williams voted the Championship Player of the Week presented by Konami eFootball</t>
  </si>
  <si>
    <t>Then on Saturday night, the biggest rivalry in the Championship takes center stage as Indy Eleven hosts Louisville City FC in the latest edition of the Louisville-Indianapolis Proximity Association Football Contest at 7 p.m. ET.</t>
  </si>
  <si>
    <t>Jonah Fontela</t>
  </si>
  <si>
    <t>U.S. Soccer</t>
  </si>
  <si>
    <t>Win tickets to see the Indy Eleven play October 19</t>
  </si>
  <si>
    <t>Indy Eleven vs. The Miami FC from Sept. 28, 2024</t>
  </si>
  <si>
    <t>INDIANAPOLIS (WISH) — Did you miss Saturday’s match between Indy Eleven and The Miami FC?
Click on the video above to catch every minute of the action!
The Boys in Blue will return to WISH-TV on Oct. 5 when they host Louisville City FC. WISH will have all the action starting at 7 p.m.!</t>
  </si>
  <si>
    <t>Sierra Leone's Augustine Williams Nets Hat-trick In 13 Minutes</t>
  </si>
  <si>
    <t>Sierra Leone International Augustine Williams, a forward for Indy Eleven, scored three goals in their triumph over Miami FC, helping his team win 4-0 at Carroll Stadium. 
Williams’ hattrick came in the second half, within 13 minutes.</t>
  </si>
  <si>
    <t>Augi Williams Makes History in 4-0 Indy Eleven Victory</t>
  </si>
  <si>
    <t>September 28, 2024 - United Soccer League Championship (USL)
Indy Eleven News Release
Indianapolis - Indy Eleven forward Augi Williams became the third player in franchise history to record a hat trick to lead the Boys in Blue to a 4-0 victory over Miami FC at Carroll Stadium on Saturday night.</t>
  </si>
  <si>
    <t>9.28.2024: Indy Eleven vs. Miami FC - Game Highlights</t>
  </si>
  <si>
    <t>September 28, 2024 - United Soccer League Championship (USL)
Indy Eleven YouTube Video
Augustine Williams scored a second-half hat trick as Indy Eleven pulled away for a 4-0 victory against Miami FC at Michael A. Carroll Stadium to earn a second consecutive home victory for the Boys in Blue.</t>
  </si>
  <si>
    <t>Soccer Saturday- 9/28/24</t>
  </si>
  <si>
    <t>Greg talks with Indy Eleven Head Coach Sean McAuley, Justin Sullivan, and more.
Sign up for the 107.5 The Fan Newsletter to receive the latest news updates! … Eleven’s upcoming match and the rest of the show.
2:45-20:00- Indy Eleven Head Coach Sean McAuley joins.</t>
  </si>
  <si>
    <t>USL Championship – The Miami FC at Indy Eleven, 7 p.m.
NFL – Pittsburgh Steelers at Indianapolis Colts, 1 p.m.
MLB – St. Louis Cardinals at San Francisco Giants, 3:05 p.m.; Chicago White Sox at Detroit Tigers, 3:10 p.m.; Cincinnati Reds at Chicago Cubs, 3:20 p.m.</t>
  </si>
  <si>
    <t>Paul Kennedy</t>
  </si>
  <si>
    <t>Soccer America</t>
  </si>
  <si>
    <t>Match Preview: Miami FC at Indy Eleven</t>
  </si>
  <si>
    <t>Opponent: Indy Eleven Indy Eleven currently sits at sixth in the East. With 11 wins, seven draws, and 10 losses, they have 40 points on the board. Indy will be looking forward to their home advantage following last week's loss at North Carolina.</t>
  </si>
  <si>
    <t>Mickey Shuey</t>
  </si>
  <si>
    <t>Indianapolis Business Journal</t>
  </si>
  <si>
    <t>MLS Soccer</t>
  </si>
  <si>
    <t>BVM Sportsdesk</t>
  </si>
  <si>
    <t>BVM Sports</t>
  </si>
  <si>
    <t>Jeff Rueter</t>
  </si>
  <si>
    <t>Beth Limb</t>
  </si>
  <si>
    <t>Abhinav Sharma</t>
  </si>
  <si>
    <t>Goal</t>
  </si>
  <si>
    <t>Simon Borg</t>
  </si>
  <si>
    <t>Give Me Sport</t>
  </si>
  <si>
    <t>Jim Reineking</t>
  </si>
  <si>
    <t>Aol</t>
  </si>
  <si>
    <t>USA Today</t>
  </si>
  <si>
    <t>Knowledia</t>
  </si>
  <si>
    <t>USL Championship – The Miami FC at Indy Eleven, 7 p.m.</t>
  </si>
  <si>
    <t>Head Topics</t>
  </si>
  <si>
    <t>David Flower</t>
  </si>
  <si>
    <t>dailysports.net</t>
  </si>
  <si>
    <t>SBI Soccer</t>
  </si>
  <si>
    <t>Soccer Addict</t>
  </si>
  <si>
    <t>Tom Bogert</t>
  </si>
  <si>
    <t>Kurt Austin</t>
  </si>
  <si>
    <t>Soyoye Jedidiah</t>
  </si>
  <si>
    <t>Sportskeeda</t>
  </si>
  <si>
    <t>Indy Eleven vs. Miami FC at Michael A. Carroll Stadium (IUPUI)</t>
  </si>
  <si>
    <t>¡Celebremos juntos! Join us for Hispanic Heritage Night and in honoring the rich culture and diversity that makes our community vibrant. Do you know someone that is making a positive impact in the Hispanic community here in Indy? Nominate them now for a Campeones de la Comunidad Award!</t>
  </si>
  <si>
    <t>Nick Markanich is your goalscoring king, and the other key storylines from Week 29 in the USL Championship</t>
  </si>
  <si>
    <t>Indy Eleven’s momentum: The visitors just weren’t at the races in the first half against North Carolina FC and it cost them dearly. After the upswing of last week’s home win, this is another dent for a side that’s in danger of falling into a playoff race with one win in its last six games.</t>
  </si>
  <si>
    <t>Chad Smith</t>
  </si>
  <si>
    <t>kcsoccerjournal.com</t>
  </si>
  <si>
    <t>Raphael George</t>
  </si>
  <si>
    <t>Telecom Asia - CEASED</t>
  </si>
  <si>
    <t>KDKA-TV (Pittsburgh, PA)</t>
  </si>
  <si>
    <t>Holy City Sinner</t>
  </si>
  <si>
    <t>Indy Eleven Streak Ends at North Carolina</t>
  </si>
  <si>
    <t>September 22, 2024 - United Soccer League Championship (USL)
Indy Eleven News Release
Cary, NC - Indy Eleven's three-match unbeaten streak was snapped by a 2-0 decision at Eastern Conference foe North Carolina FC on Saturday.</t>
  </si>
  <si>
    <t>WCSC-TV (Charleston, SC)</t>
  </si>
  <si>
    <t>MATCH RECAP: North Carolina FC beats Indy Eleven 2-0</t>
  </si>
  <si>
    <t>Louis Fernandez Jr.</t>
  </si>
  <si>
    <t>WCMC-FM (Raleigh, NC)</t>
  </si>
  <si>
    <t>(Sept. 21, 2024) — North Carolina FC beat Indy Eleven, 2-0, at WakeMed Soccer Park behind an early strike from Rafa Mentzingen and a late insurance goal from Oalex Anderson.
With the win, NCFC improves to 9-10-9 on the season and moves up to 10th in the Eastern Conference standings.</t>
  </si>
  <si>
    <t>John Bradford speaks after 2-0 NCFC win vs. Indy Eleven</t>
  </si>
  <si>
    <t>With the win, NCFC improves to 9-10-9 on the season and moves up to 10th in the Eastern Conference standings.           Yeah, I thought it was a, a really well earned complete performance from the guys tonight and obviously, uh coming off last weekend and disappointment in terms of how we, how we approach that game and how that kind of worked itself out.</t>
  </si>
  <si>
    <t>North Carolina FC Blanks Indy Eleven, 2-0</t>
  </si>
  <si>
    <t>September 21, 2024 - United Soccer League Championship (USL)
North Carolina FC News Release
CARY, NC - North Carolina FC beat Indy Eleven, 2-0, at WakeMed Soccer Park behind an early strike from Rafa Mentzingen and a late insurance goal from Oalex Anderson.</t>
  </si>
  <si>
    <t>North Carolina FC vs. Indy Eleven - Game Highlights</t>
  </si>
  <si>
    <t>Indy Eleven - Game Highlights
September 21, 2024 - USL Super League (USLSL) YouTube Video
Rafael Mentzingen and Oalex Anderson scored in either half as North Carolina FC rebounded with a 2-0 victory against Indy Eleven at WakeMed Soccer Park to boost their prospects of a postseason berth.</t>
  </si>
  <si>
    <t>USL Championship – Indy Eleven at North Carolina FC, 7:30 p.m.
NFL – Chicago Bears at Indianapolis Colts, 1 p.m.
International League – Indianapolis Indians at St. Paul Saints, 1:07 p.m.
MLB – Pittsburgh Pirates at Cincinnati Reds, 1:10 p.m.; Cleveland Guardians at St.</t>
  </si>
  <si>
    <t>NCFC Hosts Indy Eleven</t>
  </si>
  <si>
    <t>. - North Carolina FC is back at home for Week 29 of the USL Championship regular season, hosting Indy Eleven on Saturday, September 21, at 7:30 p.m. ET. Tickets are available here.</t>
  </si>
  <si>
    <t>USL Championship Team of the Week - Week 28</t>
  </si>
  <si>
    <t>M – Jack Blake, Indy Eleven: The English midfielder recorded one assist and five chances created in Indy’s 3-1 victory against El Paso Locomotive FC and completed 27 of 35 passes overall while making nine recoveries and one interception.</t>
  </si>
  <si>
    <t>Chicago Fire FC</t>
  </si>
  <si>
    <t>IndyStar</t>
  </si>
  <si>
    <t>WIBC-FM (Indianapolis, IN)</t>
  </si>
  <si>
    <t>Daily Journal (Franklin, IN)</t>
  </si>
  <si>
    <t>Win an Indy Eleven "Fan Appreciation" Prize Pack!</t>
  </si>
  <si>
    <t>Win tickets to see the Indy Eleven play October 5</t>
  </si>
  <si>
    <t>Posted: Sep 16, 2024 / 08:00 AM EST / Updated: Sep 16, 2024 / 08:30 AM EST</t>
  </si>
  <si>
    <t>Indy Eleven vs. El Paso Locomotive FC from Sept. 14, 2024</t>
  </si>
  <si>
    <t>INDIANAPOLIS (WISH) — Did you miss Saturday’s match between Indy Eleven and Pittsburgh SC?
Click on the video above to catch every minute of the action!
The Boys in Blue will return to WISH-TV on Sept. 28 when they host The Miami FC. MyINDY-TV 23 will have all the action starting at 7 p.m.!</t>
  </si>
  <si>
    <t>Ryan Belmore</t>
  </si>
  <si>
    <t>Bea Martinez</t>
  </si>
  <si>
    <t>KVIA-TV (El Paso, TX)</t>
  </si>
  <si>
    <t>Locomotive FC suffer 3-1 loss to Indy Eleven</t>
  </si>
  <si>
    <t>INDIANAPOLIS (Sept. 14, 2024) – El Paso Locomotive FC recorded its first loss in over a month on Saturday evening, falling 3-1 on the road to Indy Eleven.
Indy showcased its danger early on, picking up the lead in the 12′.</t>
  </si>
  <si>
    <t>KTSM-TV (El Paso, TX)</t>
  </si>
  <si>
    <t>INDIANAPOLIS (Sept. 14, 2024) – El Paso Locomotive FC recorded its first loss in over a month on Saturday evening, falling 3-1 on the road to Indy Eleven.
Indy showcased its danger early on, picking up the lead in the 12′.</t>
  </si>
  <si>
    <t>Indy Eleven vs El Paso Locomotive FC</t>
  </si>
  <si>
    <t>skip navigation
Indy Eleven vs El Paso Locomotive FC</t>
  </si>
  <si>
    <t>Indy Eleven Offense Explodes in 3-1 Victory</t>
  </si>
  <si>
    <t>Indy Eleven travels to North Carolina for a key Eastern Conference match-up next Saturday at 7:30 p.m. on ESPN+.
Indy Eleven 3:1 El Paso Locomotive FC
Saturday, September 14, 2024 - 7:00 p.m. ET
Carroll Stadium | Indianapolis, Ind.</t>
  </si>
  <si>
    <t>El Paso Locomotive FC Falls 3-1 on the Road to Indy Eleven</t>
  </si>
  <si>
    <t>September 14, 2024 - United Soccer League Championship (USL)
El Paso Locomotive FC News Release
INDIANAPOLIS - El Paso Locomotive FC recorded its first loss in over a month on Saturday evening, falling 3-1 on the road to Indy Eleven.</t>
  </si>
  <si>
    <t>9.14.2024: Indy Eleven vs. El Paso Locomotive FC - Game Highlights</t>
  </si>
  <si>
    <t>9.14.2024: Indy Eleven vs.</t>
  </si>
  <si>
    <t>Chris Lillstrung</t>
  </si>
  <si>
    <t>The News-Herald (Willoughby, OH)</t>
  </si>
  <si>
    <t>Soccer Saturday- 9/14/24</t>
  </si>
  <si>
    <t>Rakestraw also recaps the 0-0 draw to Hartford last week.
3:08-18:42- Indy Eleven Head Coach Sean McAuley makes his weekly stop to the show.</t>
  </si>
  <si>
    <t>USL Championship – El Paso Locomotive FC at Indy Eleven, 7 p.m.
NFL – Indianapolis Colts at Green Bay Packers, 1 p.m.
MLB – Cincinnati Reds at Minnesota Twins, 1:05 p.m.; St.</t>
  </si>
  <si>
    <t>Mike Woitalla</t>
  </si>
  <si>
    <t>USL Championship – Indy Eleven at El Paso Locomotive FC, 7 p.m.
NFL – Indianapolis Colts at Green Bay Packers, 1 p.m.
MLB – Cincinnati Reds at Minnesota Twins, 1:05 p.m.; St.</t>
  </si>
  <si>
    <t>El Paso Locomotive FC Make First Ever Trip to Indy Eleven</t>
  </si>
  <si>
    <t>September 12, 2024 - United Soccer League Championship (USL)
El Paso Locomotive FC News Release
EL PASO, Texas - El Paso Locomotive FC will look to build on its recent performances and search for three points on the road against Indy Eleven this Saturday, September 14, with the match set to kickoff</t>
  </si>
  <si>
    <t>Guilherme Torres</t>
  </si>
  <si>
    <t>Prep Soccer</t>
  </si>
  <si>
    <t>Indianapolis weekend events: Monster trucks, Indiana Fever and ghost tours</t>
  </si>
  <si>
    <t>Arika Herron</t>
  </si>
  <si>
    <t>â½ Root for the Indy Eleven as they face El Paso Locomotive FC, 7pm Saturday at Carroll Stadium.
Resale tickets start at $7.</t>
  </si>
  <si>
    <t>Indy Eleven Coaches Show Episode 7</t>
  </si>
  <si>
    <t>USL Championship – Indy Eleven at El Paso Locomotive FC, 7 p.m.</t>
  </si>
  <si>
    <t>NewsBreak</t>
  </si>
  <si>
    <t>Deal Town</t>
  </si>
  <si>
    <t>Hartford Athletic battles to scoreless tie with Indy Eleven</t>
  </si>
  <si>
    <t>Collinsville Press</t>
  </si>
  <si>
    <t>HARTFORD, Sept. 7, 2024 – The Hartford Athletic soccer team battled to 0-0 tie on a cold and rainy Saturday night at Trinity Health Stadium in USL Championship action. Hartford (8-12-6, 30 points) is 2-0-2 in their last four games and picked up another point. But Hartford remains five points out of the eighth and final playoff spot in the USL Championship’s Eastern Conference with eight games remaining.</t>
  </si>
  <si>
    <t>Hartford Draws Indy 0-0 at Home</t>
  </si>
  <si>
    <t>September 7, 2024 - United Soccer League Championship (USL)
Hartford Athletic News Release
On a cold and rainy night at Trinity Health Stadium, Hartford Athletic earned a point with a 0-0 draw against Indy Eleven.</t>
  </si>
  <si>
    <t>Eleven Earn Road Draw To Move Up In Eastern Conference Table</t>
  </si>
  <si>
    <t>September 7, 2024 - United Soccer League Championship (USL)
Indy Eleven News Release
Hartford, Connecticut - The Indy Eleven moved up one spot to fifth place in the USLC Eastern Conference with a hard-fought scoreless draw at Hartford Athletic in cool and rainy conditions on Saturday night.</t>
  </si>
  <si>
    <t>9.7.2024: Hartford Athletic vs. Indy Eleven - Game Highlights</t>
  </si>
  <si>
    <t>Indy Eleven - Game Highlights
September 7, 2024 - United Soccer League Championship (USL)
Hartford Athletic YouTube Video
Hartford Athletic and Indy Eleven played to a scoreless draw at Trinity Health Stadium that saw the Boys in Blue edge closer to a place in the USL Championship Playoffs.</t>
  </si>
  <si>
    <t>Mike Darnay</t>
  </si>
  <si>
    <t>Switchbacks aim for excellent form in first match of challenging homestand</t>
  </si>
  <si>
    <t>Following the surprising trade of productive forward Maalique Foster to Indy Eleven a couple of weeks ago, both Chambers and Switchbacks sporting director Stephen Hogan emphasized the premium the Switchbacks organization places on a team-first mentality. That commitment was on display last week.</t>
  </si>
  <si>
    <t>Soccer Saturday- 9/7/24</t>
  </si>
  <si>
    <t>[Indianapolis, IN]- Catch up on what you missed on Indy Eleven- Soccer Saturday.
Sign up for the 107.5 The Fan Newsletter to receive the latest news updates! … Williams shares his reaction to getting his first goal for the Indy Eleven, the Indy Eleven’s Open Cup run, and more.
19:37-31:50- One of the newest members of the Indy Eleven, Malik Foster joins.</t>
  </si>
  <si>
    <t>USL Championship – Indy Eleven at Hartford Athletic, 7 p.m.
International League – Indianapolis Indians at Toledo Mud Hens, 7:05 p.m.
NFL – Houston Texans at Indianapolis Colts, 1 p.m.</t>
  </si>
  <si>
    <t>Hartford Athletic Host Indy Eleven, Aim to Stay In Playoff Hunt</t>
  </si>
  <si>
    <t>Oliver Scholes</t>
  </si>
  <si>
    <t>Hartford Athletic are back in action again on Saturday night, looking to keep the good results coming as they take on a scuffling Indy Eleven team at Trinity Health Stadium.</t>
  </si>
  <si>
    <t>INDYtoday</t>
  </si>
  <si>
    <t>Hartford Return Home to Face Indy Eleven</t>
  </si>
  <si>
    <t>Indy Eleven. Indy won the season's first matchup at Carroll Stadium in Indianapolis in May by a score of 4-1.</t>
  </si>
  <si>
    <t>Robert Rusert</t>
  </si>
  <si>
    <t>Ken Sickenger</t>
  </si>
  <si>
    <t>Joseph Lowery</t>
  </si>
  <si>
    <t>USL Championship – Indy Eleven at Hartford Athletic, 7 p.m.
International League – Indianapolis Indians at Toledo Mud Hens, 7:05 p.m.</t>
  </si>
  <si>
    <t>Indy Eleven signs Liberian international Brem Soumaoro</t>
  </si>
  <si>
    <t>INDIANAPOLIS – Indy Eleven announced on Tuesday the club had signed midfielder Abrahim "Brem" Soumaoro for the remainder of the 2024 USL Championship season. The transaction is pending league and federation approval.</t>
  </si>
  <si>
    <t>Indy Eleven vs. Pittsburgh Riverhounds SC from Aug. 31, 2024</t>
  </si>
  <si>
    <t>INDIANAPOLIS (WISH) — Did you miss Saturday’s match between Indy Eleven and Pittsburgh SC?
Click on the video above to catch every minute of the action!
The Boys in Blue will return to WISH-TV on Sept. 14 when they host El Paso Locomotive FC.</t>
  </si>
  <si>
    <t>Indy Eleven Signs Midfielder Brem Soumaoro</t>
  </si>
  <si>
    <t>September 3, 2024 - United Soccer League Championship (USL)
Indy Eleven News Release
INDIANAPOLIS - Indy Eleven has added midfielder Abrahim "Brem" Soumaoro, who joins the Boys in Blue with more than a decade of professional experience in the Netherlands, Germany, Italy, and Canada.</t>
  </si>
  <si>
    <t>Mon Goals - Riverhounds: Reaction Show: Indy Eleven 1 - Pittsburgh Riverhounds 1</t>
  </si>
  <si>
    <t>pod.fo</t>
  </si>
  <si>
    <t>Marketing(always required)These services process personal information to show you relevant content about products, services or topics that you might be interested in. Google Tag Manager(always required)purposes: Marketing, Service ProvisionService Provision(always required)These services are essential for the correct functioning of this website. You cannot disable them here as the service would not work correctly otherwise.</t>
  </si>
  <si>
    <t>Gerry deSimas, Collinsville Press</t>
  </si>
  <si>
    <t>Riverhounds SC settles for draw after goal in stoppage time by Indy Eleven</t>
  </si>
  <si>
    <t>Pittsburgh Post-Gazette</t>
  </si>
  <si>
    <t>ACCOUNT                                                SECTIONS                OTHER                CLASSIFIEDS                        CONTACT US / FAQ</t>
  </si>
  <si>
    <t>Resolute 10-man Riverhounds burnt in stoppage time again, settle for 1-1 draw at Indy</t>
  </si>
  <si>
    <t>FINAL: Pittsburgh Riverhounds SC 1, Indy Eleven 1
Match Stats 
Playing down a man through most of the match, the Pittsburgh Riverhounds SC showed plenty of resolve on the road, but eventually had to settle for a 1-1 draw in a hard-fought battle with Indy Eleven at Michael A.</t>
  </si>
  <si>
    <t>Indy Eleven vs Pittsburgh Riverhounds SC</t>
  </si>
  <si>
    <t>skip navigation
Indy Eleven vs Pittsburgh Riverhounds SC</t>
  </si>
  <si>
    <t>hartfordathletic.com</t>
  </si>
  <si>
    <t>Late Indy Goal Sends 10-Man Hounds to Dubious Draw</t>
  </si>
  <si>
    <t>August 31, 2024 - United Soccer League Championship (USL)
Pittsburgh Riverhounds SC News Release
Controversy marred a gritty effort by the Pittsburgh Riverhounds, who battled for more than 90 minutes down a man and took a lead before finishing with a 1-1 draw against Indy Eleven on Saturday night at</t>
  </si>
  <si>
    <t>Williams Dramatic Free Kick Earns Draw</t>
  </si>
  <si>
    <t>August 31, 2024 - United Soccer League Championship (USL)
Indy Eleven News Release
Indianapolis - Indy Eleven forward Romario Williams recorded his first goal for the Boys in Blue in dramatic fashion in the final minute of second-half stoppage time to give the hosts a 1-1 draw against Eastern Conference</t>
  </si>
  <si>
    <t>Ten-Man Hounds Draw at Indy Amidst Controversy</t>
  </si>
  <si>
    <t>Riverhounds settle for gut-wrenching draw at Indy</t>
  </si>
  <si>
    <t>A late goal against turned a potentially inspirational Pittsburgh Riverhounds victory into a 1-1 draw against the Indy Eleven on Saturday night.
The Riverhounds played most of the game down a man after Pat Hogan was sent off in the fifth minute.</t>
  </si>
  <si>
    <t>Indy Eleven vs. Pittsburgh Riverhounds SC - Game Highlights</t>
  </si>
  <si>
    <t>August 31, 2024 - United Soccer League Championship (USL)
Indy Eleven YouTube Video
Romario Williams scored a spectacular free kick deep in second-half stoppage time as Indy Eleven grabbed a 1-1 draw against Pittsburgh Riverhounds SC at Michael A.</t>
  </si>
  <si>
    <t>All Goals from Indy Eleven vs. Pittsburgh Riverhounds SC in the 2nd Half</t>
  </si>
  <si>
    <t>August 31, 2024 - United Soccer League Championship (USL)
Indy Eleven YouTube Video
• Discuss this story on the United Soccer League Championship message board...
Game Information and Match Notes - SAFC vs.</t>
  </si>
  <si>
    <t>Watch Live: Pittsburgh Riverhounds at Indy Eleven live stream</t>
  </si>
  <si>
    <t>The Pittsburgh Riverhounds are on the road facing the Indy Eleven and are looking to keep their unbeaten streak alive!
The Riverhounds are coming off of a 3-0 win at Birmingham and haven't lost a match since early July.</t>
  </si>
  <si>
    <t>Soccer Saturday- 8/31/2024</t>
  </si>
  <si>
    <t>[Indianapolis, IN]- Soccer Saturday with Greg Rakestraw recaps the US Open Cup run for the Indy Eleven, what’s ahead for the Eleven, and more!
00:00-3:44- Greg Rakestraw previews today’s show and recaps the open cup match.
3:44-23:02- Head Coach Sean McAuley makes his weekly stop. … Rakestraw runs down the current USL Standings.
23:02-35:52- Indy Eleven’s James Musa stops by. Musa shares his story coming to Indy Eleven, his favorite parts of Indy, and more.
35:52-51:54- Devon Kerr joins.</t>
  </si>
  <si>
    <t>Preview: In good form Riverhounds face Indy Eleven side eager to get back on track in league play</t>
  </si>
  <si>
    <t>Riverhounds lose to Indy Eleven 2-1 at home
Crucial defenses lapses cost the Hounds on that day, as the Hounds came up short despite having season-high totals of 24 shots and nine shots on goal to go with 68 percent of possession.</t>
  </si>
  <si>
    <t>USL Championship – Pittsburgh Riverhounds SC at Indy Eleven, 7 p.m.
International League – Louisville Bats at Indianapolis Indians, 7:05 p.m.
MLB – Milwaukee Brewers at Cincinnati Reds, 12:10 p.m.; Chicago Cubs at Washington Nationals, 1:35 p.m.; St.</t>
  </si>
  <si>
    <t>Which position should each USL Championship club target before the Roster Freeze?</t>
  </si>
  <si>
    <t>Indy Eleven – Right winger: On paper, Indy has one of the deepest rosters in the league, and it probably addressed this by adding Maalique Foster for the stretch run.</t>
  </si>
  <si>
    <t>Labor Day weekend in Indianapolis: BUTTER, apple picking and more things to do</t>
  </si>
  <si>
    <t>πΆ Take your pups to the pitch and cheer on the Indy Eleven as they take on the Pittsburgh Riverhounds, 7pm Saturday at Carroll Stadium.
Tickets start at $10 for hoomans, or $35 for one hooman and one pup.</t>
  </si>
  <si>
    <t>Former Carlisle United defender joins USA club Indy Eleven</t>
  </si>
  <si>
    <t>Jon Colman</t>
  </si>
  <si>
    <t>News &amp; Star</t>
  </si>
  <si>
    <t>Indy Eleven's head coach is Sean McAuley, the former Hartlepool United and Scunthorpe United defender who started his career at Manchester United. … TEAM NEWS 📰 Indy Eleven has signed defender Hayden White
Welcome @HaydenWhite7!</t>
  </si>
  <si>
    <t>Former Carlisle United defender joins American club</t>
  </si>
  <si>
    <t>The experienced defender has joined American side Indy Eleven.
White, 29, makes the move to Indianapolis after a recent spell with National League side Ebbsfleet United. … Indy Eleven's head coach is Sean McAuley, the former Hartlepool United and Scunthorpe United defender who started his career at Manchester United.</t>
  </si>
  <si>
    <t>Yahoo Canada</t>
  </si>
  <si>
    <t>Kansas City Star</t>
  </si>
  <si>
    <t>Yahoo</t>
  </si>
  <si>
    <t>Yahoo News</t>
  </si>
  <si>
    <t>Taylor Wooten</t>
  </si>
  <si>
    <t>Inside INdiana Business</t>
  </si>
  <si>
    <t>Download WISH-TV's new All Indiana Sports App: Your ultimate sports hub</t>
  </si>
  <si>
    <t>Katie Cox</t>
  </si>
  <si>
    <t>Pro Teams: Follow the Indianapolis Colts, Indiana Pacers, Indiana Fever, Indianapolis Indians, Indy Eleven, and Indy Fuel, and more.
Collegiate Teams: Get the latest on Indiana University, Purdue University, Butler University, Notre Dame University, and more.</t>
  </si>
  <si>
    <t>Preview: Hounds at Indy Eleven</t>
  </si>
  <si>
    <t>August 29, 2024 - United Soccer League Championship (USL)
Pittsburgh Riverhounds SC News Release
The Hounds have a shot to move back into the top eight of the Eastern Conference this weekend, but to do so would require picking up a second straight road win as they travel to face Indy Eleven on Saturday</t>
  </si>
  <si>
    <t>Indy Eleven signs English defender Hayden White</t>
  </si>
  <si>
    <t>INDIANAPOLIS – Indy Eleven announced on Thursday it had signed defender Hayden White, who joins the Boys in Blue with more than a decade of professional experience in England. White will be available for selection in Indy’s contest this Saturday against Pittsburgh Riverhounds SC.</t>
  </si>
  <si>
    <t>John Morrissey</t>
  </si>
  <si>
    <t>Backheeled</t>
  </si>
  <si>
    <t>Indy Eleven Signs Defender Hayden White</t>
  </si>
  <si>
    <t>August 29, 2024 - United Soccer League Championship (USL)
Indy Eleven News Release
INDIANAPOLIS - Indy Eleven has added defender Hayden White, who joins the Boys in Blue with more than a decade of professional experience in England.</t>
  </si>
  <si>
    <t>Brickyard Battalion keeps hope alive for Indy Eleven</t>
  </si>
  <si>
    <t>By signing up for our newsletter, you agree to our Terms of Use and Privacy PolicyIt’s essential to note our commitment to transparency: Our Terms of Use acknowledge that our services may not always be error-free, and our Community Standards emphasize our discretion in enforcing policies.</t>
  </si>
  <si>
    <t>Photo: Bill Barrett/ISI Photos/USSF/Getty Images
More than 100 members of the Indy Eleven supporter group known as the Brickyard Battalion gathered at Union Jack Pub Tuesday night to watch their team take on Sporting Kansas City, an MLS team.</t>
  </si>
  <si>
    <t>Arthur Fernandes</t>
  </si>
  <si>
    <t>MLS Multiplex</t>
  </si>
  <si>
    <t>KSHB-TV (Kansas City, MO)</t>
  </si>
  <si>
    <t>Jeremiah Oshan</t>
  </si>
  <si>
    <t>Sporting KC advances to U.S. Open Cup Final with win over Indy</t>
  </si>
  <si>
    <t>Gary Brauer</t>
  </si>
  <si>
    <t>Open Cup Final with a 2-0 win over Indy Eleven late Tuesday night.
The match start time was delayed due to the weather.
The U.S. Open Cup has always been important for the club, and this is the first time since 2017 that Sporting has played in the final match.</t>
  </si>
  <si>
    <t>USL Championship – Pittsburgh Riverhounds SC at Indy Eleven, 7 p.m.
International League – Louisville Bats at Indianapolis Indians, 7:05 p.m.</t>
  </si>
  <si>
    <t>STORMING INTO THE FINAL: Sporting KC blanks Indy Eleven in Open Cup semis</t>
  </si>
  <si>
    <t>. – Sporting Kansas City overcame a nearly three-hour weather delay and Indy Eleven to reach the Lamar Hunt U.S. Open Cup final on Tuesday night.
The hosts recorded a 2-0 at Children’s Mercy Park in the semifinal encounter.</t>
  </si>
  <si>
    <t>Pablo Maurer</t>
  </si>
  <si>
    <t>João Castro Bitencourte</t>
  </si>
  <si>
    <t>thepicks.com</t>
  </si>
  <si>
    <t>Sporting KC reaches Open Cup final with win over Indy Eleven</t>
  </si>
  <si>
    <t>PJ Green</t>
  </si>
  <si>
    <t>The Open Cup semifinals delay against second-tier USL Championship squad Indy Eleven came before both teams even warmed up this time around as the 7 p.m. kick was pushed to 9:43 p.m. with lightning striking and rain falling around Children’s Mercy Park throughout the evening.</t>
  </si>
  <si>
    <t>WDAF-TV (Kansas City, MO)</t>
  </si>
  <si>
    <t>Sporting Kansas City’s Johnny Russell attempts a shot against Indy Eleven in the Lamar Hunt U.S …
                Sporting Kansas City’s Johnny Russell attempts a shot against Indy Eleven in the Lamar Hunt U.S.</t>
  </si>
  <si>
    <t>Recap: Sporting KC reaches Open Cup Final with 2-0 win over Indy Eleven</t>
  </si>
  <si>
    <t>Open Cup Final with a convincing 2-0 victory over Indy Eleven in Tuesday’s weather-delayed semifinal at Children’s Mercy Park.</t>
  </si>
  <si>
    <t>Sporting Kansas City returns to the U.S. Open Cup final after defeating Indy Eleven</t>
  </si>
  <si>
    <t>Daniel Sperry</t>
  </si>
  <si>
    <t>Open Cup final after defeating Indy Eleven
Sporting KC is back in the U.S. Open Cup final for the fifth time in club history and first time since 2017.</t>
  </si>
  <si>
    <t>Sporting Kansas City defender Dany Rosero (5) celebrates after scoring a goal during the first half against Indy Eleven at Children's Mercy Park on Aug. 27, 2024. USA TODAY Sports
Sporting KC is back in the U.S. Open Cup final for the fifth time in club history and first time since 2017.</t>
  </si>
  <si>
    <t>A 2-0 defeat of Indy Eleven of the USL Championship on Tuesday night gives Sporting KC an opportunity to be the first MLS team to five Open Cup wins, traveling to face the winner of tomorrow night’s semifinal match between LAFC and the Seattle Sounders.
The final will be played on September 25.</t>
  </si>
  <si>
    <t>Three things we took away from the end of Indy Eleven’s U.S. Open Cup run</t>
  </si>
  <si>
    <t>. – Indy Eleven saw its journey in the 2024 Lamar Hunt U.S. Open Cup end on Tuesday night as a pair of first-half goals by Johnny Russell and Dany Rosero proved enough to send Sporting Kansas City to a 2-0 victory after a lengthy lightning delay and a place in September’s Final.</t>
  </si>
  <si>
    <t>Sporting Kansas City cruise past Indy Eleven to advance to US Open Cup final</t>
  </si>
  <si>
    <t>One half of the 2024 Lamar Hunt US Open Cup final is set as Sporting Kansas City topped USL Championship side Indy Eleven in their semifinal matchup at Children's Mercy Park on Tuesday evening.</t>
  </si>
  <si>
    <t>Final Bound! Sporting Kansas City drop Indy Eleven in USOC Semi</t>
  </si>
  <si>
    <t>USL Championship side Indy Eleven conquered an MLS Next Pro side, two USL Championship sides, and an MLS side on their way to their first-ever Open Cup Semifinal appearance. … A speedy anthem and a “Save the Cup” tifo from the KC Cauldron accompanied the vocal fans that remained as Indy Eleven’s Jack Blake kicked off.</t>
  </si>
  <si>
    <t>ASN: SKC ends Indy's USOC dream, Brooks returns home, Tessmann to Lyon, &amp; Celtic after Trusty</t>
  </si>
  <si>
    <t>American Soccer Now</t>
  </si>
  <si>
    <t>Open Cup
Indy Eleven were the last non MLS team remaining in the Open Cup, and their run ended in the semifinal after a 2-0 loss to Sporting KC after the game in KC was delayed by over two hours due to lightning.</t>
  </si>
  <si>
    <t>Slideshow: Indy Eleven Bows Out Of The Open Cup</t>
  </si>
  <si>
    <t>KCTV-TV (Kansas City, MO)</t>
  </si>
  <si>
    <t>Sporting Kansas City vs Indy Eleven Match Thread</t>
  </si>
  <si>
    <t>Ben Gartland</t>
  </si>
  <si>
    <t>Time: 7:00 pm CST Location: Children’s Mercy Park, Kansas City, Kansas How to Watch: Apple TV MLS Season Pass The Teams Major League Soccer How they got here: Defeated Union Omaha in Round of 32 Defeated FC Tulsa in Round of 16 Defeated FC Dallas in Quarterfinals Head Coach: Peter Vermes (16th season) USL Championship How they got here Defeated Chicago Fire FC II in Third Round Defeated San Antonio FC in Round of 32 Defeated Detroit City FC in Round of 16 Defeated Atlanta United FC in...</t>
  </si>
  <si>
    <t>Loan Watch | Hunter Sulte, Indy Eleven to play in U.S. Open Cup Semifinal</t>
  </si>
  <si>
    <t>Portland Timbers, Marc Kostic</t>
  </si>
  <si>
    <t>On loan, Portland goalkeeper Sulte primed to help Indy Elven make Open Cup history
Portland Timbers goalkeeper Hunter Sulte has spent the 2024 campaign on loan with Indy Eleven, and on Tuesday the USL Championship side takes a shot at a place in Lamar Hunt U.S Open Cup history. … A Timbers Academy product and Homegrown Player, Sulte has featured in three of Indy Eleven’s four 2024 U.S. Open Cup matches, with a record of 3-0-0 and two shutouts.
A quick breakdown of Sulte’s Open Cup performances:
Round of 32 vs.</t>
  </si>
  <si>
    <t>Indy Eleven to face sporting Kansas City</t>
  </si>
  <si>
    <t>Divine Triplett</t>
  </si>
  <si>
    <t>Caleb King joined us to talk about a big moment for Indy Eleven. Tonight, the team will play the most important match in its 11-year history. 
They are competing in the Lamar Hunt U.S. Open Cup Semifinals against Sporting Kansas City, a Major League Soccer (MLS) team.</t>
  </si>
  <si>
    <t>Bolavip</t>
  </si>
  <si>
    <t>Loan Watch | Hunter Sulte, Indy Elven to play in U.S. Open Cup Semifinal</t>
  </si>
  <si>
    <t>Indy Eleven to play Sporting Kansas City on Apple TV MLS Season Pass in US Open Cup</t>
  </si>
  <si>
    <t>Indy Eleven to play Sporting Kansas City on Apple TV MLS Season Pass in US Open Cup
Indy Eleven will make its first appearance in the Lamar Hunt U.S. Open Cup semifinals Tuesday night on Apple TV's MLS Season Pass.</t>
  </si>
  <si>
    <t>How To Listen To The Indy Eleven Soccer Team In The U.S Open Cup Semi-Final</t>
  </si>
  <si>
    <t>Nick Cottongim</t>
  </si>
  <si>
    <t>WTLC-AM (Indianapolis, IN)</t>
  </si>
  <si>
    <t>Indy Eleven | 8 p.m. ET
Children’s Mercy Park in Kansas City, Kan.</t>
  </si>
  <si>
    <t>Sporting Kansas City vs. Indy Eleven - Watch Live - Apple TV</t>
  </si>
  <si>
    <t>tv.apple.com</t>
  </si>
  <si>
    <t>WED 12:00 AM     U.S. Open Cup · Children's Mercy Park                                    Story of the Game: Open Cup Semifinals     MATCH PREVIEW   Story of the Game: Open Cup Semifinals    1 min                                     THU 2:30 AM         Seattle vs. LAFC    U.S. Open Cup</t>
  </si>
  <si>
    <t>How to watch Sporting Kansas City vs Indy Eleven on US TV and live streaming</t>
  </si>
  <si>
    <t>WorldSoccerTalk.com</t>
  </si>
  <si>
    <t>Here are all of the details of where you can watch Sporting Kansas City vs Indy Eleven on US television and via legal streaming:
WHO
Sporting Kansas City vs Indy Eleven
WHAT
US Open Cup semifinal
WHEN
8:00pm ET / 5:00pm PT • Tuesday, August 27, 2024
WHERE
MLS Season Pass
STREAM
WATCH NOW
MLS</t>
  </si>
  <si>
    <t>How to watch today's Sporting Kansas City vs Indy Eleven US Open Cup game: Live stream, TV channel, and start time</t>
  </si>
  <si>
    <t>Open Cup Final on Tuesday when they host USL Championship team Indy Eleven at Children's Mercy Park in a semifinal clash for U.S. Soccer's national title.</t>
  </si>
  <si>
    <t>Open Cup – Indy Eleven at Sporting Kansas City, 8 p.m.
MLB – Chicago Cubs at Pittsburgh Pirates, 12:35 p.m.; Oakland Athletics at Cincinnati Reds, 6:40 p.m.; San Diego Padres at St. Louis Cardinals, 7:45 p.m.; Texas Rangers at Chicago White Sox, 8:10 p.m.</t>
  </si>
  <si>
    <t>WTLC-FM (Greenwood, IN)</t>
  </si>
  <si>
    <t>Sporting KC vs Indy Eleven US Open Cup Semifinal Prediction and Betting Odds</t>
  </si>
  <si>
    <t>FC Dallas (MLS)
 Quarterfinals
 Atlanta United (MLS) 1-2 Indy Eleven
 How to Watch Sporting KC vs Indy Eleven
 The semifinal is the first time these two teams are facing off in an official competition.</t>
  </si>
  <si>
    <t>US Open Cup Semifinals preview</t>
  </si>
  <si>
    <t>Michael Battista, Andrew Leigh</t>
  </si>
  <si>
    <t>Hudson River Blue</t>
  </si>
  <si>
    <t>Sporting Kansas City (MLS) vs Indy Eleven (USLC)
Tue, August 27, 8 pm ET at Children's Mercy Park in Kansas City, KS
Realistically speaking, no one expected Sporting Kansas City or Indy Eleven to be one win away from the final. … Soon after, the mayor and city council pulled support and funding for Indy Eleven’s planned 20,000-capacity soccer stadium, Eleven Park, which saw a groundbreaking in May 2023. Mayor Hogsett attended that event, leading many to believe his office was supportive of the project.</t>
  </si>
  <si>
    <t>Ethan Hanson</t>
  </si>
  <si>
    <t>Journal &amp; Courier</t>
  </si>
  <si>
    <t>Sporting KC-Indy Eleven: USL Championship survivor offers plenty of experience</t>
  </si>
  <si>
    <t>Cam Lindley #6 of Indy Eleven dribbles the ball during a game between Indy Eleven and Oakland Roots at Pioneer Stadium on March 9, 2024 in Hayward, California.</t>
  </si>
  <si>
    <t>Which Indy Eleven Players Brought the Heat to Sporting KC in the U.S. Open Cup?</t>
  </si>
  <si>
    <t>Indy Eleven's Holding Strong, Even When Wins Slip Away in the Details</t>
  </si>
  <si>
    <t>Check out the USL team's record before this match against Sporting KC
By Arthur Fernandes | 1:10 AM EDT
Indy Eleven is going through one of those transition phases every soccer club, big or small, has to face sooner or later. … We’ve got to acknowledge that Indy Eleven’s in a transitional phase. They started the season with a streak of 15 games scoring goals, but things have cooled off since then.</t>
  </si>
  <si>
    <t>Once underdogs, Indy Eleven are now one step away from the CONCACAF Champions Cup</t>
  </si>
  <si>
    <t>Open Cup: Indy Eleven. Now, they might not be front-page news or packing massive stadiums, but trust me, they’re turning heads, and there are a few players you’re gonna want to keep an eye on.
First up, let’s talk about Augi Williams.</t>
  </si>
  <si>
    <t>But here we are, August 27, 2024, and Indy Eleven is gearing up to take on the powerhouse that is Sporting Kansas City in a semifinal that, let’s be honest, no one saw coming.
Indy Eleven is your classic underdog, the team that flips the script and leaves all those fancy predictions in the dust. … But here’s the thing—Indy Eleven has already shown they’re not scared.
This matchup against Sporting KC is, hands down, the biggest game in Indy Eleven’s history. We’re not just talking about a spot in the final; we’re talking about a real shot at making history.</t>
  </si>
  <si>
    <t>Sporting KC vs. Indy Eleven Open Cup Preview and How to Watch</t>
  </si>
  <si>
    <t>Sporting Kansas City will host the USL Championship’s Indy Eleven in the 2024 US Open Cup semifinal matchup. Two wins away from a trophy. It’s a weird thing to say in a season that has been full of disappointment.</t>
  </si>
  <si>
    <t>Where to watch the U.S. Open Cup, USL Championship and USL Jägermeister Cup this week</t>
  </si>
  <si>
    <t>Open Cup on Tuesday night as the USL Championship’s Indy Eleven visits Sporting Kansas City at 8 p.m. ET on AppleTV+ seeking a place in next month’s Final.</t>
  </si>
  <si>
    <t>The U.S. Open Cup Odyssey That Could Save Sporting KC's Season</t>
  </si>
  <si>
    <t>And, boy, do we have a blockbuster coming up: Sporting Kansas City is about to clash with Indy Eleven from the USL in the semifinals. Feels like one of those movie moments where the underdog shocks the world, or maybe the giant just needs a reminder of what it means to be great.</t>
  </si>
  <si>
    <t>Indy Eleven prepare for U.S. Open Cup semifinals</t>
  </si>
  <si>
    <t>Josh Bode</t>
  </si>
  <si>
    <t>INDIANAPOLIS (WISH) — The Indy Eleven’s underdog run in the U.S. Open Cup will be put to the test on Tuesday.
The USL Championship team will face off against Sporting KC of the MLS in the semifinals of the tournament. … “I think it’s probably a huge occasion getting to the semifinal because that’s creating history,” Indy Eleven head coach Sean McAuley said. “We’ve never gone this far before. So, we’ll just continue to do what we’ve done in terms of preparation and keeping the players focused.”</t>
  </si>
  <si>
    <t>MLS Trio &amp; Indy’s Underdog Chase Final Place: #USOC2024 Semifinal Preview</t>
  </si>
  <si>
    <t>II) darlings Indy Eleven in our Semifinal Round with two places in the 109th Lamar Hunt U.S. Open Cup Final on the line.
The Semifinals will take place over two days. … Indy Eleven’s presence in our Final Four, one step away from becoming the second USL Championship side to reach a Final in the space of two years, proves out the old chestnut that starts On Any Given Day…
Indy Eleven, coming off a road loss in league play in Las Vegas, currently sit fifth in the USL</t>
  </si>
  <si>
    <t>Know Before You Go: Lamar Hunt US Open Cup Semifinal Sporting KC vs Indy Eleven this Tuesday at Children's Mercy Park</t>
  </si>
  <si>
    <t>Whether it’s your first time at Children’s Mercy Park or a season regular, here’s everything you need to know ahead of the US Open Cup quarterfinal match between Sporting KC vs Indy Eleven.</t>
  </si>
  <si>
    <t>U.S. Open Cup Semifinals Preview - Sporting Kansas City vs. Indy Eleven</t>
  </si>
  <si>
    <t>Indy Eleven will attempt to become the second USL Championship club to reach the Final of the Lamar Hunt U.S.</t>
  </si>
  <si>
    <t>How To Listen To The Indy Eleven Soccer Team In The U.S Open Cup Semi-Final
Get ready for an electrifying showdown on Tuesday at 8PM as the Indy Eleven takes on Sporting KC in the US Open Cup semi-final.</t>
  </si>
  <si>
    <t>Preview: Sporting KC hosts Indy Eleven in U.S. Open Cup semifinal on Tuesday</t>
  </si>
  <si>
    <t>Indy Eleven
2024 Lamar Hunt U.S. Open Cup | Semifinal
Tuesday, Aug. 27 | 7 p.m.</t>
  </si>
  <si>
    <t>Open Cup Final when the team takes on USL Championship side Indy Eleven at 7 p.m. CT on Tuesday at Children's Mercy Park in the semifinal round of U.S. Soccer's national championship.</t>
  </si>
  <si>
    <t>Sporting Kansas City vs Indy Eleven Prediction and Betting Tips | August 28th 2024</t>
  </si>
  <si>
    <t>Meanwhile, Indy Eleven have struggled for results in the USL Championship of late and will hope they find better luck elsewhere this week.</t>
  </si>
  <si>
    <t>US Open Cup semifinals: How to watch, stream on MLS Season Pass</t>
  </si>
  <si>
    <t>Indy Eleven
Tuesday, Aug. 27 - 8 pm ET
Seattle Sounders FC vs.</t>
  </si>
  <si>
    <t>Sporting KC Hosts Indy Eleven in Open Cup Semifinal</t>
  </si>
  <si>
    <t>Open Cup trophy on Tuesday when the team hosts Indy Eleven at 7 p.m. CT at Children's Mercy Park in the semifinal round of U.S. Soccer's national championship.</t>
  </si>
  <si>
    <t>Win tickets to see the Indy Eleven play September 14</t>
  </si>
  <si>
    <t>After biggest game in club history, Indy Eleven and Logan Neidlinger will enter the unknown</t>
  </si>
  <si>
    <t>Jude to Columbus, Ind., to Roncalli to online schools to the practice fields of the Indy Eleven, all before his 18th birthday?</t>
  </si>
  <si>
    <t>TUNE IN: Watch free on Apple TV as Sporting KC hosts Indy Eleven on Tuesday in U.S. Open Cup semifinal</t>
  </si>
  <si>
    <t>TUNE IN: Watch free on Apple TV as Sporting KC hosts Indy Eleven on Tuesday in U.S. Open Cup semifinal - Sporting Kansas City</t>
  </si>
  <si>
    <t>Wired Focus</t>
  </si>
  <si>
    <t>Open Cup Final when the team takes on USL Championship side Indy Eleven at 7 p.m. CT on Tuesday at Children’s Mercy Park in the semifinal round of U.S. Soccer’s national championship.
Both U.S.</t>
  </si>
  <si>
    <t>Danny Webster</t>
  </si>
  <si>
    <t>Las Vegas Review-Journal</t>
  </si>
  <si>
    <t>By The Numbers: Sporting KC vs. Indy Eleven | Aug. 27, 2024</t>
  </si>
  <si>
    <t>Open Cup Final on Tuesday when USL Championship side Indy Eleven visits Children's Mercy Park for a 7 p.m. CT showdown in the semifinal round of U.S. Soccer's national championship. Tickets for Sporting's most important match of the season are available via SeatGeek with all fees waived.</t>
  </si>
  <si>
    <t>Five Things presented by Children’s Mercy Kansas City: Sporting takes on Indy Eleven with spot in U.S. Open Cup final on the line | Aug. 27, 2024</t>
  </si>
  <si>
    <t>Open Cup Semifinal this week when the team hosts USL Championship side Indy Eleven at Children’s Mercy Park on Tuesday night. Kickoff is set for 7 p.m. CT and will be available to stream for free on MLS Season Pass via Apple TV.</t>
  </si>
  <si>
    <t>All Goals from Las Vegas Lights FC vs. Indy Eleven in the 1st Half - YouTube</t>
  </si>
  <si>
    <t>The Globe</t>
  </si>
  <si>
    <t>Source link : https://www.yourblogdomain.com/2024/08/25/all-goals-from-las-vegas-lights-fc-vs-indy-eleven-in-the-1st-half-youtube/
Source link : https://las-vegas-news.com/2024/08/25/news/all-goals-from-las-vegas-lights-fc-vs-indy-eleven-in-the-1st-half-youtube/ usl #uslonyoutube About the Official</t>
  </si>
  <si>
    <t>Eleven Can't Find Second-Half Equalizer</t>
  </si>
  <si>
    <t>August 25, 2024 - United Soccer League Championship (USL) 
 Indy Eleven News Release
Las Vegas - The host Las Vegas Lights FC scored last in an exciting first half which saw five goals and preserved the lead in a scoreless second half to edge the Indy Eleven, 3-2.</t>
  </si>
  <si>
    <t>Las Vegas Lights FC vs. Indy Eleven - Game Highlights</t>
  </si>
  <si>
    <t>Ngando and Valentin Noel had also found the net as Las Vegas Lights FC took a 3-2 victory against Indy Eleven at Cashman Field as the Lights rebounded back into the win column and solidified their position in the Western Conference playoff spots.</t>
  </si>
  <si>
    <t>Las Vegas Lights FC vs Indy Eleven</t>
  </si>
  <si>
    <t>skip navigation
Las Vegas Lights FC vs Indy Eleven</t>
  </si>
  <si>
    <t>All Goals from Las Vegas Lights FC vs. Indy Eleven in the 1st Half</t>
  </si>
  <si>
    <t>August 24, 2024 - United Soccer League Championship (USL)  Las Vegas Lights FC YouTube Video• Discuss this story on the United Soccer League Championship message board...</t>
  </si>
  <si>
    <t>Soccer Saturday- 8/24/24</t>
  </si>
  <si>
    <t>Today on Soccer Saturday:
00:00-5:59- Greg Rakestraw starts the show getting you set for Indy Eleven vs. Las Vegas Lights tonight. Also, a rundown of today’s guests, topics, and more. Rakestraw also updates the latest roster moves.
5:59-23:35- Indy Eleven Head Coach Sean McAuley joins.</t>
  </si>
  <si>
    <t>Could Indy Eleven Really Win the U.S. Open Cup?</t>
  </si>
  <si>
    <t>And right now, the biggest surprise is coming out of Indy Eleven. A USL Championship team that’s proving heart and hustle still count more than a flashy name.</t>
  </si>
  <si>
    <t>Indy Eleven Acquires Maalique Foster from Colorado Springs</t>
  </si>
  <si>
    <t>August 23, 2024 - United Soccer League Championship (USL)
Indy Eleven News Release
INDIANAPOLIS - Indy Eleven has acquired forward Maalique Foster, who joins the Boys in Blue after playing for the USL Championship Colorado Springs Switchbacks FC for the last two seasons.</t>
  </si>
  <si>
    <t>Why a win in the U.S. Open Cup semifinal could give Indy Eleven a Concacaf Champions Cup spot</t>
  </si>
  <si>
    <t>Indy Eleven’s U.S. Open Cup Semifinal against Sporting Kansas City is arguably the biggest game in the club’s decade-long history. … So, all Indy Eleven needs to do is defeat Sporting KC on Tuesday night then hope LAFC gets the job done.  
Simple, right?
We say all they need to do, but beating SKC on the road is actually the hardest part of all of this.
There is precedent, though.</t>
  </si>
  <si>
    <t>Indy Eleven acquires Maalique Foster via transfer from Indy Eleven</t>
  </si>
  <si>
    <t>INDIANAPOLIS – Indy Eleven announced on Friday it had acquired forward Maalique Foster via transfer from fellow USL Championship club Colorado Springs Switchbacks FC. The transaction is pending league and federation approval.</t>
  </si>
  <si>
    <t>Switchbacks FC Announce Transfer of Maalique Foster to Indy Eleven</t>
  </si>
  <si>
    <t>. - The Colorado Springs Switchbacks FC announced today the transfer of Maalique Foster to Indy Eleven. Per league policy, details of the transfer will not be made public and are pending league and federation approval.</t>
  </si>
  <si>
    <t>USL Championship – Indy Eleven at Las Vegas Lights FC, 10:30 p.m.
International League – Indianapolis Indians at Columbus Clippers, 1:05 p.m.
MLB – Cincinnati Reds at Pittsburgh Pirates, 1:35 p.m.; Chicago Cubs at Miami Marlins, 1:40 p.m.; Detroit Tigers at Chicago White Sox, 2:10 p.m.; St.</t>
  </si>
  <si>
    <t>Against All Odds and Under Pressure, Indy Eleven Makes History in the U.S. Open Cup</t>
  </si>
  <si>
    <t>Indy Eleven kicked off 2024 in a way that would make even the most die-hard fan want to throw in the towel. One win in seven games. Yep, just one. It was supposed to be the end, right? Wrong. Then came the rumors that Indianapolis might land an MLS team.</t>
  </si>
  <si>
    <t>Sporting Kansas City vs Indy Eleven Prediction: Sporting Kansas has superior experience</t>
  </si>
  <si>
    <t>Analysis and prediction for the US Open Cup Semifinal match between Sporting Kansas City and Indy Eleven on the 28th August 2024, at the Children's Mercy Park.
 Claim Welcome Bonus
Sporting Kansas City
Sporting Kansas City  (SKC) comes into this match with real momentum. … It means they are rarely caught out of shape in their tactical discipline, allowing them to maintain a high line and put pressure on Indy Eleven.
Indy Eleven
For an underdog from the USL Championship, Indy Eleven's pathway into the semifinals is not short of impressive.</t>
  </si>
  <si>
    <t>Indy Eleven One Step Away from Concacaf Championship While Competing in the USL</t>
  </si>
  <si>
    <t>One win could change everything for Indy Eleven
By Arthur Fernandes | 2:42 PM EDT
What started as a typical U.S. Open Cup run is quickly turning into a fairy tale for Indy Eleven. A team that, let’s be honest, wasn’t exactly on anyone’s radar when it came to making a deep run.</t>
  </si>
  <si>
    <t>On verge of miracle: Champions Cup within Indy Eleven's reach</t>
  </si>
  <si>
    <t>This year, one such story is unfolding in Indianapolis, Indiana, where Indy Eleven is on the brink of something truly special.
In the USL Championship in 2024, Indy Eleven is within striking distance of a once-in-a-generation chance. By becoming the runner-up in the U.S. … US Open Cup provides Indy Eleven a chance for glory
However, Indy Eleven's journey this season has been anything but straightforward. The team began the 2024 USL Championship season on shaky footing, securing just one win in their first seven matches.</t>
  </si>
  <si>
    <t>Martina Alcheva</t>
  </si>
  <si>
    <t>This year, one such story is unfolding in Indianapolis, Indiana, where Indy Eleven is on the brink of something truly special.
In the USL Championship in 2024, Indy Eleven is within striking distance of a once-in-a-generation chance. By becoming the runner-up in the U.S. … US Open Cup provides Indy Eleven a chance for glory
However, Indy Eleven’s journey this season has been anything but straightforward. The team began the 2024 USL Championship season on shaky footing, securing just one win in their first seven matches.</t>
  </si>
  <si>
    <t>USL Championship – Indy Eleven at Las Vegas Lights FC, 10:30 p.m.</t>
  </si>
  <si>
    <t>Indy Eleven vs. Pittsburgh Riverhounds SC at Michael A. Carroll Stadium (IUPUI)</t>
  </si>
  <si>
    <t>DJ Lechnek</t>
  </si>
  <si>
    <t>Indy Eleven vs. Pittsburgh Riverhounds SC
 Edit</t>
  </si>
  <si>
    <t>Jill Sheridan</t>
  </si>
  <si>
    <t>WFYI-TV (Indianapolis, IN)</t>
  </si>
  <si>
    <t>Cinderella Semifinalists Indy Eleven Make Open Cup Lemonade in Turbulent 2024</t>
  </si>
  <si>
    <t>Dan Vaughn</t>
  </si>
  <si>
    <t>While the first three matches of Indy Eleven’s Open Cup run this year were against lower-league clubs, including two fellow USL Championship teams, the win that punched their Semifinal ticket came on the road against Atlanta United. … Indy Eleven, led by a spirited group of players focused on the task at hand, have turned what could have been a disheartening and unsettling series of events into the motivation to stay locked in.</t>
  </si>
  <si>
    <t>The Herald-Times</t>
  </si>
  <si>
    <t>Shreyas Laddha</t>
  </si>
  <si>
    <t>Neel Shelat</t>
  </si>
  <si>
    <t>Ryan Martin</t>
  </si>
  <si>
    <t>Here’s how Indianapolis students can get free Indy Eleven tickets</t>
  </si>
  <si>
    <t>Carley Lanich</t>
  </si>
  <si>
    <t>The education nonprofit is partnering with Indy Eleven for a Back to School Night on Aug. 31. … Students can attend Indy Eleven’s Saturday match at home against the Pittsburgh Riverhounds for free, and teachers can receive discounted tickets by purchasing them online through a link on Teach Indy’s website.</t>
  </si>
  <si>
    <t>YourSportsEdge</t>
  </si>
  <si>
    <t>KRQE-TV (Albuquerque, NM)</t>
  </si>
  <si>
    <t>Lee Howard</t>
  </si>
  <si>
    <t>WKYT-TV (Lexington, KY)</t>
  </si>
  <si>
    <t>Win an Indy Eleven "All Things Indiana" Prize Pack!</t>
  </si>
  <si>
    <t>United Soccer League</t>
  </si>
  <si>
    <t>Indy Eleven vs. New Mexico United from Aug. 12, 2024</t>
  </si>
  <si>
    <t>Ashley Fowler</t>
  </si>
  <si>
    <t>INDIANAPOLIS (WISH) —  Did you miss Sunday’s match between Indy Eleven and New Mexico United?
Click on the video above to catch every minute of the action!
The Boys in Blue will return to WISH-TV on Saturday, Aug. 31 when they host Pittsburgh Riverhounds SC.</t>
  </si>
  <si>
    <t>Slideshow: New Mexico too hot for Indy Eleven</t>
  </si>
  <si>
    <t>United comes off the ropes, stops Indy Eleven with three second-half goals</t>
  </si>
  <si>
    <t>Harry Swartz, Sergio Rivas and Greg Hurst banged in second-half goals and New Mexico rallied for a stunning 3-1 victory over Indy Eleven at Michael A. Carroll Stadium.</t>
  </si>
  <si>
    <t>WN.com</t>
  </si>
  <si>
    <t>United Breaks the Streak, Defeats Indy 1-3</t>
  </si>
  <si>
    <t>KQTM-FM (Rio Rancho, NM)</t>
  </si>
  <si>
    <t>Indy Eleven gave New Mexico United all it could handle in the first half on Sunday afternoon. Indy looked far more comfortable on the turf and put United behind within the first half hour.</t>
  </si>
  <si>
    <t>Albuquerque Journal</t>
  </si>
  <si>
    <t>New Mexico United spent the first half of Sunday's USL Championship match in Indianapolis on the ropes, taking punches. In the second half, United came out fighting. kAmw2CCJ $H2CEK[ $6C8:@ #:G2D 2?5 vC68 wFCDE 32?865 :? D64@?5\92=7 8@2=D 2?5 }6H |6I:4@ C2==:65 7@C 2 DEF??:?8 b\` G:4E@CJ @G6C x?5J t=6G6? 2E |:4926= p] r2CC@== $E25:F&gt;] }|&amp; 6IE6?565 :ED =625 2E@A E96 &amp;${r (6DE6C? r@?76C6?46 E@ D:I A@:?ED @G6C $24C2&gt;6?E@ 2?5 ~2&lt;=2?5[ D?2AA:?8 2 EH@\82&gt;6 =@D:?8 DEC62&lt; :?</t>
  </si>
  <si>
    <t>8.11.2024: Indy Eleven vs. New Mexico United - Game Highlights</t>
  </si>
  <si>
    <t>8.11.2024: Indy Eleven vs.</t>
  </si>
  <si>
    <t>New Mexico Powers Past Eleven with Big Second Half</t>
  </si>
  <si>
    <t>August 11, 2024 - United Soccer League Championship (USL)
Indy Eleven News Release
Indianapolis - Visiting Western Conference leader New Mexico United scored three second-half goals in a 22-minute span to rally for a 3-1 road victory over the Indy Eleven at Carroll Stadium.</t>
  </si>
  <si>
    <t>USL Championship – New Mexico United at Indy Eleven, 5 p.m.
International League – Indianapolis Indians at Nashville Sounds, 7:05 p.m.
MLB – Chicago Cubs at Cleveland Guardians, 6:40 p.m.; St. Louis Cardinals at Cincinnati Reds, 6:40 p.m.; New York Yankees at Chicago White Sox, 8:10 p.m.</t>
  </si>
  <si>
    <t>Miami Herald</t>
  </si>
  <si>
    <t>Taylor Thompson</t>
  </si>
  <si>
    <t>Bluff City Media</t>
  </si>
  <si>
    <t>United Can Extend Lead Against Indy</t>
  </si>
  <si>
    <t>Both New Mexico United and Indy Eleven are already looking ahead to the playoff push, but their current forms are heading in different directions. Despite remaining atop the West, United has lost the last two matches, also losing some of the luster of The Lab.</t>
  </si>
  <si>
    <t>Shorthanded United faces talented Indy Eleven</t>
  </si>
  <si>
    <t>United rolls into Sunday's road match at Indy Eleven looking to turn its fortunes around after a particularly rough two-week stretch.</t>
  </si>
  <si>
    <t>Sunday, 3 p.m., ESPN+ (streaming), Estrella TV, (no radio)New Mexico United has not been faced with much adversity this season — until now. kAm&amp;?:E65 C@==D :?E@ $F?52JVD C@25 &gt;2E49 2E x?5J t=6G6? =@@&lt;:?8 E@ EFC? :ED 7@CEF?6D 2C@F?5 27E6C 2 A2CE:4F=2C=J C@F89 EH@\H66&lt; DEC6E49] }@E @?=J 5:5 }6H |6I:4@ 23D@C3 324&lt;\E@\324&lt; =@DD6D W:ED 7:CDE 9@&gt;6 56762ED :? a_acX[ }|&amp; 2=D@ E@@&lt; 2 A2:?7F= 3=@H H96? 7@CH2C5 s2J@??</t>
  </si>
  <si>
    <t xml:space="preserve">Indy Eleven vs New Mexico United prediction and betting tips - August 12, 2024 </t>
  </si>
  <si>
    <t>Dillan George</t>
  </si>
  <si>
    <t>Read also: Brescia vs Venezia prediction and betting tips - August 11, 2024
Indy Eleven Indy Eleven is in the hunt for a playoff spot as the season progresses. Currently, the team from Indianapolis sits in fourth place in the Eastern Conference.</t>
  </si>
  <si>
    <t>Lawrence Dockery</t>
  </si>
  <si>
    <t>All INdiana Podcast Network Featured Podcast of the Week: The Indy Eleven Coaches Show</t>
  </si>
  <si>
    <t>This week we are featuring The Indy Eleven Coaches Show.  Sean McAuley previews the all-important Lamar Hunt US Open Cup Quarterfinal matchup with Atlanta United of MLS.</t>
  </si>
  <si>
    <t>Indy Eleven Coaches Show Episode 6</t>
  </si>
  <si>
    <t>Rhode Island FC falls 1-0 at Indy Eleven</t>
  </si>
  <si>
    <t>Share
INDIANAPOLIS (August 7, 2024) – Rhode Island FC suffered its first loss in nearly two months on Wednesday when it fell 1-0 to Indy Eleven at IU Michael A. Carroll Track and Soccer Stadium.</t>
  </si>
  <si>
    <t>USL Championship – New Mexico United at Indy Eleven, 5 p.m.
International League – Indianapolis Indians at Nashville Sounds, 7:05 p.m.</t>
  </si>
  <si>
    <t>Indy Eleven vs. Rhode Island FC from Aug. 7, 2024</t>
  </si>
  <si>
    <t>INDIANAPOLIS (WISH) — Did you miss Wednesday’s match between Indy Eleven and Rhode Island FC?
Click on the video above to catch every minute of the action!
The Boys in Blue will return to WISH-TV on Sunday when they host New Mexico United.</t>
  </si>
  <si>
    <t>INDIANAPOLIS (August 7, 2024) – Rhode Island FC suffered its first loss in nearly two months on Wednesday when it fell 1-0 to Indy Eleven at IU Michael A. Carroll Track and Soccer Stadium.</t>
  </si>
  <si>
    <t>Brian Haenchen</t>
  </si>
  <si>
    <t>Rhode Island FC's Unbeaten Streak Snapped by Indy Eleven Defeat</t>
  </si>
  <si>
    <t>Rhode Island FC saw their eight-game unbeaten streak come to an end with a defeat against Indy Eleven, falling 1-0 after failing to capitalize on scoring opportunities. Despite maintaining possession and passing efficiency, RIFC was heavily outshot 18-10, highlighting their struggles offensively.</t>
  </si>
  <si>
    <t>Slideshow: Guenzatti's Volley Sparks Indy Eleven</t>
  </si>
  <si>
    <t>Rhode Island FC Falls 1-0 at Indy Eleven</t>
  </si>
  <si>
    <t>August 7, 2024 - United Soccer League Championship (USL)
Rhode Island FC News Release
INDIANAPOLIS - Rhode Island FC suffered its first loss in nearly two months on Wednesday when it fell 1-0 to Indy Eleven at IU Michael A. Carroll Track and Soccer Stadium.</t>
  </si>
  <si>
    <t>8.7.2024: Indy Eleven vs. Rhode Island FC - Game Highlights</t>
  </si>
  <si>
    <t>8.7.2024: Indy Eleven vs. … Rhode Island FC - Game Highlights
August 7, 2024 - United Soccer League Championship (USL)
Indy Eleven YouTube Video
Sebastian Guenzatti moved into a tie for fifth place in the USL Championship's regular season scoring list as he delivered the only goal in Indy Eleven's 1-0 victory against Rhode Island</t>
  </si>
  <si>
    <t>All Goals from Indy Eleven vs. Rhode Island FC in the 1st Half</t>
  </si>
  <si>
    <t>Mickey Shuey, Taylor Wooten</t>
  </si>
  <si>
    <t>USL Championship – Rhode Island FC at Indy Eleven, 7 p.m.
International League – Indianapolis Indians at Nashville Sounds, 7:35 p.m.
MLB – Cincinnati Reds at Miami Marlins, 6:10 p.m.; Tampa Bay Rays at St. Louis Cardinals, 7:15 p.m.</t>
  </si>
  <si>
    <t>The Cap Times</t>
  </si>
  <si>
    <t>Match Preview: Rhode Island FC vs. Indy Eleven: August 7, 2024</t>
  </si>
  <si>
    <t>Eleven for a midweek contest. … Carroll Track and Soccer Stadium
Broadcast | ESPN+
Social | @rhodeislandfc (X, Instagram, Facebook)
Match Hashtag | #INDvRI
INDY ELEVEN
Roster
GOALKEEPERS (3): 0-Hunter Sulte, 1-Yannik Oettl, 46-Cayden Crawford
DEFENDERS (9): 2-Josh O'Brien, 3-Aedan Stanley, 5-Callum Chapman-Page, 15-Adrián Diz</t>
  </si>
  <si>
    <t>Hey Mike! Indy Eleven is going for a world record Wednesday and the team needs your help</t>
  </si>
  <si>
    <t>Dana Hunsinger Benbow</t>
  </si>
  <si>
    <t>INDIANAPOLIS -- As the Indy Eleven heads into their match Wednesday against Rhode Island, they boast a solid 9-5-7 record and are ranked fourth in the United Soccer League Championship's east division.</t>
  </si>
  <si>
    <t>USL Championship -- Rhode Island FC at Indy Eleven, 7 p.m.
International League – Indianapolis Indians at Nashville Sounds, 7:35 p.m.
MLB – Cincinnati Reds at Miami Marlins, 6:10 p.m.; Tampa Bay Rays at St. Louis Cardinals, 7:15 p.m.</t>
  </si>
  <si>
    <t>Joe Crann</t>
  </si>
  <si>
    <t>The Star (Sheffield)</t>
  </si>
  <si>
    <t>Battery Blast Indy 5-0 at Patriots Point, Five Different Players Score</t>
  </si>
  <si>
    <t>The Charleston Battery blasted Indy Eleven to win 5-0 on Friday at Patriots Point. Five different goalscorers contributed to the victory in a complete performance across the board. MD Myers, Emilio Ycaza, Nick Markanich, Jackson Conway and Robbie Crawford all found the back of the net.</t>
  </si>
  <si>
    <t>Battery blast Indy 5-0 at Patriots Point, five different players score</t>
  </si>
  <si>
    <t>(Aug. 2, 2024) – The Charleston Battery blasted Indy Eleven to win 5-0 on Friday at Patriots Point. Five different goalscorers contributed to the victory in a complete performance across the board.</t>
  </si>
  <si>
    <t>Detroit Free Press</t>
  </si>
  <si>
    <t>Indy Eleven Blanked by Charleston Battery, 5-0</t>
  </si>
  <si>
    <t>August 2, 2024 - United Soccer League Championship (USL)
Indy Eleven News Release
MOUNT PLEASANT, South Carolina - Indy Eleven fell to Eastern Conference foe Charleston Battery, 5-0, on the road Friday evening.</t>
  </si>
  <si>
    <t>Charleston Battery vs. Indy Eleven - Game Highlights</t>
  </si>
  <si>
    <t>Indy Eleven - Game Highlights
August 2, 2024 - United Soccer League Championship (USL)
Charleston Battery YouTube Video
Nick Markanich recorded his 20th goal of the season and notched an assist as the Charleston Battery swept to a 5-0 victory against Indy Eleven at Patriots Point as MD Myers bagged</t>
  </si>
  <si>
    <t>USL Championship – Indy Eleven at Charleston Battery, 7:30 p.m.
MLB – St. Louis Cardinals at Chicago Cubs, 2:20 p.m.; Chicago White Sox at Minnesota Twins, 7:10 p.m.; San Francisco Giants at Cincinnati Reds, 7:15 p.m.
International League – Toledo Mud Hens at Indianapolis Indians, 7:05 p.m.</t>
  </si>
  <si>
    <t>Awful Announcing</t>
  </si>
  <si>
    <t>Charleston Battery vs Indy Eleven, Bet Soccer USL Championship</t>
  </si>
  <si>
    <t>Charleston Battery and Indy Eleven face off in the only game this Friday for week 22 of the USL Championship. The match is scheduled to kick off at 7:30 PM ET. On this page, we will bring you the top betting tips based on value odds.</t>
  </si>
  <si>
    <t>Paul Kendrick</t>
  </si>
  <si>
    <t>USL Championship – Indy Eleven at Charleston Battery, 7:30 p.m.</t>
  </si>
  <si>
    <t>FC Tulsa Posts 0-0 Draw against Indy Eleven</t>
  </si>
  <si>
    <t>Yellow cards were shown continuously throughout the match, with three being given to FC Tulsa, and three going to Indy Eleven, including cards to former FC Tulsa players Callum Chapman-Page and Adrián Diz Pe. … Forward Phillip Goodrum came close to making his second diving header of the season, but Indy Eleven's goalkeeper quickly put a stop to his last-minute effort.</t>
  </si>
  <si>
    <t>FC Tulsa Draw 0-0 Against Indy Eleven</t>
  </si>
  <si>
    <t>July 27, 2024 - United Soccer League Championship (USL)
FC Tulsa News Release
TULSA - FC Tulsa continues home unbeaten streak after a 0-0 draw against Indy Eleven
Midfielder Boubacar Diallo took FC Tulsa's first corner kick of the night, but the attempt did not result in any goals on the scoreboard … Forward Phillip Goodrum came close to making his second diving header of the season, but Indy Eleven's goalkeeper quickly put a stop to his last-minute effort.</t>
  </si>
  <si>
    <t>FC Tulsa's defense shines again in draw with Indy Eleven | Barry Lewis' three takeaways</t>
  </si>
  <si>
    <t>Barry Lewis</t>
  </si>
  <si>
    <t>Tulsa World</t>
  </si>
  <si>
    <t>On Friday night, FC Tulsa and Indy Eleven battled to a scoreless draw at ONEOK Field.
"I thought we dominated the game in a lot of aspects, we created some really good chances," FC Tulsa coach Mario Sanchez said. … Former FC Tulsa defenders return to ONEOK Field
Indy Eleven's Adrian Diz Pe and Callum Chapman-Page each picked up a yellow card as they played against their former team. 
FC TULSA 0, INDY 0
Indy 0 0 — 0
Tulsa 0 0 — 0
Goals: None. Shots: Indy 8, Tulsa 6.</t>
  </si>
  <si>
    <t>Indy Eleven Draws FC Tulsa, 0-0</t>
  </si>
  <si>
    <t>July 26, 2024 - United Soccer League Championship (USL)
Indy Eleven News Release
TULSA, Oklahoma - Indy Eleven and FC Tulsa played to a 0-0 draw on Friday evening at ONEOK Field.</t>
  </si>
  <si>
    <t>FC Tulsa vs. Indy Eleven - Game Highlights</t>
  </si>
  <si>
    <t>Indy Eleven - Game Highlights
July 26, 2024 - United Soccer League Championship (USL)
FC Tulsa YouTube Video
Indy Eleven was held to a scoreless draw by hosts FC Tulsa at ONEOK Field as the visitors saw their winless run in league play reach five games.</t>
  </si>
  <si>
    <t>Dylan Heinrich</t>
  </si>
  <si>
    <t>Rock M Nation</t>
  </si>
  <si>
    <t>Kurt Darling</t>
  </si>
  <si>
    <t>FC Tulsa makes roster move, hosts US Open Cup semifinalist Indy Eleven</t>
  </si>
  <si>
    <t>Indy Eleven, 7:30 p.m. Friday at ONEOK Field.</t>
  </si>
  <si>
    <t>FC Tulsa Welcome Indy Eleven to ONEOK Field on Dollar Beer Section Night</t>
  </si>
  <si>
    <t>Last Match-Up Against Indy Eleven: FC Tulsa last faced Indy Eleven in October 2023. Forward Phillip Goodrum opened the scoring that night off of a penalty kick taken in the 34th minute. … Indy Eleven's player to watch is Defender Aedan Stanley. Stanley leads Indy Eleven in assists with seven. He also leads the team in chances created with 34. Aedan Stanley also has five shots and two on target.
Up Next: FC Tulsa travels to San Antonio FC on Saturday, August 3rd at 8 p.m.</t>
  </si>
  <si>
    <t xml:space="preserve">Tulsa vs Indy Eleven prediction and betting tips - July 27, 2024 </t>
  </si>
  <si>
    <t>Miguel Solomons</t>
  </si>
  <si>
    <t>Indy Eleven. … Tulsa vs Indy Eleven Prediction
Both teams are currently in poor form, with both Indy Eleven and Tulsa showing very inconsistent results. However, in my opinion, the key factor in this game is Indy Eleven's strong away performance.</t>
  </si>
  <si>
    <t>USL Championship – Indy Eleven at Tulsa FC, 8:30 p.m.
MLB – Cincinnati Reds at Tampa Bay Rays, 4:10 p.m.; Chicago Cubs at Kansas City Royals, 7:10 p.m.; Seattle Mariners at Chicago White Sox, 7:15 p.m.; Washington Nationals at St. Louis Cardinals, 7:15 p.m.</t>
  </si>
  <si>
    <t>Alex Silverman</t>
  </si>
  <si>
    <t>Sports Business Journal</t>
  </si>
  <si>
    <t>Ashlyn Wright</t>
  </si>
  <si>
    <t>WRTV-TV (Indianapolis, IN)</t>
  </si>
  <si>
    <t>WFAA-TV (Dallas, TX)</t>
  </si>
  <si>
    <t>USL Championship – Indy Eleven at Tulsa FC, 8:30 p.m.</t>
  </si>
  <si>
    <t>Win tickets to see the Indy Eleven play August 11</t>
  </si>
  <si>
    <t>Win tickets to see the Indy Eleven play August 7</t>
  </si>
  <si>
    <t>Slideshow: Indy Eleven Recent Struggles Continues</t>
  </si>
  <si>
    <t>Indy Eleven’s first attempt on goal came in the 10th minute when Augustine Williams broke away from the Tampa defense, but his shot was easily saved by former Eleven goalkeeper Jordan Farr. … Indy Eleven will be back at home on Wednesday 7th August when they will entertain Rhode Island.</t>
  </si>
  <si>
    <t>Rowdies Defeat Indy 2-0</t>
  </si>
  <si>
    <t>July 20, 2024 - United Soccer League Championship (USL)
Tampa Bay Rowdies News Release
INDIANAPOLIS, IN - The Tampa Bay Rowdies extended their lead over Indy Eleven in the USL Championship standings with a 2-0 win at Michael A. Carroll Stadium on Saturday night.</t>
  </si>
  <si>
    <t>Indy Eleven vs. Tampa Bay Rowdies - Game Highlights</t>
  </si>
  <si>
    <t>Indy Dropped by Tampa Bay, 2-0</t>
  </si>
  <si>
    <t>July 20, 2024 - United Soccer League Championship (USL)
Indy Eleven News Release
INDIANAPOLIS - Indy Eleven fell, 2-0, at home on Saturday evening to USL Championship Eastern Conference foe Tampa Bay Rowdies.</t>
  </si>
  <si>
    <t>USL Championship – Tampa Bay Rowdies at Indy Eleven, 7 p.m.
International League – Indianapolis Indians at Omaha Storm Chasers, 7:05 p.m.
WNBA – Team USA vs. WNBA All-Stars at Phoenix, Arizona, 8:30 p.m.
MLB – Cincinnati Reds at Washington Nationals, 1:35 p.m.; St.</t>
  </si>
  <si>
    <t>Ex Bulletin</t>
  </si>
  <si>
    <t>USL Championship – Tampa Bay Rowdies at Indy Eleven, 7 p.m.
International League – Indianapolis Indians at Omaha Storm Chasers, 7:05 p.m.
WNBA – Team USA vs. WNBA All-Stars at Phoenix, Arizona, 8:30 p.m.
MLB – Cincinnati Reds at Washington Nationals, 1:35 p.m.; St.</t>
  </si>
  <si>
    <t>Daniel Bradley</t>
  </si>
  <si>
    <t>WFOR-TV (Miami, FL)</t>
  </si>
  <si>
    <t>Union Omaha adds Max Schneider on loan from Indy Eleven</t>
  </si>
  <si>
    <t>Nicholas Murray -, Nicholas Murray, Emily Schrob -, Emily Schrob</t>
  </si>
  <si>
    <t>. – Union Omaha today announced the signing of midfielder Max Schneider on loan from USL Championship side Indy Eleven, pending league and federation approval. Schneider has made 12 appearances for Indy across USL Championship and U.S. Open Cup play this season.</t>
  </si>
  <si>
    <t>Preview: Rowdies at Indy Eleven</t>
  </si>
  <si>
    <t>July 18, 2024 - United Soccer League Championship (USL)
Tampa Bay Rowdies News Release
The Tampa Bay Rowdies are back on the road this weekend for a pivotal matchup against Eastern Conference foe Indy Eleven.</t>
  </si>
  <si>
    <t>Indy Eleven vs. Tampa Bay Rowdies at Michael A. Carroll Stadium (IUPUI)</t>
  </si>
  <si>
    <t>Megan McCreery</t>
  </si>
  <si>
    <t>Indy Eleven vs. Tampa Bay Rowdies
 Edit</t>
  </si>
  <si>
    <t>Union Omaha Signs Indy Eleven Midfielder Max Schneider on Loan</t>
  </si>
  <si>
    <t>This season with Indy Eleven, he has a pair of assists in eight USL Championship appearances in addition to his substitute appearances in all four of their US. Open Cup matches en route to the semifinals.</t>
  </si>
  <si>
    <t>USL Championship – Tampa Bay Rowdies at Indy Eleven, 7 p.m.
International League – Indianapolis Indians at Omaha Storm Chasers, 7:05 p.m.
WNBA – Team USA vs. WNBA All-Stars at Phoenix, Arizona, 8:30 p.m.
MLB – Cincinnati Reds at Washington Nationals, 1:35 p.m.; St.</t>
  </si>
  <si>
    <t>Lots of racing and more from the WISH-TV Community Calendar!</t>
  </si>
  <si>
    <t>Indianapolis, IN
Indy Eleven vs. Tampa Bay Rowdies
July 20, 7:00pm
1001 W. New York St.</t>
  </si>
  <si>
    <t>Nolan Bianchi</t>
  </si>
  <si>
    <t>What to do on “Staycation” in Indianapolis</t>
  </si>
  <si>
    <t>Lexa Muehlbauer, Caroline ZuHone</t>
  </si>
  <si>
    <t>INDY MAVEN</t>
  </si>
  <si>
    <t>Cheer on the Indy Eleven pro soccer team, bring your pup to watch some baseball at the Indianapolis Indians’ Bark in the Park events, or catch Caitlin Clark making buckets with the Indiana Fever at Gainbridge Fieldhouse.</t>
  </si>
  <si>
    <t>U.S. Open Cup semifinal tickets on sale for Sporting KC vs. Indy Eleven</t>
  </si>
  <si>
    <t>Olivia Johnson</t>
  </si>
  <si>
    <t>Open Cup semifinals against the Indy Eleven on Tuesday, Aug. 27, and here’s everything you need to know about getting tickets to the match-up.
Tickets for the Children’s Mercy Park game became available on Wednesday at 10 a.m. on SeatGeek, with prices ranging from to per ticket.</t>
  </si>
  <si>
    <t>USL Championship – Tampa Bay Rowdies at Indy Eleven, 7 p.m.
International League – Indianapolis Indians at Omaha Storm Chasers, 7:05 p.m.
WNBA – Team USA vs. WNBA All-Stars at Phoenix, Arizona, 8:30 p.m.</t>
  </si>
  <si>
    <t>Indy Eleven's Stremlaw Named to IBJ Media Indiana 250 List of Influential Hoosiers</t>
  </si>
  <si>
    <t>"A top mission of Indy Eleven has always been to grow the game of soccer and make it more accessible for players and fans of all ages. … In addition to Stremlaw, Indy Eleven was well represented with Ersal Ozdemir, Indy Eleven's owner, who made the list for the third consecutive year in the 'Real Estate, Retail and Construction' category as the Chairman &amp; Owner of the Keystone Group.</t>
  </si>
  <si>
    <t>Summer Date Ideas in Indy</t>
  </si>
  <si>
    <t>Take your special someone out to a ball game to root on the Indianapolis Indians, cheer for the boys in blue at an Indy Eleven game, enjoy the Friday Night Lights lifestyle with Colts games, or get out to the Gainbridge Fieldhouse to cheer for the Fever and Pacers. </t>
  </si>
  <si>
    <t>Kwame Awuah shines with assist in Loudoun United’s draw with Indy Eleven</t>
  </si>
  <si>
    <t>Emmanuel Boateng</t>
  </si>
  <si>
    <t>SportsON</t>
  </si>
  <si>
    <t>Canadian-born Ghanaian midfielder Kwame Awuah delivered a standout performance in Loudoun United FC’s 1-1 draw against Indy Eleven in the USL Championship on Saturday.</t>
  </si>
  <si>
    <t>How Indy Eleven’s Hunter Sulte picked up the slack for his teammates | Young Player Spotlight</t>
  </si>
  <si>
    <t>How Indy Eleven’s Hunter Sulte picked up the slack for his teammates | Young Player Spotlight
Share
Young shot-stopper delivered big performance to lead six young standouts in this week’s rundown
After last week’s announcement … Tag(s):
 Features 
 Sacramento Republic FC 
 Las Vegas Lights FC 
 Birmingham Legion FC 
 Indy Eleven 
 Hartford Athletic</t>
  </si>
  <si>
    <t>Sporting KC to host Indy Eleven on Aug. 27 in U.S. Open Cup semifinal</t>
  </si>
  <si>
    <t>Open Cup trophy with a semifinal match-up against USL Championship foe Indy Eleven at 7 p.m. CT on Tuesday, Aug. 27 at Children's Mercy Park. Tickets for the cup clash will go on sale at 10 a.m. CT on Wednesday, July 17 via SeatGeek.
U.S. Soccer announced the U.S.</t>
  </si>
  <si>
    <t>Indy Eleven learns date for 2024 Lamar Hunt U.S. Open Cup Semifinals</t>
  </si>
  <si>
    <t>Open Cup with the USL Championship’s Indy Eleven set to visit Sporting Kansas City of Major League Soccer on Tuesday, August 27 at 8 p.m. ET at Children’s Mercy Park. The game will air live on Apple TV+.</t>
  </si>
  <si>
    <t>The Sports Network (TSN)</t>
  </si>
  <si>
    <t>The Great Eight (Quarterfinals): Indy Eleven Feed the Dream as SKC &amp; Seattle Target Historic Fifth</t>
  </si>
  <si>
    <t>It’s how many years Indy Eleven have existed. This eleventh Eleven year also marks the first time they’ve reached an Open Cup Quarterfinal, and a Semifinal.</t>
  </si>
  <si>
    <t>The Great Eight (Quarterfinals): Indy Eleven fuels the dream as SKC, Seattle chase historic fifth place</t>
  </si>
  <si>
    <t>It's how many years Indy Eleven have existed. This eleventh year of Eleven also marks the first time they have reached an Open Cup quarterfinal and a semifinal.</t>
  </si>
  <si>
    <t>Indy Eleven and Loudoun United FC Take 1-1 Draw</t>
  </si>
  <si>
    <t>July 13, 2024 - United Soccer League Championship (USL)
Indy Eleven News Release
INDIANAPOLIS - Indy Eleven and Eastern Conference opponent Loudoun United FC played to a 1-1 draw on Saturday night at Carroll Stadium.</t>
  </si>
  <si>
    <t>All Goals from Indy Eleven vs. Loudoun United FC in the 2nd Half</t>
  </si>
  <si>
    <t>Indy Eleven vs. Loudoun United FC - Game Highlights</t>
  </si>
  <si>
    <t>Indy Eleven vs. Loudoun United FC - Game Highlights
July 13, 2024 - United Soccer League Championship (USL)
Indy Eleven YouTube Video
Elliott Collier scored with 16 minutes to go to earn Indy Eleven a 1-1 draw with Loudoun United FC at Michael A.</t>
  </si>
  <si>
    <t>USL Championship – Loudon United FC at Indy Eleven, 7 p.m.
International League – Columbus Clippers at Indianapolis Indians, 7:05 p.m.
International League – Columbus Clippers at Indianapolis Indians, 1:35 p.m.</t>
  </si>
  <si>
    <t>Williams' Indy Eleven to meet Sporting KC in US Cup semis</t>
  </si>
  <si>
    <t>Alie Ahmed Bittar, Alie Bittar</t>
  </si>
  <si>
    <t>Augustine Williams’ Indy Eleven is set to face Major League side Sporting KC in the US Cup semis in August. 
Tuesday night, Indy Eleven made history by winning 2-1 against Atlanta United, advancing to the Lamar Hunt U.S.</t>
  </si>
  <si>
    <t>Williams’ Indy Eleven to meet Sporting KC in US Cup semis</t>
  </si>
  <si>
    <t xml:space="preserve">Indy Eleven vs Loudoun United prediction and betting tips - July 14, 2024 </t>
  </si>
  <si>
    <t>Read also: Montreal vs Atlanta United prediction and betting tips - July 14, 2024
Indy Eleven
The team competes in the Eastern Conference of the USL Championship. Indy Eleven has accumulated 30 points after 17 matches in the regular season, currently occupying third place.</t>
  </si>
  <si>
    <t>Daily Mail</t>
  </si>
  <si>
    <t>FC Tulsa vs Indy Eleven | Live Stream</t>
  </si>
  <si>
    <t>Tianne Johnson</t>
  </si>
  <si>
    <t>Yurview</t>
  </si>
  <si>
    <t>Due to USL restrictions, the FC Tulsa vs Indy Eleven match scheduled for Friday, July 26th is only available in Oklahoma. The device you are watching from (computer or mobile phone) must have an IP address registered in this area. We apologize for any inconvenience.</t>
  </si>
  <si>
    <t>Atlanta United FC</t>
  </si>
  <si>
    <t>Indianapolis weekend events: Indy VegFest, Sun King turns 15 and more</t>
  </si>
  <si>
    <t>â½ Kick it with the Indy Eleven when they host Loudoun United FC for Margaritaville Night at Carroll Stadium.</t>
  </si>
  <si>
    <t>Dennis Pope</t>
  </si>
  <si>
    <t>Sounders-LAFC, Sporting KC-Indy Eleven to meet in U.S. Open Cup semifinals</t>
  </si>
  <si>
    <t>Ives Galarcep, Larry Henry Jr</t>
  </si>
  <si>
    <t>Indy Eleven will be the two semifinal matchups this August, after this week’s quarterfinal slate concluded Wednesday. Both Seattle and Sporting KC have previously won the competition while LAFC and Indy Eleven will be seeking their first Open Cup titles.</t>
  </si>
  <si>
    <t>Indy Eleven Defeat Atlanta United, Move On To US Open Cup Semis</t>
  </si>
  <si>
    <t>Instead, the ball found the foot of an Atlanta defender who tapped the ball into the Atlanta net for an own goal. 2-0 Indy Eleven.</t>
  </si>
  <si>
    <t>Teddy Bahu</t>
  </si>
  <si>
    <t>Indy Eleven beat MLS team for first time in U.S. Open Cup quarterfinals</t>
  </si>
  <si>
    <t>Indy Eleven beat MLS team for first time in U.S. Open Cup quarterfinals
The Indy Eleven beat an MLS team for the first time Tuesday night, knocking off Atlanta United, 2-1, in the U.S. Open Cup quarterfinals.</t>
  </si>
  <si>
    <t>Jonathan Johnson</t>
  </si>
  <si>
    <t>CBS Sports</t>
  </si>
  <si>
    <t>Atlanta United loses 2-1 to Indy Eleven in the quarterfinals of the Lamar Hunt US Open Cup</t>
  </si>
  <si>
    <t>Indy Eleven was 6-2-2 on the road in USL play so far this season, but Atlanta United had a solid run at home ahead of the Open Cup. The first team's last match at Fifth Third Stadium came against USL League One club Charlotte Independence in early May.</t>
  </si>
  <si>
    <t>How Indy Eleven earned a historic first win against an opponent from Major League Soccer</t>
  </si>
  <si>
    <t>Open Cup in Indy Eleven’s history continued on Tuesday night as the side claimed a 2-1 win against Atlanta United FC at Fifth Third Stadium in Kennesaw, Ga.
The victory marked the first time in the Boys in Blue had defeated a side from Major League Soccer in the tournament.</t>
  </si>
  <si>
    <t>Indy Eleven upsets MLS team Atlanta United, advances to US Open Cup Semifinals</t>
  </si>
  <si>
    <t>Hernan Gutierrez</t>
  </si>
  <si>
    <t>Open Cup, the Indy Eleven is celebrating a pair of milestones.
With Tuesday night’s 2-1 win over Atlanta United, the Indy Eleven are advancing to the semifinals of the tournament for the first time.</t>
  </si>
  <si>
    <t>USL Championship – Loudon United FC at Indy Eleven, 7 p.m.
International League – Columbus Clippers at Indianapolis Indians, 7:05 p.m.</t>
  </si>
  <si>
    <t>Atlanta United shocked in U.S. Open Cup by USL side Indy Eleven as MLS team falls in quarterfinals</t>
  </si>
  <si>
    <t>Kiss 105.3 FM</t>
  </si>
  <si>
    <t>Open Cup, falling 2-1 to USL Championship side Indy Eleven in the quarterfinals of the tournament.</t>
  </si>
  <si>
    <t>Atlanta United humiliated by Indy Eleven: shock and elimination in the Open Cup</t>
  </si>
  <si>
    <t>Izabelle Franca</t>
  </si>
  <si>
    <t>On a historic night, Indy Eleven beat MLS giants to advance to the semifinals of the Lamar Hunt US Open Cup
By Izabelle Franca | 5:58 AM EDT
In the decisive clash of the Lamar Hunt US Open Cup, the modest Indy Eleven made history by beating the mighty Atlanta United, advancing to the semi-finals of</t>
  </si>
  <si>
    <t>ATLANTA — It’s been a year to remember for Indy Eleven in more ways than one. They set a franchise record for most consecutive wins earlier in the USL Championship season and now they can say they have beaten a Major League Soccer team.</t>
  </si>
  <si>
    <t>CBS Sports: «Atlanta United shocked in U.S. Open Cup by USL side Indy Eleven as MLS team falls in quarterfinals»</t>
  </si>
  <si>
    <t>Newstral</t>
  </si>
  <si>
    <t>We use cookies to facilitate personalisation i.e. language and favorites. Further, third parties may set cookies for personalised advertisment (Adsense, ...) and statistics (G. Analytics). Further information</t>
  </si>
  <si>
    <t>MLS and USL Championship teams split quarterfinals</t>
  </si>
  <si>
    <t>Atlanta United forward Saba Lobjanidze #9 dribbles the ball during the US Open Cup match against the Indy Eleven at Fifth Third Bank Stadium in Kennesaw, GA on Tuesday July 9, 2024.</t>
  </si>
  <si>
    <t>Indy Eleven make history with 2-1 U.S. Open Cup win over Atlanta United</t>
  </si>
  <si>
    <t>Eleven fans and even some councilors
Indy defeated an MLS team for the first time in its history, reaching the U.S. … San Antonio FC falls 1-0 at Indy ElevenMissed opportunities cost San Antonio FC Saturday night in a 1-0 loss at Indy Eleven.</t>
  </si>
  <si>
    <t>Stonecom Interactive</t>
  </si>
  <si>
    <t>WUCT-AM (Cookeville, TN)</t>
  </si>
  <si>
    <t>Open Cup by USL side Indy Eleven as MLS team falls in quarterfinals
Atlanta United allowed just one shot on goal yet conceded twice on the night Source</t>
  </si>
  <si>
    <t>Atlanta United Drops Open Cup Game Against Indiana, 2-1</t>
  </si>
  <si>
    <t>Blogarama</t>
  </si>
  <si>
    <t>Atlanta United will not be advancing in the Open Cup, losing to Indy Eleven 2-1. It is their third consecutive loss overall. Nick Firmino scored Atlanta’s only goal in the 92′ minute.</t>
  </si>
  <si>
    <t>United knocked out of U.S. Open Cup in 2-1 loss to Indy Eleven</t>
  </si>
  <si>
    <t>AccessWDUN</t>
  </si>
  <si>
    <t>. — Atlanta United fell to Indy Eleven 2-1 in the quarterfinals of the 2024 Lamar Hunt U.S. Open Cup at Fifth Third Stadium on Tuesday night.
Nick Firmino scored his third goal of the tournament, but Atlanta came up short to end its run in this year's Open Cup.</t>
  </si>
  <si>
    <t>Indy Eleven Upsets Atlanta United in U.S. Open Cup Quarterfinal with Strong Defense</t>
  </si>
  <si>
    <t>Open Cup quarterfinals, losing 2-1 to USL side Indy Eleven, marking a setback in their season.
 By the Numbers
Atlanta United lost 2-1 to Indy Eleven in the U.S. Open Cup quarterfinals.
Indy Eleven's Dax McCarty scored an own goal in the 83rd minute, securing their victory.</t>
  </si>
  <si>
    <t>US Open Cup-Quarterfinal-Indy Eleven at Atlanta United FC</t>
  </si>
  <si>
    <t>Brett Davis</t>
  </si>
  <si>
    <t>The Citizen (Rockdale and Newton Counties)</t>
  </si>
  <si>
    <t>🎥 Indy Eleven knock Atlanta United out of U.S. Open Cup</t>
  </si>
  <si>
    <t>Emily Wilson</t>
  </si>
  <si>
    <t>Scorer: Williams 31′, McCarthy 83′ (OG
The magic of the cup delivered at Fifth Third Bank Stadium as United Soccer League Championship side Indy Eleven stunned Major League Soccer’s Atlanta United 2-1.</t>
  </si>
  <si>
    <t>Chuck Booth, Charles Booth</t>
  </si>
  <si>
    <t>Chuck Booth</t>
  </si>
  <si>
    <t>Welcome to NewsBreak, an open platform where diverse perspectives converge. Most of our content comes from established publications and journalists, as well as from our extensive network of tens of thousands of creators who contribute to our platform. We empower individuals to share insightful viewpoints through short posts and comments.</t>
  </si>
  <si>
    <t>Indy Eleven Delivers Dramatic Upset on First Matchday of 2024 U.S. Open Cup QuarterfinalsIndy Eleven of USL Championship Eliminates 2019 Winners Atlanta United to Earn Club’s First Semifinal Appearance; Seattle Sounders Advance to Club’s Fifth Open Cup Se</t>
  </si>
  <si>
    <t>In the evening’s first fixture, Indy Eleven (USLC) made a bit of history by eliminating 2019 Open Cup champion Atlanta United, securing its first-ever win against an MLS side as well as the club’s inaugural Semifinal qualification.</t>
  </si>
  <si>
    <t>Atlanta United falls to Indy Eleven 2-1 in quarterfinals of the Lamar Hunt U.S. Open Cup</t>
  </si>
  <si>
    <t>Haley Taylor</t>
  </si>
  <si>
    <t>Nick Firmino scores lone goal as Atlanta United falls 2-1 against Indy Eleven in the quarterfinals of the Lamar Hunt U.S. Open Cup.
Indy Eleven is 6-2-2 on the road in USL play for this season so far, but Atlanta United has had good results at home for the Open Cup.</t>
  </si>
  <si>
    <t>Atlanta United knocked out of U.S. Open Cup by Indy Eleven</t>
  </si>
  <si>
    <t>Atlanta United’s best chance to win a trophy this season ended with a 2-1 loss to Indy Eleven in the quarterfinals of the U.S. Open Cup on Tuesday at Kennesaw State.</t>
  </si>
  <si>
    <t>Indy Eleven marches on, eliminates Atlanta United in U.S. Open Cup Quarterfinals</t>
  </si>
  <si>
    <t>Goals in either half led Indy Eleven to a 2-1 victory against Atlanta United FC on Tuesday night, giving the Boys in Blue their first win against opposition from Major League Soccer in their history, as Augustine Williams played a hand in both goals to lead the side into the Semifinals of the 2024 Lamar</t>
  </si>
  <si>
    <t>đ„ Indy Eleven knock Atlanta United out of U.S. Open Cup</t>
  </si>
  <si>
    <t>OneFootball</t>
  </si>
  <si>
    <t>đ„ Indy Eleven knock Atlanta United out of U.S. Open Cup | OneFootball
Yahoo sports
Emily WilsonÂ·10 July 2024
đ„ Indy Eleven knock Atlanta United out of U.S. Open Cup
Add to your bookmarksShare this article
The U.S. Open Cup quarter-finals kicked off on Tuesday with two matches.</t>
  </si>
  <si>
    <t>ðŸŽ¥ Indy Eleven knock Atlanta United out of U.S. Open Cup</t>
  </si>
  <si>
    <t>ðŸŽ¥ Indy Eleven knock Atlanta United out of U.S. Open Cup
The U.S. Open Cup quarter-finals kicked off on Tuesday with two matches. Here is what went down.</t>
  </si>
  <si>
    <t>. - Indy Eleven made history on two fronts Tuesday night as they reached the semifinals of the U.S. Open Cup.
Indy defeated MLS team Atlanta United, 2-1, to advance to the semifinals for the first time. The team has competed in the U.S. Open Cup since 2014.</t>
  </si>
  <si>
    <t>Data Skrive</t>
  </si>
  <si>
    <t>Atlanta United Loses to Indy Eleven, Ending U.S. Open Cup Run</t>
  </si>
  <si>
    <t>July 9, 2024 - Major League Soccer (MLS) 
 Atlanta United FC News Release
KENNESAW, Georgia - Atlanta United fell to Indy Eleven 2-1 in the quarterfinals of the 2024 Lamar Hunt U.S. Open Cup at Fifth Third Stadium on Tuesday night.</t>
  </si>
  <si>
    <t>Starting XI and roster notes: Atlanta United faces Indy Eleven in the quarterfinals of the Lamar Hunt U.S. Open Cup</t>
  </si>
  <si>
    <t>Leagues Cup  All of the clubs from MLS and Liga MX will compete in a completely reimagined Leagues Cup: an annual, month-long tournament that runs from July 26-August 25, 2024.</t>
  </si>
  <si>
    <t>Atlanta United face Indy Eleven in decisive Open Cup match</t>
  </si>
  <si>
    <t>They now face Indy Eleven, who are third in the USL Championship conference, just below the Charleston Battery.
The US Open Cup, the oldest soccer competition in the USA, is a golden opportunity for Indy Eleven to prove their worth against MLS opposition. … They lost to the New England Revolution and Real Salt Lake during the 4th of July week, and are now hoping to get back on track against Indy Eleven.
Apart from the soccer, Indy Eleven's presence in the quarter-finals of the US Open Cup carries greater symbolism.</t>
  </si>
  <si>
    <t>United to play host to Indy Eleven in U.S. Open Cup quarterfinals</t>
  </si>
  <si>
    <t>By ATLUTD Communications 
Posted 1:47PM on Tuesday, July 9, 2024
ATLANTA — Atlanta United returns to action on Tuesday when it hosts Indy Eleven at Fifth Third Stadium in the quarterfinal round of the U.S. Open Cup.
The match is set to kick-off at 7 p.m.</t>
  </si>
  <si>
    <t>Atlanta United vs. Indy Eleven - Watch Live - Apple TV</t>
  </si>
  <si>
    <t>11:00 PM     U.S. Open Cup · Fifth Third Bank Stadium                                WED 3:00 AM         Sacramento vs. Seattle    U.S. Open Cup                      THU 1:00 AM         Kansas City vs. Dallas    U.S. Open Cup                      THU 3:00 AM         LAFC vs. New Mexico    U.S. Open Cup</t>
  </si>
  <si>
    <t>Open Cup – Indy Eleven at Atlanta United FC, 7 p.m.
International League – Columbus Clippers at Indianapolis Indians, 7:05 p.m.
WNBA – Washington Mystics at Indiana Fever, noon
International League – Columbus Clippers at Indianapolis Indians, 1:35 p.m.</t>
  </si>
  <si>
    <t>Where to watch Atlanta United vs Indy Eleven in the USA: US Open Cup</t>
  </si>
  <si>
    <t>Meanwhile, Indy Eleven is on a quest for an upset, hoping to carve out a heroic victory and shake up the tournament.
When will the Atlanta United vs Indy Eleven match be played?</t>
  </si>
  <si>
    <t>Southern Fried Soccer: Atlanta United, Real Salt Lake, Indy Eleven and the Olympics</t>
  </si>
  <si>
    <t>In this episode of the podcast “Southern Fried Soccer,” host Doug Roberson reviews Atlanta United’s 5-2 loss at Real Salt Lake, previews Tuesday’s match against Indy Eleven in the U.S. Open Cup, and discusses Caleb Wiley’s selection to play for the U.S. in the Olympics.</t>
  </si>
  <si>
    <t>Upcoming events at Carroll Stadium: Margaritaville Night and Christmas in July</t>
  </si>
  <si>
    <t>Buy your tickets now and add a limited edition Indy Eleven Ugly Sweater Ornament at checkout. 
Mark Grainda, Director of Content Communications, joined us to share more details about these exciting events!
Saturday, July 20 – Christmas in July Night! Presented by IBEW Local 481 Vs.</t>
  </si>
  <si>
    <t>Atlanta United vs Indy Eleven Prediction and Betting Tips | July 10th 2024</t>
  </si>
  <si>
    <t>Soyoye Jedidiah, Tony Pauline</t>
  </si>
  <si>
    <t>Indy Eleven, meanwhile, beat Chicago Fire FC II 1-0 in their first cup game and San Antonio 2-0 in their second to advance to the last 16 of the tournament, where they were drawn against Detroit City.</t>
  </si>
  <si>
    <t>U.S. Open Cup Preview #ATLvIND</t>
  </si>
  <si>
    <t>"Soccer Saturday" featuring Indy Eleven</t>
  </si>
  <si>
    <t>elevencomms
July 8, 2024 1:54 pm
Share
#ATLvIND Preview 
Atlanta United FC (MLS) vs Indy Eleven (USL Championship)
Tuesday, July 9, 2024 – 7 p.m.</t>
  </si>
  <si>
    <t>Match Preview: Atlanta United vs. Indy Eleven</t>
  </si>
  <si>
    <t>July 8, 2024 - Major League Soccer (MLS) 
 Atlanta United FC News Release
ATLANTA - Atlanta United returns to action Tuesday when it hosts Indy Eleven at Fifth Third Stadium in the quarterfinal round of the U.S. Open Cup. The match is set to kick-off at 7 p.m.</t>
  </si>
  <si>
    <t>Atlanta United Availability Report presented by Piedmont vs. Indy Eleven in Lamar Hunt U.S. Open Cup</t>
  </si>
  <si>
    <t>Open Cup quarterfinals against Indy Eleven at Fifth Third Stadium in Kennesaw, Ga. on Tuesday, July 9 (7:00 p.m. ET, MLS Season Pass on Apple TV, 92.9 The Game).
Player
Injury/Suspension 
Status
Edwin Mosquera 
Knee
Out
Jamal Thiaré
Shoulder
Out</t>
  </si>
  <si>
    <t>How to Watch: Atlanta United hosts Indy Eleven in quarterfinals of Lamar Hunt U.S. Open Cup</t>
  </si>
  <si>
    <t>Indy Eleven is a club created in 2013 and based in Indianapolis, Indiana. The team plays in the USL Championship and is led by head coach Sean McAuley.</t>
  </si>
  <si>
    <t>U.S. Open Cup Quarterfinals Preview - Atlanta United FC vs. Indy Eleven</t>
  </si>
  <si>
    <t>ET
Broadcast: AppleTV+
The Lowdown: Indy Eleven visits Atlanta United FC aiming to continue the deepest run in the club’s Open Cup history as it looks for its first win in the tournament against an opponent from MLS in its history, having lost 4-3 in a penalty shootout to the Chicago Fire</t>
  </si>
  <si>
    <t>Atlanta United vs Indy Eleven Prediction: Indy Eleven fancy their chances but Atlanta has experience</t>
  </si>
  <si>
    <t>Atlanta United and Indy Eleven will play against each other in the quarter final round of the US Open Cup.</t>
  </si>
  <si>
    <t>Detroit City FC and Indy Eleven set for W League Conference Final</t>
  </si>
  <si>
    <t>Indy Eleven advanced to the Central Conference Final earlier on Friday, defeating Minnesota Aurora FC 2-1. Indy started quickly, scoring in the third minute with a cross off a corner.</t>
  </si>
  <si>
    <t xml:space="preserve">Atlanta United vs Indy Eleven prediction and betting tips - July 10, 2024 </t>
  </si>
  <si>
    <t>Indy Eleven Indy Eleven competes in the USL Championship, where they are currently in third place in the Eastern Conference. The club from Indianapolis has collected 30 points in 17 matches, trailing the leader by 8 points with one match in hand.</t>
  </si>
  <si>
    <t>Watch Live: Detroit City FC vs. Indy Eleven in Central Conference Finals</t>
  </si>
  <si>
    <t>(CBS DETROIT) - Detroit City FC will host Indy Eleven in the USL W League's Central Conference Final on Sunday afternoon. Kickoff from Keyworth Stadium is set for 1 p.m. You can stream the game for free on CBSDetroit.com. … As the game seemed to be going toward extra time, a counter-attacking opportunity led to Indy Eleven's game-winning goal in the 82nd minute. 
 Indy Eleven finished top of the Valley Division, claiming 23 points throughout the campaign, picking up seven wins, one loss, and two draws.</t>
  </si>
  <si>
    <t>(CBS DETROIT) - Detroit City FC will host Indy Eleven in the USL W League's Central Conference Final on Sunday afternoon. Kickoff from Keyworth Stadium is set for 1 p.m. You can stream the game for free on CBSDetroit.com.  … As the game seemed to be going toward extra time, a counter-attacking opportunity led to Indy Eleven's game-winning goal in the 82nd minute.
Indy Eleven finished top of the Valley Division, claiming 23 points throughout the campaign, picking up seven wins, one loss, and two draws.</t>
  </si>
  <si>
    <t>USL W League Playoffs – Indy Eleven at Detroit FC, 1 p.m.
MLB – St. Louis Cardinals at Washington Nationals, 1:35 p.m.; Chicago White Sox at Miami Marlins, 1:40 p.m.; Detroit Tigers at Cincinnati Reds, 1:40 p.m.; Los Angeles Angels at Chicago Cubs, 2:20 p.m.
MLB – St.</t>
  </si>
  <si>
    <t>Rhode Island FC stoppage-time equalizer secures 3-3 draw against Indy Eleven</t>
  </si>
  <si>
    <t>Indy Eleven with a late equalizer in second-half stoppage time in front of a packed Beirne Stadium.</t>
  </si>
  <si>
    <t>What's UpNewp</t>
  </si>
  <si>
    <t>Indy Eleven with a late equalizer in second-half stoppage time in front of a packed Beirne Stadium.</t>
  </si>
  <si>
    <t>Rhode Island FC’s comeback brings Indy Eleven to 3-3 draw</t>
  </si>
  <si>
    <t>Indy Eleven match finishes with late goal in stoppage time</t>
  </si>
  <si>
    <t>Andrew Chernoff</t>
  </si>
  <si>
    <t>SMITHFIELD, Rhode Island (WISH) — Indy Eleven had not played a match in nearly two weeks. 
But the Boys in Blue showed no signs of rust early on Friday night, as they jumped out to quick lead.</t>
  </si>
  <si>
    <t>Rhode Island FC Stoppage-Time Equalizer Secures 3-3 Draw Against Indy Eleven</t>
  </si>
  <si>
    <t>Pioneer Press</t>
  </si>
  <si>
    <t>7.5.2024: Rhode Island FC vs. Indy Eleven - Game Highlights</t>
  </si>
  <si>
    <t>July 5, 2024 - United Soccer League Championship (USL) 
 Rhode Island FC YouTube Video
Puerto Rico international Isaac Angking scored the equalizer in second half stoppage time as Rhode Island FC rallied twice to earn a 3-3 draw against Indy Eleven at Beirne Stadium after the visitors had taken a late</t>
  </si>
  <si>
    <t>Indy and Rhode Island End in a Draw, 3-3</t>
  </si>
  <si>
    <t>July 5, 2024 - United Soccer League Championship (USL) 
 Indy Eleven News Release
SMITHFIELD, Rhode Island - Indy Eleven returns from Rhode Island with a point after drawing 3-3 with the first-year USL Championship Eastern Conference opponent.</t>
  </si>
  <si>
    <t>All in for Eleven: Indy Ask ‘Why Not Us?’ in Landmark Open Cup Run</t>
  </si>
  <si>
    <t>Angelo Maduro</t>
  </si>
  <si>
    <t>By any measure, Indy Eleven have already done that this year. They’ve notched wins over USL Championship league-mates San Antonio FC and Detroit City – who knocked off title holders Houston Dynamo of MLS on the road in their previous game. … Indy Eleven and their Brickyard Battalion, who’ll make the 500-mile trip to roar on the boys in this dangerous – and exhilarating – year, fancy their chances.
As Indy Eleven’s first president and long-standing club icon Peter Wilt will tell you: “Anything can happen in the Open Cup.”</t>
  </si>
  <si>
    <t>KMSP-TV (Eden Prairie, MN)</t>
  </si>
  <si>
    <t>Jeff Wald</t>
  </si>
  <si>
    <t>The Minnesota Star Tribune</t>
  </si>
  <si>
    <t>USL -- Indy Eleven at Atlanta United FC, 7 p.m.
MLB -- Minnesota Twins at Chicago White Sox, 2:10 p.m.; Chicago Cubs at Baltimore Orioles, 6:35 p.m.; Colorado Rockies at Cincinnati Reds, 7:10 p.m.; Kansas City Royals at St. Louis Cardinals, 7:45 p.m.</t>
  </si>
  <si>
    <t>Branden Mello</t>
  </si>
  <si>
    <t>Jim Souhan</t>
  </si>
  <si>
    <t>Indy Eleven Coaches Show Episode 5</t>
  </si>
  <si>
    <t>Podcasts &gt; The Indy Eleven Coaches Show
New!
Indy Eleven Coaches Show Episode 5
Sean McAuley previews the all-important Lamar Hunt US Open Cup Quarterfinal matchup with Atlanta United of MLS.</t>
  </si>
  <si>
    <t>USL -- Indy Eleven at Rhode Island FC, 7:30 p.m.
MLB -- Los Angeles Angels at Chicago Cubs, 2:20 p.m.; St. Louis Cardinals at Washington Nationals, 4:05 p.m.; Detroit Tigers at Cincinnati Reds, 4:10 p.m.; Chicago White Sox at Miami Marlins, 4:10 p.m.</t>
  </si>
  <si>
    <t>Match Preview: Rhode Island FC vs. Indy Eleven: July 5, 2024</t>
  </si>
  <si>
    <t>Building from the Back
Defensively, Indy Eleven has laid a strong foundation for its recent run of form, supplementing its 16 goals in the last nine matches with only six conceded.</t>
  </si>
  <si>
    <t xml:space="preserve">Rhode Island vs Indy Eleven prediction and betting tips - July 5, 2024 </t>
  </si>
  <si>
    <t>Indy Eleven Indy Eleven, after 16 matches, is in third place in the Eastern Conference. The Indianapolis club has accumulated 29 points: 9 wins, 2 draws, and only 5 losses. This is a clear improvement compared to the previous season, which Indy Eleven finished in sixth place.</t>
  </si>
  <si>
    <t>Lauren Daley</t>
  </si>
  <si>
    <t>USL -- Indy Eleven at Rhode Island FC, 7:30 p.m.
MLB -- Los Angeles Angels at Chicago Cubs, 2:20 p.m.; St. Louis Cardinals at Washington Nationals, 4:05 p.m.; Detroit Tigers at Cincinnati Reds, 4:10 p.m.; Chicago White Sox at Miami Marlins, 4:10 p.m.</t>
  </si>
  <si>
    <t>Timbers recall forward Tega Ikoba from loan with Indy Eleven</t>
  </si>
  <si>
    <t>. – The Portland Timbers have recalled forward Tega Ikoba from his loan with USL side Indy Eleven, the club announced today. Ikoba will be available for the remainder of the 2024 season.
Ikoba joined the Timbers ahead of the 2022 season, becoming the fourth MLS Homegrown in club history.</t>
  </si>
  <si>
    <t>Timbers Recall Forward Tega Ikoba from Loan with Indy Eleven</t>
  </si>
  <si>
    <t>. - The Portland Timbers have recalled forward Tega Ikoba from his loan with USL side Indy Eleven, the club announced today. Ikoba will be available for the remainder of the 2024 season.
Ikoba joined the Timbers ahead of the 2022 season, becoming the fourth MLS Homegrown in club history.</t>
  </si>
  <si>
    <t>AARP Indiana offers Indy Eleven ticket discount, sweepstakes</t>
  </si>
  <si>
    <t>AARP State</t>
  </si>
  <si>
    <t>Get ready to cheer on Indy Eleven with an exclusive offer that's kicking off excitement across Central Indiana. AARP Indiana is teaming up with Indy Eleven to bring an unbeatable deal for tickets later this month.</t>
  </si>
  <si>
    <t>USL -- Indy Eleven at Rhode Island FC, 7:30 p.m.</t>
  </si>
  <si>
    <t>J.R. Eskilson</t>
  </si>
  <si>
    <t>Indy Eleven Continues Relationship with Westfield Youth Soccer Association</t>
  </si>
  <si>
    <t>"Indy Eleven is proud to continue its relationship with WYSA in a community where both organizations are dedicated to making soccer more accessible for all," Greg Stremlaw, President &amp; CEO of Indy Eleven said.</t>
  </si>
  <si>
    <t>Racing Louisville Dominates Indy Eleven in Impressive USL W League Finale</t>
  </si>
  <si>
    <t>Racing Louisville's W League team secured an impressive 6-2 victory over Indy Eleven in the USL W League season finale, with Sophia Boman and Sarah Schupansky shining with five goals between them.</t>
  </si>
  <si>
    <t>Indy Eleven Announces Acquisition of James Musa from Colorado Springs</t>
  </si>
  <si>
    <t>June 28, 2024 - United Soccer League Championship (USL) 
 Indy Eleven News Release
INDIANAPOLIS - Indy Eleven today announced the addition of defender James Musa via transfer from Colorado Springs Switchbacks FC.</t>
  </si>
  <si>
    <t>Switchbacks FC Announce Transfer of James Musa to Indy Eleven</t>
  </si>
  <si>
    <t>. - The Colorado Springs Switchbacks FC announced today the transfer of James Musa to Indy Eleven for an undisclosed fee. Per league policy, details of the transfer will not be made public and is pending league and federation approval.</t>
  </si>
  <si>
    <t>Former Indy Eleven women's player Hal Hershfelt makes US Olympic team</t>
  </si>
  <si>
    <t>INDIANAPOLIS (WISH) — Former Indy Eleven Women’s player Hal Hershfelt was selected to be a part of the US Olympic team for the Paris Olympics this summer.
Hershfelt played in eight games for the Indy Eleven Women in 2023, starting eight matches. She scored one goal and one assist.</t>
  </si>
  <si>
    <t>David Gay</t>
  </si>
  <si>
    <t>Hayleigh Colombo</t>
  </si>
  <si>
    <t>Tyler Fenwick</t>
  </si>
  <si>
    <t>Win tickets to see the Indy Eleven play July 20</t>
  </si>
  <si>
    <t>Posted: Jun 24, 2024 / 11:00 AM EST / Updated: Jun 24, 2024 / 11:10 AM EST</t>
  </si>
  <si>
    <t>Win tickets to see the Indy Eleven play July 13</t>
  </si>
  <si>
    <t>Mason King</t>
  </si>
  <si>
    <t>Orange County SC Ends the Longest Win Streak in the Country, Shuts Out Indy Eleven 1-0</t>
  </si>
  <si>
    <t>Eleven 1-0 on Saturday, June 22 at Michael A. … McAuley
Possession: 65% | Shots: 16 | Shots On Goal: 8 | Corners: 7 | Fouls: 10 | Offsides: 4 |
Orange County SC @ Indy Eleven
2024 USL Championship | Matchday 15
Date: June 22, 2024
Venue: IU Michael A. … SC
 OCSC Defeats Indy Eleven 1-0 - Orange County SC
 North Carolina FC Draws Pittsburgh Riverhounds SC, 0-0 - North Carolina FC
 Indy Eleven's Streak Ends with Loss to Orange County SC, 1-0 - Indy Eleven
 Oakland Fall 2-1 Away in Monterey - Oakland Roots</t>
  </si>
  <si>
    <t>OCSC Defeats Indy Eleven 1-0</t>
  </si>
  <si>
    <t>Eleven 1-0 on Saturday, June 22 at Michael A. … McAuley
Possession: 65% | Shots: 16 | Shots On Goal: 8 | Corners: 7 | Fouls: 10 | Offsides: 4 |
Orange County SC @ Indy Eleven
2024 USL Championship | Matchday 15
Date: June 22, 2024
Venue: IU Michael A. … OCSC Defeats Indy Eleven 1-0 - Orange County SC
 North Carolina FC Draws Pittsburgh Riverhounds SC, 0-0 - North Carolina FC
 Indy Eleven's Streak Ends with Loss to Orange County SC, 1-0 - Indy Eleven
 Oakland Fall 2-1 Away in Monterey - Oakland Roots
 Match</t>
  </si>
  <si>
    <t>Indy Eleven's Streak Ends with Loss to Orange County SC, 1-0</t>
  </si>
  <si>
    <t>June 22, 2024 - United Soccer League Championship (USL) 
 Indy Eleven News Release
INDIANAPOLIS - Indy Eleven had its eight-match USL Championship win streak halted on Saturday as it fell to Western Conference opponent Orange County SC, 1-0. … Indy Eleven's Streak Ends with Loss to Orange County SC, 1-0 - Indy Eleven
 Oakland Fall 2-1 Away in Monterey - Oakland Roots
 Match Preview: Miami FC vs Loudoun United FC - Miami FC
 Match Notes (6.22.2024) - Oakland Roots SC vs Monterey Bay FC - Oakland Roots</t>
  </si>
  <si>
    <t>6.22.2024: Indy Eleven vs. Orange County SC - Game Highlights</t>
  </si>
  <si>
    <t>June 22, 2024 - United Soccer League Championship (USL) 
 Indy Eleven YouTube Video
Ethan Zubak scored the only goal of the game as Orange County SC took a 1-0 victory against Indy Eleven at Michael A.</t>
  </si>
  <si>
    <t>USL Championship – Orange County SC at Indy Eleven, 7 p.m.
International League – Iowa Cubs at Indianapolis Indians, 7:05 p.m.
International League – Iowa Cubs at Indianapolis Indians, 1:35 p.m.</t>
  </si>
  <si>
    <t>Everything You Need to Know Before Orange County SC Races to the Circle City for a Matchup with Indy Eleven</t>
  </si>
  <si>
    <t>Carroll Stadium in Indianapolis, IN when they face the red-hot Indy Eleven at 4:00 PM PDT on the CBS Sports Golazo! Network.</t>
  </si>
  <si>
    <t>Indy Eleven on 69 day win streak</t>
  </si>
  <si>
    <t>• None More lineup changes coming for Panthers in Game 6, including a swap on the power play The Florida Panthers are making a pair of changes for Game 6 of the Stanley Cup Final against the Edmonton Oilers on Friday, their third chance to wrap up the series and win the Cup for the first time in franchise history. • None The Kings' new logo is heavily inspired by the '90s look sported by Gretzky in his peak, but features the 1967 crown and other slight updates.</t>
  </si>
  <si>
    <t>WAVE-TV (Louisville, KY)</t>
  </si>
  <si>
    <t>Loan Watch Update | Timbers loanees at Indy Eleven making impact</t>
  </si>
  <si>
    <t>Timbers Homegrowns Hunter Sulte and Tega Ikoba part of Indy Eleven’s 12-game unbeaten run.
Timbers homegrown goalkeeper Hunter Sulte and forward Tega Ikoba have been integral pieces of Indy Eleven's current 12-game unbeaten run in USL as they continue their season-long loan. … 🛑#INDvSA pic.twitter.com/krS8vPUC6c
— Indy Eleven (@IndyEleven) June 15, 2024
His efforts throughout the match and crucial PK save against San Antonio FC earned Sulte the goalkeeper spot in the USL Championship Team of the Week.</t>
  </si>
  <si>
    <t>USL W League – Indy Eleven at Kings Hammer FC, 7 p.m.
International League – Iowa Cubs at Indianapolis Indians, 7:05 p.m.
WNBA – Indiana Fever at Atlanta Dream, 7:30 p.m.
MLB – Chicago White Sox at Detroit Tigers, 1:10 p.m.; San Francisco Giants at St.</t>
  </si>
  <si>
    <t>USL Championship – Orange County SC at Indy Eleven, 7 p.m.
International League – Iowa Cubs at Indianapolis Indians, 7:05 p.m.
International League – Iowa Cubs at Indianapolis Indians, 1:35 p.m.</t>
  </si>
  <si>
    <t>Eric Crawford</t>
  </si>
  <si>
    <t>USL Championship – Orange County SC at Indy Eleven, 7 p.m.
International League – Iowa Cubs at Indianapolis Indians, 7:05 p.m.</t>
  </si>
  <si>
    <t>Sulte Named to USL Championship Team of the Week</t>
  </si>
  <si>
    <t>June 18, 2024 - United Soccer League Championship (USL) 
 Indy Eleven News Release
TAMPA/INDIANAPOLIS - Indy Eleven goalkeeper Hunter Sulte was named to the USL Championship Team of the Week for week 15, league officials announced Tuesday. … Coach: Gavin Glinton, Oakland Roots SC
Bench: Renan Ribeiro (HFD), Stephen Carroll (DET), Joe Farrell (HFD), Bruno Lapa (MEM), Maxi Rodriguez (DET), Trevor Amann (SAC), Greg Hurst (NM)
Saturday night's victory extended Indy Eleven's unbeaten streak, making it a club-best 12 across all competitions,</t>
  </si>
  <si>
    <t>Stephen Whitaker</t>
  </si>
  <si>
    <t>San Antonio Express-News</t>
  </si>
  <si>
    <t>North-South All-Stars at Indiana University, TBA
USL W League – Indy Eleven at Lexington SC, 6 p.m.
MLB – Cincinnati Reds at Pittsburgh Pirates, 6:40 p.m.; St.</t>
  </si>
  <si>
    <t>USL W League – Indy Eleven at Lexington SC, 6 p.m.
MLB – Cincinnati Reds at Pittsburgh Pirates, 6:40 p.m.; St. Louis Cardinals at Miami Marlins, 6:40 p.m.; San Francisco Giants at Chicago Cubs, 8:05 p.m.; Houston Astros at Chicago White Sox, 8:10 p.m.</t>
  </si>
  <si>
    <t>Indy Eleven vs. San Antonio FC from June 15, 2024</t>
  </si>
  <si>
    <t>INDIANAPOLIS (WISH) — Did you miss Saturday’s match between Indy Eleven and San Antonio FC?
Click on the video above to catch every minute of the action!
The Boys in Blue will return to WISH-TV on July 5 when they host Rhode Island FC. WISH-TV will have all the action starting at 7:30 p.m.!</t>
  </si>
  <si>
    <t>Indy Eleven remains on fire, Roots continue turnaround</t>
  </si>
  <si>
    <t>• Eastern Conference:  Indy Eleven extended its winning streak in league play to eight games with a 1-0 victory over San Antonio FC, moving into a tie for second place.</t>
  </si>
  <si>
    <t>Indy Eleven's Sean McAuley on the USL Championship's growth and challenges, the Open Cup, and what he'd ask Alex Ferguson</t>
  </si>
  <si>
    <t>Arlo Moore-Bloom</t>
  </si>
  <si>
    <t>Sean McAuley took the helm of USL Championship club Indy Eleven for the 2024 season after serving as assistant coach and interim head coach of the MLS’s Minnesota United. 
The 51-year-old Englishman started his pro playing career with Manchester United after moving up from its academy.</t>
  </si>
  <si>
    <t>USL W League – Indy Eleven at Lexington SC, 6 p.m.
MLB – Cincinnati Reds at Pittsburgh Pirates, 6:40 p.m.; St. Louis Cardinals at Miami Marlins, 6:40 p.m.; San Francisco Giants at Chicago Cubs, 8:05 p.m.; Houston Astros at Chicago White Sox, 8:10 p.m.</t>
  </si>
  <si>
    <t>San Antonio FC falls 1-0 at Indy Eleven</t>
  </si>
  <si>
    <t>The only goal came off a San Antonio own goal after Kendall Burks deflected in an Indy Eleven corner in the 29th minute. San Antonio had a chance to score first when Indy Eleven ’s Callum Chapman-Page committed a handball in the box in the 15th minute.</t>
  </si>
  <si>
    <t>Open Cup match against Indy Eleven on Wednesday at the Sellick Bowl at Butler University in Indianapolis. Indy Eleven won 2-0.
Matt Schlotzhauer/SAFC
Missed opportunities cost San Antonio FC Saturday night in a 1-0 loss at Indy Eleven. … The only goal came off a San Antonio own goal after Kendall Burks deflected in an Indy Eleven corner in the 29th minute.
San Antonio had a chance to score first when Indy Eleven’s Callum Chapman-Page committed a handball in the box in the 15th minute.</t>
  </si>
  <si>
    <t>Own Goal Costs Depleted San Antonio FC In Indiana</t>
  </si>
  <si>
    <t>Stephen Michael</t>
  </si>
  <si>
    <t>FWRD AXIS News</t>
  </si>
  <si>
    <t>INDIANAPOLIS — A depleted San Antonio FC squad continued its run of bad luck as they fell 0-1 to Indy Eleven at Eleven Park on Saturday night.
The loss is the third straight for San Antonio, who has lost four of their last five matches overall.</t>
  </si>
  <si>
    <t>San Antonio FC Falls 0-1 at Indy Eleven</t>
  </si>
  <si>
    <t>June 15, 2024 - United Soccer League Championship (USL) 
 San Antonio FC News Release
INDIANAPOLIS - San Antonio fell 0-1 in a road contest at Indy Eleven Saturday, dropping to 4-6-5 on the season.</t>
  </si>
  <si>
    <t>Indy now unbeaten in 12 straight across all competitions</t>
  </si>
  <si>
    <t>June 15, 2024 - United Soccer League Championship (USL) 
 Indy Eleven News Release
INDIANAPOLIS - Indy Eleven extended its unbeaten streak across all competitions to 12 after a 1-0 victory over San Antonio FC on Saturday night at Carroll Stadium.</t>
  </si>
  <si>
    <t>6.15.2024: Indy Eleven vs. San Antonio FC - Game Highlights</t>
  </si>
  <si>
    <t>June 15, 2024 - United Soccer League Championship (USL) 
 Indy Eleven YouTube Video
Indy Eleven extended its winning streak in the USL Championship to eight games - and 10 games across all competitions - as a first-half penalty save by Hunter Sulte before an own goal by the visitors at Michael A.</t>
  </si>
  <si>
    <t>Dan Hope</t>
  </si>
  <si>
    <t>Eleven Warriors</t>
  </si>
  <si>
    <t>USL Championship – San Antonio FC at Indy Eleven, 7 p.m.
WNBA – Chicago Sky at Indiana Fever, noon
MLB – St. Louis Cardinals at Chicago Cubs, 1:05 p.m.; Cincinnati Reds at Milwaukee Brewers, 2:10 p.m.; Chicago White Sox at Arizona Diamondbacks, 4:10 p.m.</t>
  </si>
  <si>
    <t>Game Information and Match Notes - SAFC at Indy Eleven</t>
  </si>
  <si>
    <t>series against Indy Eleven after going winless in the sides' first three meetings.</t>
  </si>
  <si>
    <t>Alexandria Burris</t>
  </si>
  <si>
    <t>Hartford Athletic Acquire Defender Younes Boudadi, Transfer Forward Romario Williams to Indy Eleven</t>
  </si>
  <si>
    <t>mleduc
June 14, 2024 9:51 am
Share
Hartford Athletic announced today that they have acquired defender Younes Boudadi via transfer from Indy Eleven. In a corresponding transaction, the Club has transferred forward Romario Williams to Indy Eleven.
“I’m very excited to be coming back to Hartford.</t>
  </si>
  <si>
    <t>Jennifer Wagner Chartier: Suburbs offer opportunity to Indy Eleven</t>
  </si>
  <si>
    <t>Jennifer Wagner Chartier</t>
  </si>
  <si>
    <t>The story came up as we were chatting about the city’s ongoing soccer saga, which started a couple of months ago when Indianapolis officials unceremoniously spurned the Indy Eleven, its fans and its plans for a near-downtown development years in the making to hastily pursue a bid for a Major League Soccer</t>
  </si>
  <si>
    <t>. - Hartford Athletic announced today that they have acquired defender Younes Boudadi via transfer from Indy Eleven. In a corresponding transaction, the Club has transferred forward Romario Williams to Indy Eleven.
"I'm very excited to be coming back to Hartford.</t>
  </si>
  <si>
    <t>Indy Eleven Acquires Romario Williams from Hartford Athletic</t>
  </si>
  <si>
    <t>June 14, 2024 - United Soccer League Championship (USL) 
 Indy Eleven News Release
INDIANAPOLIS - Indy Eleven today announced the acquisition of Romario Williams via transfer from Hartford Athletic. In a corresponding move, Indy has transferred defender Younes Boudadi to Hartford.</t>
  </si>
  <si>
    <t>San Antonio FC looks to snap losing streak at Indy Eleven</t>
  </si>
  <si>
    <t>📆 6/13/2024 4:04 PM
📰 ExpressNews
⏱ Reading Time:
26 sec. here
29 min. at publisher
📊 Quality Score:
News: 108%
Publisher: 51%
 San Antonio FC News 
San Antonio FC will seek to snap its two-game losing streak Saturday night against Indy Eleven.</t>
  </si>
  <si>
    <t>Open Cup match against Indy Eleven on Wednesday at the Sellick Bowl at Butler University in Indianapolis. Indy Eleven won 2-0.
Matt Schlotzhauer/SAFC
San Antonio FC closed out its stretch of three games in eight days last Saturday with a 2-1 loss at Tulsa.</t>
  </si>
  <si>
    <t>The rarified air Indy Eleven’s winning streak has reached in Championship history | News &amp; Notes</t>
  </si>
  <si>
    <t>Indy Eleven’s seven-game league winning streak is unprecedented in its history.
It’s also placed it in elite company in the USL Championship’s regular season. … INDY ELEVEN’S WINNING STREAK REACHES SEVEN
Indy Eleven became only the 12th team to record a seven-game winning streak in the USL Championship’s regular season with its 1-0 victory against Birmingham Legion FC on Sunday evening at Protective Stadium.</t>
  </si>
  <si>
    <t>Indy Eleven’s Sean McAuley voted USL Championship Coach of the Month</t>
  </si>
  <si>
    <t>. – The USL Championship announced today Indy Eleven’s Sean McAuley had been awarded the Championship’s Coach of the Month award for May after leading the Boys in Blue to a perfect month across all competitions as the side advanced to the Quarterfinals of the Lamar Hunt U.S.</t>
  </si>
  <si>
    <t>McAuley Named USL Championship Coach of the Month</t>
  </si>
  <si>
    <t>elevencomms
June 12, 2024 12:30 pm
Share
INDIANAPOLIS/TAMPA (Wednesday, June 12, 2024) – Indy Eleven Head Coach Sean McAuley was named the USL Championship Coach of the Month for the month of May, as announced by league officials Wednesday.</t>
  </si>
  <si>
    <t>June 12, 2024 - United Soccer League Championship (USL) 
 Indy Eleven News Release
INDIANAPOLIS/TAMPA - Indy Eleven Head Coach Sean McAuley was named the USL Championship Coach of the Month for the month of May, as announced by league officials Wednesday.</t>
  </si>
  <si>
    <t>How Indy Eleven built the longest winning streak in its history | USL All Access</t>
  </si>
  <si>
    <t>On this week’s edition of USL All Access, hosts Mike Watts and Devon Kerr dig into Indy Eleven’s current run of success, and how key moves and adjustments following a pair of early-season defeats have the side undefeated in its last 11 games across all competitions and on a club-record seven-game winning</t>
  </si>
  <si>
    <t>USL W League – Kings Hammer FC at Indy Eleven, 7 p.m.
International League – Indianapolis Indians at Jacksonville Jumbo Shrimp, 7:05 p.m.
MLB – Pittsburgh Pirates at St. Louis Cardinals, 2:15 p.m.; Chicago Cubs at Tampa Bay Rays, 6:50 p.m.; Chicago White Sox at Seattle Mariners, 9:40 p.m.</t>
  </si>
  <si>
    <t>How Indy Eleven Built the Longest Winning Streak in Its History: USL All Access</t>
  </si>
  <si>
    <t>June 12, 2024 - United Soccer League Championship (USL) 
 Indy Eleven YouTube Video
On this week's edition of USL All Access, hosts Mike Watts and Devon Kerr dig into Indy Eleven's current run of success, and how key moves and adjustments following a pair of early-season defeats have the side undefeated</t>
  </si>
  <si>
    <t>Indy Eleven make history with seventh-straight win</t>
  </si>
  <si>
    <t>Angela Moryan</t>
  </si>
  <si>
    <t>INDIANAPOLIS (WISH) — The Indy Eleven made history in Birmingham Sunday. The 1-0 win over the Legion was the club’s seventh-straight. Midfielder Jack Blake’s goal also extended the scoring streak to 14 matches — the most in club history.</t>
  </si>
  <si>
    <t>USL W League – Kings Hammer FC at Indy Eleven, 7 p.m.
International League – Indianapolis Indians at Jacksonville Jumbo Shrimp, 7:05 p.m.
MLB – Pittsburgh Pirates at St. Louis Cardinals, 2:15 p.m.; Chicago Cubs at Tampa Bay Rays, 6:50 p.m.; Chicago White Sox at Seattle Mariners, 9:40 p.m.</t>
  </si>
  <si>
    <t>Bystrzyca Valley, Greg Byrne, Jaime Byrom</t>
  </si>
  <si>
    <t>Coliseum</t>
  </si>
  <si>
    <t>Birmingham Legion FC v Indy Eleven</t>
  </si>
  <si>
    <t>skip navigation
Birmingham Legion FC v Indy Eleven</t>
  </si>
  <si>
    <t>Blake Lifts Eleven on the Road</t>
  </si>
  <si>
    <t>June 9, 2024 - United Soccer League Championship (USL) 
 Indy Eleven News Release
BIRMINGHAM, Ala. - Indy Eleven went on the road and defeated Birmingham Legion FC, 1-0, on Sunday evening at Protective Stadium.</t>
  </si>
  <si>
    <t>6.9.2024: Birmingham Legion FC vs. Indy Eleven - Game Highlights</t>
  </si>
  <si>
    <t>June 9, 2024 - United Soccer League Championship (USL) 
 Birmingham Legion FC YouTube Video
Jack Blake scored his eighth goal of the season with a first-half penalty kick as Indy Eleven took a 1-0 victory against Birmingham Legion FC at Protective Stadium as the visitors extended their winning streak</t>
  </si>
  <si>
    <t>USL Championship – Indy Eleven at Birmingham Legion FC, 7 p.m.
WNBA – Indiana Fever at Connecticut Sun, 7 p.m.
MLB – Chicago White Sox at Seattle Mariners, 9:40 p.m.
MLB – Chicago Cubs at Tampa Bay Rays, 6:50 p.m.; Cleveland Guardians at Cincinnati Reds, 7:10 p.m.; Pittsburgh Pirates at St.</t>
  </si>
  <si>
    <t xml:space="preserve">Birmingham vs Indy Eleven prediction and betting tips - June 10, 2024 </t>
  </si>
  <si>
    <t>Indy Eleven
Sean McAuley's team has been performing exceptionally well in recent matches and rightfully sits in third place in the Eastern Conference standings. In 13 matches, Indy Eleven has amassed 23 points, with seven wins and four draws.</t>
  </si>
  <si>
    <t>Andrew Miller</t>
  </si>
  <si>
    <t>Post and Courier</t>
  </si>
  <si>
    <t>Legion FC Rides Momentum as Red Hot Indy Eleven Looms</t>
  </si>
  <si>
    <t>bhmlegion.com</t>
  </si>
  <si>
    <t>If that does indeed happen, it will certainly be earned considering the current form of its next opponent, Indy Eleven.
“There are no easy games in this league and anytime you face someone that’s ahead of you, you get up for the challenge,” said Legion FC coach Tom Soehn.</t>
  </si>
  <si>
    <t>Stonewall Sports: Bringing fun and inclusivity to Indianapolis</t>
  </si>
  <si>
    <t>Pride Nights: Celebrating pride with local sports teams, including the Indy Eleven on June 22nd and the Indianapolis Indians at Victory Field on July 12th. Tickets for these games can be found on their Instagram bio.</t>
  </si>
  <si>
    <t>Susan Orr</t>
  </si>
  <si>
    <t>USL W League – Racing Louisville FC at Indy Eleven, 7 p.m.
International League – Columbus Clippers at Indianapolis Indians, 7:05 p.m.
MLB – Chicago Cubs at Cincinnati Reds, 7:10 p.m.; Boston Red Sox at Chicago White Sox, 8:10 p.m.; Colorado Rockies at St. Louis Cardinals, 8:15 p.m.</t>
  </si>
  <si>
    <t>Indy Eleven vs Orange County SC: June 22, 2024</t>
  </si>
  <si>
    <t>June 6, 2024 - United Soccer League Championship (USL) 
 Indy Eleven YouTube Video
• Discuss this story on the United Soccer League Championship message board...</t>
  </si>
  <si>
    <t>. / 59 Read more » 
Indiana billionaire joins Indy Eleven ownership group in support of Eleven Park project13News reporter Rich Nye breaks down the latest developments in the MLS Indianapolis saga.</t>
  </si>
  <si>
    <t>Indiana billionaire joins Indy Eleven ownership group in support of Eleven Park project13News reporter Rich Nye breaks down the latest developments in the MLS Indianapolis saga.</t>
  </si>
  <si>
    <t>USL W League – Racing Louisville FC at Indy Eleven, 7 p.m.
International League – Columbus Clippers at Indianapolis Indians, 7:05 p.m.
MLB – Chicago Cubs at Cincinnati Reds, 7:10 p.m.; Boston Red Sox at Chicago White Sox, 8:10 p.m.; Colorado Rockies at St. Louis Cardinals, 8:15 p.m.</t>
  </si>
  <si>
    <t>Indy Eleven Celebrates 11th Anniversary Season</t>
  </si>
  <si>
    <t>Spot On Indiana</t>
  </si>
  <si>
    <t>Since its launch in 2013, Indy Eleven's dedication to its club and community has been driven by empowering a culture of excellence through its players and staff, staying true to its aim of fielding teams that represent the State of Indiana proudly on and off the field. The men's...</t>
  </si>
  <si>
    <t>Indy's Child</t>
  </si>
  <si>
    <t>Indy's Child Magazine</t>
  </si>
  <si>
    <t>Indy Eleven also recently acquired a new top-tier women’s professional team in the Super League and is home to the USL W League 2023 National Champions. In addition to USL Academy operations, Pro Academies now operate in both MLS Next and ECNL.</t>
  </si>
  <si>
    <t>Athletic Business</t>
  </si>
  <si>
    <t>Briggs: Indy Eleven's loudest voices prove nothing about MLS support</t>
  </si>
  <si>
    <t>James Briggs</t>
  </si>
  <si>
    <t>Indy Eleven supporters occupy similar ground here. They are fighting to keep what they have at the expense of much greater benefits for the rest of Indianapolis.
I respect what Indy Eleven and its supporters have built.</t>
  </si>
  <si>
    <t>Indy Eleven won Indiana soccer messaging war, but MLS is more popular</t>
  </si>
  <si>
    <t>Indy Eleven Coaches Show Episode 4</t>
  </si>
  <si>
    <t>Podcasts &gt; The Indy Eleven Coaches Show
New!
Indy Eleven Coaches Show Episode 4
Sean McAuley talks about the tactics that affected an unbeaten month of May for the Boys in Blue.</t>
  </si>
  <si>
    <t>Danielle Zulkosky</t>
  </si>
  <si>
    <t>Summer Sports Events Around Indianapolis For The Whole Family</t>
  </si>
  <si>
    <t>Marc Dykton</t>
  </si>
  <si>
    <t>The Indy Eleven have been Indianapolis’ soccer representative since 2013 and taking care of business at IUPUI’s Carroll Stadium. </t>
  </si>
  <si>
    <t>Indy Eleven Partners with Spokenote to Deliver Dynamic Video Messages to Fans</t>
  </si>
  <si>
    <t>June 3, 2024 - United Soccer League Championship (USL) 
 Indy Eleven News Release
INDIANAPOLIS - Indy Eleven and Spokenote are excited to announce a partnership to bring fans closer to Indiana's pro soccer team through an innovative new program.</t>
  </si>
  <si>
    <t>Indy Eleven owner talks future of Eleven Park</t>
  </si>
  <si>
    <t>As Mayor Joe Hogsett continues his efforts to bring a Major League Soccer team to Indianapolis, Ersal Ozdemir talks about where plans for Eleven Park stand.</t>
  </si>
  <si>
    <t>Indy Eleven vs. Pittsburgh Riverhounds from June 1, 2024</t>
  </si>
  <si>
    <t>INDIANAPOLIS (WISH) — Did you miss Saturday’s match between Indy Eleven and Pittsburgh Riverhounds SC?
Click on the video above to catch every minute of the action!
The Boys in Blue will return to WISH-TV sister station MyINDY-TV 23 on June 15 when they host San Antonio FC.</t>
  </si>
  <si>
    <t>Win tickets to see the Indy Eleven play June 22</t>
  </si>
  <si>
    <t>USL W League – Lexington SC at Indy Eleven, 2 p.m.
MLB – Chicago White Sox at Milwaukee Brewers, 2:10 p.m.; Cincinnati Reds at Chicago Cubs, 2:20 p.m.; St. Louis Cardinals at Philadelphia Phillies, 7:10 p.m.
WNBA Commissioner’s Cup – Indiana Fever at New York Liberty, 7 p.m.
MLB – St.</t>
  </si>
  <si>
    <t>Riverhounds can't contain Indy Eleven in home loss</t>
  </si>
  <si>
    <t>Keith Barnes</t>
  </si>
  <si>
    <t>And the team didn’t do itself any favors against Indy Eleven.</t>
  </si>
  <si>
    <t>Pittsburgh Riverhounds SC v Indy Eleven</t>
  </si>
  <si>
    <t>skip navigation
Pittsburgh Riverhounds SC v Indy Eleven</t>
  </si>
  <si>
    <t>Second-Half Rally Falls Short vs. Indy</t>
  </si>
  <si>
    <t>June 1, 2024 - United Soccer League Championship (USL) 
 Pittsburgh Riverhounds SC News Release
PITTSBURGH - A furious comeback attempt fell short, and the Pittsburgh Riverhounds dropped their second straight contest by falling 2-1 against Indy Eleven tonight at Highmark Stadium.</t>
  </si>
  <si>
    <t>Hounds' Second-Half Rally Falls Short vs. Indy</t>
  </si>
  <si>
    <t>'Struggling' Riverhounds lose at home to Indy Eleven</t>
  </si>
  <si>
    <t>For about 25 minutes following Saturday’s 2-1 loss to Indy Eleven, Pittsburgh Riverhounds coach Bob Lilley stood on the field at Highmark Stadium with his team huddled around him.</t>
  </si>
  <si>
    <t>Guenzatti Scores 73rd Career Goal, Stanley Registers League-Leading Seventh Assist as Indy's Unbeaten Streak Moves to Ten</t>
  </si>
  <si>
    <t>June 1, 2024 - United Soccer League Championship (USL) 
 Indy Eleven News Release
PITTSBURGH - Indy Eleven went on the road to Pittsburgh Riverhounds SC Saturday and came away with a 2-1 victory to move to 7-4-2 on the season. The loss drops Pittsburgh to 3-5-4.</t>
  </si>
  <si>
    <t>6.1.2024: Pittsburgh Riverhounds SC vs. Indy Eleven - Game Highlights</t>
  </si>
  <si>
    <t>June 1, 2024 - United Soccer League Championship (USL) 
 Pittsburgh Riverhounds SC YouTube Video
Goals in either half from Josh O'Brien and Sebastian Guenzatti sent Indy Eleven to a 2-1 victory against Pittsburgh Riverhounds SC at Highmark Stadium as the Boys in Blue earned a sixth consecutive victory</t>
  </si>
  <si>
    <t>LIVE: Riverhounds face Indy Eleven, Unbeaten in last 9</t>
  </si>
  <si>
    <t>Mark Asher Goodman</t>
  </si>
  <si>
    <t>The Pittsburgh Riverhounds faceoff against Indy Eleven at 7:00 pm at Highmark Stadium. The 3-4-4 Hounds are looking to rebound after four matches without a win, including their 1-0 defeat at home against Tulsa FC that sent them out of US Open Cup in mid-May.</t>
  </si>
  <si>
    <t>Watch live: Pittsburgh Riverhounds vs. Indy Eleven live stream</t>
  </si>
  <si>
    <t>PITTSBURGH (KDKA) -- PITTSBURGH (KDKA) -- It's a soccer night in Pittsburgh!The Riverhounds are back home after a 2-0 road loss against Memphis last week and are still looking to get back into the win column. The team's last win came on May 4 when they beat Miami 1-0 at home. Since then, they have two losses and two draws. Overall this season, the Riverhounds are sporting a record of 3-5-4.</t>
  </si>
  <si>
    <t>USL Championship – Indy Eleven at Pittsburgh Riverhounds SC, 7 p.m.
International League – Omaha Storm Chasers at Indianapolis Indians, 1:35 p.m.
USL W League – Lexington SC at Indy Eleven, 2 p.m.</t>
  </si>
  <si>
    <t>Preview: Riverhounds seek to revitalize attack vs streaking Indy Eleven</t>
  </si>
  <si>
    <t>Heading into the 2023 season, Indy Eleven made some serious moves in the offseason that — on paper — looked very impressive — bringing on numerous proven USL Championship goal scorers and playmakers.</t>
  </si>
  <si>
    <t>Stage play discusses struggles facing Indianapolis youth</t>
  </si>
  <si>
    <t>Huntsville City FC Signs Midfielder Ethan O'Brien on Loan from Indy Eleven</t>
  </si>
  <si>
    <t>. - Huntsville City Football Club announced today the signing of midfielder Ethan O'Brien on loan from Indy Eleven FC from the USL Championship. The newest Boy in Blue is eligible to make his debut on Saturday, June 1 at 7 p.m. CT at Carolina Core FC.</t>
  </si>
  <si>
    <t>Pittsburgh Riverhounds SC vs Indy Eleven prediction and tips 01 June 2024</t>
  </si>
  <si>
    <t>will face off against Indy Eleven.</t>
  </si>
  <si>
    <t>Indy Eleven owner says stadium construction can begin ‘next month’</t>
  </si>
  <si>
    <t>Russ McQuaid</t>
  </si>
  <si>
    <t>WANE-TV (Fort Wayne, IN)</t>
  </si>
  <si>
    <t>Eleven PSDA. … Outside Counsel Scott Chinn told councilors that the Indy Eleven PSDA included just “two big eggs” in that basket while the Heliport PDSA has “a lot more eggs in the basket.”</t>
  </si>
  <si>
    <t>Indy Eleven owner says stadium construction can begin 'next month'</t>
  </si>
  <si>
    <t>INDIANAPOLIS - Facing a Monday night deadline of a competing soccer stadium site before the City-County Council, Indy Eleven owner Ersal Ozdemir said Thursday that his company could start building on its Kentucky Avenue site on the southwest side of downtown within weeks.</t>
  </si>
  <si>
    <t>WTWO-TV (Terre Haute, IN)</t>
  </si>
  <si>
    <t>Preview: Hounds vs. Indy Eleven</t>
  </si>
  <si>
    <t>Eleven. … Indy Eleven (6-4-2)
Date: Saturday, June 1
Time: 7 p.m.</t>
  </si>
  <si>
    <t>Kokomo Tribune</t>
  </si>
  <si>
    <t>Daren Tomhave</t>
  </si>
  <si>
    <t>Indy Eleven Victorious Over St. Charles FC</t>
  </si>
  <si>
    <t>May 29, 2024 - United Soccer League Championship (USL)
Indy Eleven News Release
ST. PETERS, Missouri - Indy Eleven hit the road and came out victorious in a 9-0 win over St. Charles FC on Wednesday night. The win improved the Girls in Blue to 3-0-1 in 2024, while St. Charles falls to 0-4-0.</t>
  </si>
  <si>
    <t>Why New Mexico United and Indy Eleven are on the rise | USL All Access</t>
  </si>
  <si>
    <t>On this week’s edition of USL All Access, hosts Mike Watts and guest host Nicholas Murray look at the success over the past month of Indy Eleven and New Mexico United, each of which have surged up the Eastern Conference and Western Conference after completing perfect months of May across all competitions</t>
  </si>
  <si>
    <t>Indianapolis council committee passes stadium proposal with 6-4 vote</t>
  </si>
  <si>
    <t>On Tuesday evening, Indy Eleven and Eleven Park supporters packed the committee meeting to show support for the mixed-use development.</t>
  </si>
  <si>
    <t>Why New Mexico United and Indy Eleven Are on the Rise: USL All Access</t>
  </si>
  <si>
    <t>Why New Mexico United and Indy Eleven Are on the Rise: USL All Access
May 29, 2024 - United Soccer League Championship (USL)
New Mexico United YouTube Video
On this week's edition of USL All Access, hosts Mike Watts and guest host Nicholas Murray look at the success over the past month of Indy Eleven</t>
  </si>
  <si>
    <t>Announcer for Indy Fuel and Indy Eleven dies in crash</t>
  </si>
  <si>
    <t>Announcer for Indy Fuel and Indy Eleven dies in crash
your day ahead forecast, arrests after deadly police shooting, soccer saga moves forward, abortion expansion case goes before judge, Scottie Scheffler case hearing, Indianapolis Indians host youth clinic, T-Mobile acquires U.S.</t>
  </si>
  <si>
    <t>Scott Alan, announcer for Indy Fuel and Indy Eleven dies in crash</t>
  </si>
  <si>
    <t>Scott Alan, the PA announcer for both the Indy Fuel and Indy Eleven, died in a crash on Monday. The teams announced his sudden death on social media on Tuesday. The Indy Fuel wrote: “We are saddened to share the passing of former Fuel emcee, Scott Alan.</t>
  </si>
  <si>
    <t>USL W League – Indy Eleven at St. Charles FC, 7 p.m.
MLB – Chicago White Sox at Milwaukee Brewers, 1:10 p.m.
International League – Omaha Storm Chasers at Indianapolis Indians (DH), 5:35 p.m.
WNBA – Seattle Storm at Indiana Fever, 7 p.m.
MLB – Cincinnati Reds at Chicago Cubs, 2:20 p.m.; St.</t>
  </si>
  <si>
    <t>Hanna Mordoh</t>
  </si>
  <si>
    <t>Scott Alan, the PA announcer for both the Indy Fuel and Indy Eleven, died in a crash on Monday. The teams announced his sudden death on social media on Tuesday.
The Indy Fuel wrote: “We are saddened to share the passing of former Fuel emcee, Scott Alan.</t>
  </si>
  <si>
    <t>Justin A. Cohn</t>
  </si>
  <si>
    <t>The Journal Gazette</t>
  </si>
  <si>
    <t>Cause Action</t>
  </si>
  <si>
    <t>Taj Simmons</t>
  </si>
  <si>
    <t>Indy Eleven stadium plans on hold after human remains found</t>
  </si>
  <si>
    <t>SportsField Management Insider</t>
  </si>
  <si>
    <t>Stadium plans for Eleven Park, proposed home of the USL Championship’s Indy Elven, are up in the air after human remains were unearthed at the stadium construction site. According to WFYI Indianapolis, the construction site is also where Indianapolis’s first public cemetery was established in the early 1800s. Keystone Group, the developer of the project, has submitted a reinterment plan, according to Fox 59 Indianapolis.</t>
  </si>
  <si>
    <t>Blake Named to USL Championship Team of the Week</t>
  </si>
  <si>
    <t>May 28, 2024 - United Soccer League Championship (USL)
Indy Eleven News Release
INDIANAPOLIS/TAMPA - For the fifth time this season, Indy Eleven midfielder Jack Blake was named to the USL Championship Team of the Week, league officials announced Tuesday.</t>
  </si>
  <si>
    <t>Human Remains Unearthed at Indy Eleven Soccer Stadium Site in Indianapolis</t>
  </si>
  <si>
    <t>Andy Berg</t>
  </si>
  <si>
    <t>Workers at the construction site of a new soccer stadium that will be home to the USL Championship's Indy Eleven in Indianapolis unearthed nearly 100 instances of human remains spread across the six-acre site. </t>
  </si>
  <si>
    <t>IBJ Podcast: Downtown soccer battle update—stadium design, burial sites, Simon family land - Indianapolis Business Journal</t>
  </si>
  <si>
    <t>But first some history: In late April, everything that we had assumed about the future of pro soccer in Indianapolis and the creation of a publicly owned downtown stadium for the Indy Eleven soccer team received a swift kick between the stitches.</t>
  </si>
  <si>
    <t>Football team's plan for new stadium put on hold after human remains found</t>
  </si>
  <si>
    <t>5 minutes ago
Indy Eleven's plans to build a new multi-million-dollar stadium have been brought to a halt after 87 instances of human remains were discovered on the construction site
The construction of football club Indy Eleven's new stadium, Eleven Park, has been put on hold after the discovery of … READ MORE: Lionel Messi napkin with unique backstory sells for nearly $1 million at auction
READ MORE: Lionel Messi shows true feelings on Inter Miami after 'complicated' MLS encounter
In May 2023, the Indy Eleven franchise announced plans to start building a 20,000-seater…
(
Image: Indy Eleven)</t>
  </si>
  <si>
    <t>Miami FC vs. Indy Eleven</t>
  </si>
  <si>
    <t>Stay Happening</t>
  </si>
  <si>
    <t>Indy Eleven, where the impossible becomes possible and dreams take flight!</t>
  </si>
  <si>
    <t>NewsGroove</t>
  </si>
  <si>
    <t>Indy Eleven’s plans to build a new multi-million-dollar stadium have been brought to a halt after 87 instances of human remains were discovered on the construction site
 READ SOURCE</t>
  </si>
  <si>
    <t>Today at 04:03
Indy Eleven's plans to build a new multi-million-dollar stadium have been brought to a halt after 87 instances of human remains were discovered on the construction site</t>
  </si>
  <si>
    <t>Indy Eleven's $1 billion stadium project in Indianapolis halted due to discovery of 87 human remains</t>
  </si>
  <si>
    <t>Declan Walsh</t>
  </si>
  <si>
    <t>The Daily Mirror</t>
  </si>
  <si>
    <t>The construction of football club Indy Eleven's new stadium, Eleven Park, has been put on hold after the discovery of 87 instances of human remains at the development site.
The USL side had earmarked $1 billion for a new stadium in downtown Indianapolis as part of their bid to join the MLS. … READ MORE: Lionel Messi napkin with unique backstory sells for nearly $1 million at auction
READ MORE: Lionel Messi shows true feelings on Inter Miami after 'complicated' MLS encounter
In May 2023, the Indy Eleven franchise announced plans to start building a 20,000-seater stadium, which would also</t>
  </si>
  <si>
    <t>Downtown soccer battle update—burial sites, stadium design, Simon family land purchase - The IBJ Podcast - Podcast en iVoox</t>
  </si>
  <si>
    <t>iVoox Podcast and Radio</t>
  </si>
  <si>
    <t>In late April, everything that we had assumed about the future of pro soccer in Indianapolis and the creation of a publicly owned downtown stadium for the Indy Eleven soccer team received a swift kick between the stitches.</t>
  </si>
  <si>
    <t>Rising falls, 2-1, to Indy Eleven</t>
  </si>
  <si>
    <t>The Daily Courier (Prescott, AZ)</t>
  </si>
  <si>
    <t>INDIANIAPOLIS, IN - Phoenix Rising FC (4-5-3) dropped a 2-1 decision to Indy Eleven on Saturday, May 25, 2024 at IU Michael A. Carroll Soccer Stadium.</t>
  </si>
  <si>
    <t>Huge new $1 billion stadium construction halted indefinitely after shocking discovery by construction workers</t>
  </si>
  <si>
    <t>Press B</t>
  </si>
  <si>
    <t>Developers Keystone Group broke ground on the downtown site in 2023 with the intention of building a 20,000-capacity home for the USL Championship team Indy Eleven, only to stumble upon masses of human remains. … IndyElevenThe Indy Eleven’s proposed new stadium would cost around $1 billion[/caption] IndyElevenThe 20,000-capacity stadium would be home to the men’s and women’s teams[/caption] IndyElevenThe site would also include a hotel, restaurants, offices, and apartments[/caption] The discovery was first made</t>
  </si>
  <si>
    <t>USL side's $1.5bn stadium plans thwarted as human remains found on site</t>
  </si>
  <si>
    <t>The Mirror US</t>
  </si>
  <si>
    <t>Construction of American soccer club Indy Eleven's new stadium, Eleven Park, was halted after 87 instances of human remains were discovered on the development site. … Both the city and Indy Eleven supporter groups have expressed concern about the well-being of these remains.</t>
  </si>
  <si>
    <t>Construction of Indianapolis Soccer Stadium Halted After Discovery of Human Remains</t>
  </si>
  <si>
    <t>bnngpt.com</t>
  </si>
  <si>
    <t>The construction of the Indy Eleven soccer stadium in downtown Indianapolis has come to an abrupt halt following the discovery of 87 human remains on the site.</t>
  </si>
  <si>
    <t>Construction of Indianapolis soccer stadium hits unexpected twist after shocking discovery</t>
  </si>
  <si>
    <t>News Explorer</t>
  </si>
  <si>
    <t>The Indy Eleven, a team in the USL Championship - the second tier in the United States - planned to construct its new $1.5billion home on a six-acre site in downtown Indianapolis.</t>
  </si>
  <si>
    <t>sport news Construction of Indianapolis soccer stadium hits unexpected twist after ... trends now</t>
  </si>
  <si>
    <t>Mogaznews En</t>
  </si>
  <si>
    <t>The Indy Eleven, a team in the USL Championship - the second tier in the United States - planned to construct its new $1.5billion home on a six-acre site in downtown Indianapolis. </t>
  </si>
  <si>
    <t>Construction of Indianapolis soccer stadium hits unexpected twist</t>
  </si>
  <si>
    <t>Isabel Baldwin</t>
  </si>
  <si>
    <t>USL W League – Indy Eleven at St. Charles FC, 7 p.m.
NBA Playoffs – Indiana Pacers at Boston Celtics, Game 5, TBD, if necessary
MLB – Chicago Cubs at Milwaukee Brewers, 1:10 p.m.
International League – Omaha Storm Chasers at Indianapolis Indians (DH), 5:35 p.m.</t>
  </si>
  <si>
    <t>Hogsett ‘serious’ about leaving proposed Indy Eleven stadium site undeveloped</t>
  </si>
  <si>
    <t>Indianapolis Mayor Joe Hogsett’s administration is serious about the possibility of turning the proposed Indy Eleven soccer stadium property into a park or a memorial site to honor its history as an early cemetery grounds rather than let it be developed, the mayor’s spokeswoman confirmed Friday.</t>
  </si>
  <si>
    <t>Win tickets to see the Indy Eleven play June 15</t>
  </si>
  <si>
    <t>USL W League – Indy Eleven at St. Charles FC, 7 p.m.
NBA Playoffs – Indiana Pacers at Boston Celtics, Game 5, TBD, if necessary</t>
  </si>
  <si>
    <t>Rising falls 2-1 to Indy Eleven - Daily Independent</t>
  </si>
  <si>
    <t>Rising FC</t>
  </si>
  <si>
    <t>Daily Independent</t>
  </si>
  <si>
    <t>Phoenix Rising goalkeeper Rocco Rios Novo (1) makes a save on Saturday against Indy Eleven. Phoenix lost 2-1.</t>
  </si>
  <si>
    <t>Rising Falls, 2-1, to Indy Eleven</t>
  </si>
  <si>
    <t>May 25, 2024 - United Soccer League Championship (USL)
Phoenix Rising FC News Release
INDIANIAPOLIS, IN - Phoenix Rising FC (4-5-3) dropped a 2-1 decision to Indy Eleven this afternoon at IU Michael A. Carroll Soccer Stadium.</t>
  </si>
  <si>
    <t>Indy Eleven vs. Phoenix Rising FC - Game Highlights</t>
  </si>
  <si>
    <t>Blake Scores A Pair To Lead Indy Over Defending Champs</t>
  </si>
  <si>
    <t>May 25, 2024 - United Soccer League Championship (USL)
Indy Eleven News Release
INDIANAPOLIS - Jack Blake scored a pair of goals to lead Indy Eleven over reigning USL Champions Phoenix Rising FC, 2-1, on Saturday night at Carroll Stadium.</t>
  </si>
  <si>
    <t>Rising Falls, 2-1, in Indy to Eleven</t>
  </si>
  <si>
    <t>Indianapolis soccer stadium site unearths 87 human remains</t>
  </si>
  <si>
    <t>Kyle Fansler</t>
  </si>
  <si>
    <t>The stadium will be the new home of USL Championship side Indy Eleven, but this adds to the drama regarding the future of Major League Soccer in the Midwest. 
The Diamond Chain site will be the new $1.5 billion home of the Indy Eleven.</t>
  </si>
  <si>
    <t>USL Championship – Phoenix Rising FC at Indy Eleven, 7 p.m.
International League – Indianapolis Indians at Iowa Cubs, 7:08 p.m.
NBA Playoffs – Boston Celtics at Indiana Pacers, Game 3, 8:30 p.m.
WNBA – Indiana Fever at Las Vegas Aces, 9 p.m.</t>
  </si>
  <si>
    <t>Hogsett 'serious' about leaving proposed Indy Eleven stadium site undeveloped - Indianapolis Business Journal</t>
  </si>
  <si>
    <t>1.75
2.00
Indianapolis Mayor Joe Hogsett’s administration is serious about the possibility of turning the proposed Indy … Eleven soccer stadium property into a park or a memorial site to honor its history as an early cemetery grounds rather than let it be developed, the mayor’s spokeswoman confirmed Friday.</t>
  </si>
  <si>
    <t>Today's newsletter: Hogsett has an idea for former Greenlawn Cemetery</t>
  </si>
  <si>
    <t>The latest on Greenlawn Cemetery
We also have an update on the ongoing news about the former Greenlawn Cemetery and the back-and-forth over Indy Eleven and the city’s ambitions for Major League Soccer. 
Here’s how the update begins from reporters Peter Blanchard and Tyler Fenwick. </t>
  </si>
  <si>
    <t>Wayne Township to revitalize abandoned cemetery, accept remains from Diamond Chain site</t>
  </si>
  <si>
    <t>Keystone has been working to build an entertainment district on the east side of the White River anchored by a 20,000-seat soccer stadium for the Indy Eleven, but that stadium is now on hold as the Hogsett administration focuses on trying to land a Major League Soccer team with a different set of owners</t>
  </si>
  <si>
    <t>DCFC gave up three goals between the 14th and 36th minute in the Open Cup Round of 16 matchup on the road against Indy Eleven, the only goals scored in the game.</t>
  </si>
  <si>
    <t>Indianapolis Officials Plan Reinterment of Human Remains Found at Diamond Chain Site</t>
  </si>
  <si>
    <t>The discovery occurred during the construction of Indy Eleven owner Ersal Ozdemir's $1 billion proposal, which includes apartments, office space, restaurants, and a 20,000-seat soccer stadium. The site is located on Kentucky Avenue on the southwest side of downtown Indianapolis.</t>
  </si>
  <si>
    <t>Augustine Williams takes tally to seven for Indy Eleven</t>
  </si>
  <si>
    <t>Indy Eleven made club history by reaching the Quarterfinals of the Lamar Hunt U.S. Open Cup for the first time after defeating USL Championship rival Detroit City FC 3-0. 
Augustine Williams scored his seventh goal in thirteen games since joining the club before the new campaign.</t>
  </si>
  <si>
    <t>Indy Eleven Advance To Quarterfinals Of U.S. Open Cup</t>
  </si>
  <si>
    <t>A 3-0 victory for Indy Eleven on their home pitch last night over Detroit City FC now advances Indy to the quarterfinals. The soccer tournament is an open tournament that includes teams from all levels of U.S. Soccer.
Indy Eleven scored all three goals in the first half.</t>
  </si>
  <si>
    <t>Augustine Williams takes tally to seven for Indy Eleven </t>
  </si>
  <si>
    <t>Fate of human remains in center of soccer stadium fight</t>
  </si>
  <si>
    <t>Kody Fisher</t>
  </si>
  <si>
    <t>The city government on Wednesday offered to buy the land from the Keystone Group, but the developer has shown no signs of wanting to sell, sticking with a plan to build a soccer stadium called Eleven Park for the Indy Eleven.</t>
  </si>
  <si>
    <t>Atlanta United vs. Indy Eleven scheduled for July 9</t>
  </si>
  <si>
    <t>Atlanta United’s match against Indy Eleven in the U.S. Open Cup is scheduled to be played July 9, according to the USSF website.
The quarterfinals match will be played at Kennesaw State and is scheduled to start at 7 p.m.</t>
  </si>
  <si>
    <t>Hogsett suggests memorial, park at former Greenlawn Cemetery</t>
  </si>
  <si>
    <t>Peter Blanchard, Tyler Fenwick</t>
  </si>
  <si>
    <t>His comments come one day after his office sent a letter to Ersal Ozdemir, the CEO of Keystone Group and owner of Indy Eleven, offering to purchase the 20-acre site “at fair market value.”</t>
  </si>
  <si>
    <t>Preview: Rising vs. Indy Eleven, Saturday at 4 PM</t>
  </si>
  <si>
    <t>Open Cup Wednesday, Phoenix Rising heads to Indianapolis to face Indy Eleven, Saturday, May 25. That match will be broadcast live on Arizona's Family Sports Network and streamed on the Goalazo Network at 4 p.m.</t>
  </si>
  <si>
    <t>Township to revitalize abandoned cemetery, accept remains from Diamond Chain site</t>
  </si>
  <si>
    <t>Development in Speedway: A conversation with the town's new director</t>
  </si>
  <si>
    <t>Related News
Local News / May 23, 2024
City offers to buy Eleven Park site, citing concerns about historical cemetery
The City of Indianapolis has offered to purchase the riverfront site where the future stadium for Indy Eleven was planned.</t>
  </si>
  <si>
    <t>That's why the conflict between Indy Eleven owner Ersal Ozdemir and Mayor Joe Hogsett is ratcheting up with blistering statements, campaign ads and robotexts even as the right outcome is as obvious as a header.
Here's what should happen: Hogsett and Ozdemir need to find common ground, and fast.</t>
  </si>
  <si>
    <t>Indianapolis' offer to buy the Eleven Park site insults Ersal Ozdemir</t>
  </si>
  <si>
    <t>Indy Eleven's 3-goal first half knocks Detroit City FC out of U.S. Open Cup in Round of 16</t>
  </si>
  <si>
    <t>Jared Ramsey</t>
  </si>
  <si>
    <t>Indy Eleven’s 3-goal first half knocks Detroit City FC out of U.S. Open Cup in Round of 16</t>
  </si>
  <si>
    <t>articleRecovery scuba diver Lisa Eick diving in a quarry while working on her advanced open water certificate.  (Provided by Lisa Eick)HARRISON TOWNSHIP, Mich. (FOX 2) – Wedding rings, false teeth, holstered firearms, and someone’s ashes – it’s not just wallets and mobile devices that Lisa Eick will fetch for those enjoying lake life before they lost their grip. While cell phones do make up almost half of what the Clinton Township diver retrieves, she will take any calls she can get.</t>
  </si>
  <si>
    <t>Atlanta United to Host Indy Eleven in Lamar Hunt U.S. Open Cup Quarterfinal July 9</t>
  </si>
  <si>
    <t>Indy Eleven (USL Championship)
Tuesday, July 9 | Fifth Third Bank Stadium in Kennesaw, Ga. | Watch on MLS Season Pass
Sporting Kansas City (MLS) vs.</t>
  </si>
  <si>
    <t>Keystone says 87 burials discovered in excavation of proposed soccer stadium site</t>
  </si>
  <si>
    <t>Just hours after Indianapolis Mayor Joe Hogsett’s administration said it was concerned about development of the downtown site where owner Keystone Group has been planning to build a 20,000-seat soccer stadium for the Indy Eleven, Keystone announced that archaeologists have discovered 87 burials on a</t>
  </si>
  <si>
    <t>City Offers To Buy Eleven Park Site Where Cemetery Once Was</t>
  </si>
  <si>
    <t>The City of Indianapolis is offering to buy the site of the former Greenlawn Cemetery, where Ersal Ozdemir, founder and owner of real estate development company Keystone Group, had plans to build the new Indy Eleven stadium. … Developers of Indy Eleven’s planned soccer stadium have found remains of nearly 100 people buried in the former Greenlawn Cemetery. The burial sites on the property date back to the 1800s.</t>
  </si>
  <si>
    <t>Hogsett and the City of Indianapolis Want to Buy Former Diamond Chain Site because of the human remains being found there? No...that's a ruse.</t>
  </si>
  <si>
    <t>The ongoing saga of Hogsett and his team versus Ersal Ozdemir and the Keystone Group continued yesterday when the City of Indianapolis announced its intentions to buy the former Diamond Chain site, which was to be become Eleven Park, the future home of the Indy Eleven.</t>
  </si>
  <si>
    <t>City offers to buy Eleven Park site, citing concerns about historical cemetery</t>
  </si>
  <si>
    <t>May 23, 2024
    The City of Indianapolis has offered to purchase the riverfront site where the future stadium for United Soccer League team Indy Eleven was planned.</t>
  </si>
  <si>
    <t>In the Mirror: Hogsett admin offers to buy Indy Eleven site</t>
  </si>
  <si>
    <t>Initial plans called for a bunch of new development, including a city-owned bridge across White River and a new 20,000-seat soccer stadium for Indy Eleven. 
Crews have already uncovered human remains at the site. It’s unclear how many, though.</t>
  </si>
  <si>
    <t>City of Indianapolis offers to buy Diamond Chain soccer stadium site</t>
  </si>
  <si>
    <t>an attempt to reduce by half the number of potential downtown locations for an imagined soccer stadium and protect the sanctity of four historic cemeteries literally long buried under an industrial site, the City of Indianapolis has offered to buy the Diamond Chain property from Keystone Group and Indy … Eleven Owner Ersal Ozdemir.</t>
  </si>
  <si>
    <t>The Indiana Lawyer</t>
  </si>
  <si>
    <t>Eleven, Keystone announced that archaeologists have discovered 87 burials on a portion of the property. … The Hogsett administration ended negotiations with Keystone about the Indy Eleven stadium project on March 22, about a month before announcing it planned to pursue a Major League Soccer franchise with an unnamed group of potential owners.</t>
  </si>
  <si>
    <t>Atlanta United to play Indy Eleven in 2024 Lamar Hunt U.S. Open Cup quarterfinals</t>
  </si>
  <si>
    <t>Atlanta United will host Indy Eleven in the quarterfinals of the 2024 Lamar Hunt U.S. Open Cup, Wednesday night's draw revealed.
The match will be played at Fifth Third Stadium in Kennesaw July 9 or 10.</t>
  </si>
  <si>
    <t>INTO THE QUARTERFINALS: FC Dallas, Sounders, Indy Eleven advance in Open Cup</t>
  </si>
  <si>
    <t>The excitement began in the heart of the country where USL Championship club Indy Eleven defeated their Midwest rivals Detroit City (also of the USL Championship), earning the Boys in Blue their first trip to the quarterfinal round.</t>
  </si>
  <si>
    <t>Charles FC at Indy Eleven, 7 p.m.
International League – Indianapolis Indians at Iowa Cubs, 7:38 p.m.
NBA Playoffs – Indiana Pacers at Boston Celtics, Game 2, 8 p.m.
MLB – Los Angeles Dodgers at Cincinnati Reds, 7:10 p.m.; Baltimore Orioles at Chicago White Sox, 7:40 p.m.; Chicago Cubs at St.</t>
  </si>
  <si>
    <t>City of Indianapolis Wants to Buy Former Diamond Chain Site</t>
  </si>
  <si>
    <t>Donnie Burgess</t>
  </si>
  <si>
    <t>Keystone Group and Indianapolis Mayor Joe Hogsett have been at odds since Mayor Hogsett made the decision to pursue a Major League Soccer team at a different site in downtown Indianapolis and not continue support for Indy Eleven’s proposed Eleven Park, which was set to become a sports, entertainment, … Eleven Park would have featured a 20,000-seat stadium for the Indy Eleven, but Keystone Group claims the mayor backed out of their deal.
Hogsett’s office claims there was never a deal.</t>
  </si>
  <si>
    <t>Eleven, Keystone announced that archaeologists have discovered 87 burials on a portion of the property. … The Hogsett administration ended negotiations with Keystone about the Indy Eleven stadium project on March 22, about a month before announcing it planned to pursue a Major League Soccer franchise with an unnamed group of potential owners.</t>
  </si>
  <si>
    <t>Indianapolis offering to buy site of planned Indy Eleven stadium, development</t>
  </si>
  <si>
    <t>The city of Indianapolis is “offering to buy the former Greenlawn Cemetery site in the southwest corner of downtown" from USL Indy Eleven owner Ersal Ozdemir, according to Alexandria Burris of the INDIANAPOLIS STAR. </t>
  </si>
  <si>
    <t>Slideshow: Indy Eleven Open Cup Joy</t>
  </si>
  <si>
    <t>Detroit continued to press forward and again it was Morris who tested the Indy Eleven goal when his shot was brilliantly turned around the post by Sulte.</t>
  </si>
  <si>
    <t>Atlanta United will host Indy Eleven in U.S. Open Cup</t>
  </si>
  <si>
    <t>Atlanta United will host Indy Eleven in the quarterfinals of the U.S. Open Cup at Kennesaw State on either July 9 or 10.
The tournament draw was held Wednesday.</t>
  </si>
  <si>
    <t>Detroit City FC ousted from U.S. Open Cup with 3-0 loss to Indy Eleven</t>
  </si>
  <si>
    <t>Indy capitalizes on chances, advances past Detroit City in Open Cup</t>
  </si>
  <si>
    <t>Indy Eleven extended its undefeated streak across all competitions to eight games and advanced to the Quarterfinals of the Lamar Hunt U.S. Open Cup for the first time in club history with a 3-0 victory against USL Championship rival Detroit City FC at Michael A. Carroll Stadium.</t>
  </si>
  <si>
    <t>Le Rouge gave up three first-half goals and never recovered, falling 3-0 to Indy Eleven in a Round of 16 match at IU Michael A. Carroll Track &amp; Soccer Stadium.
It marked an abrupt end to the tournament run for Detroit City FC, which earned a berth in the U.S.</t>
  </si>
  <si>
    <t>Detroit City FC Is out of the US Open Cup, Falls to Indy Eleven 3-0 in Round of 16</t>
  </si>
  <si>
    <t>May 22, 2024 - United Soccer League Championship (USL) 
 Detroit City FC News Release
Indianapolis, Indiana - Detroit City FC's Lamar Hunt US Open Cup run came to an end on Wednesday night with a 3-0 defeat to USL Championship side Indy Eleven in the round of 16.</t>
  </si>
  <si>
    <t>Indianapolis offers to buy Eleven Park soccer stadium site 'at fair market value'</t>
  </si>
  <si>
    <t>Gregg Montgomery</t>
  </si>
  <si>
    <t>INDIANAPOLIS (WISH) — In the continuing discussion of dueling soccer stadium proposals, an Indianapolis deputy mayor on Wednesday wrote to the owner of the Indy Eleven teams and offered to buy the Eleven Park site.
The letter and a statement from the city government were shared with News 8.</t>
  </si>
  <si>
    <t>Indianapolis offers to buy Diamond Chain property</t>
  </si>
  <si>
    <t>In a letter from Chief Deputy Mayor Dan Parker to Keystone Group and Indy Eleven owner Ersal Ozdemir, the city said it is interested in putting forth “an offer that we hope can fairly compensate Keystone for its efforts” on the property.</t>
  </si>
  <si>
    <t>City of Indianapolis looking to purchase remaining land where Eleven Park stadium site was planned</t>
  </si>
  <si>
    <t>INDIANAPOLIS - The City of Indianapolis is looking to purchase the remaining land where Eleven Park - the development slated to build a soccer stadium for the Indy Eleven team - was planned to go.</t>
  </si>
  <si>
    <t>City of Indianapolis looks to buy Eleven Park site from Keystone Group</t>
  </si>
  <si>
    <t>Indianapolis-based Keystone Group is working with Indy Eleven to develop the former Diamond Chain manufacturing site on West Street and Kentucky Avenue into a 20,000-seat stadium, hotel, office, apartments, retail and public spaces.</t>
  </si>
  <si>
    <t>City offers to buy Diamond Chain property from Keystone, says part of site has hundreds of remains</t>
  </si>
  <si>
    <t>In a letter from Chief Deputy Mayor Dan Parker to Keystone Group and Indy Eleven owner Ersal Ozdemir, the city said it is interested in putting forth “an offer that we hope can fairly compensate Keystone for its efforts” on the property.</t>
  </si>
  <si>
    <t>Indianapolis offers to buy Eleven Park site, estimating 650 human remains are on 1 acre</t>
  </si>
  <si>
    <t>The purchase offer comes a month after Keystone accused Hogsett of backing out of a deal to build the $1.5-billion Eleven Park development, which would include a new soccer stadium for Indy Eleven and other amenities such as apartments and restaurants.</t>
  </si>
  <si>
    <t>Indy Eleven ad during Pacers game urges Mayor Hogsett to support Eleven Park</t>
  </si>
  <si>
    <t>Indy Eleven owner Ersal Ozdemir is continuing his campaign to get Mayor Joe Hogsett back on board with the $1.5-billion Eleven Park project.</t>
  </si>
  <si>
    <t>Charles Booth</t>
  </si>
  <si>
    <t>Indianapolis is booked this Memorial Day weekend</t>
  </si>
  <si>
    <t>Eva Hallman</t>
  </si>
  <si>
    <t>The Indy Eleven has “Racing Night” on Saturday, May 25 as they take on Phoenix Rising FC.
Aside from sports, Downtown Indy has the 2024 Indiana Global Economic Summit from Thursday, May 23 to Sunday, May 26.</t>
  </si>
  <si>
    <t>Preview #INDvDET</t>
  </si>
  <si>
    <t>elevencomms
May 21, 2024 3:18 pm
Share
#INDvDET Preview 
Indy Eleven vs Detroit City FC
Wednesday, May 22, 2024 – 7 p.m. ET
Michael A.</t>
  </si>
  <si>
    <t>Stanley Named to USL Championship Team of the Week</t>
  </si>
  <si>
    <t>May 21, 2024 - United Soccer League Championship (USL) 
 Indy Eleven News Release
INDIANAPOLIS/TAMPA - For the second consecutive week, Indy Eleven's Aedan Stanley was named to the USL Championship Team of the Week, league officials announced Tuesday.</t>
  </si>
  <si>
    <t>Detroit City FC Gearing up for First-Ever Round of 16 Open Cup Match, on the Road to Indy Eleven</t>
  </si>
  <si>
    <t>May 21, 2024 - United Soccer League Championship (USL) 
 Detroit City FC News Release
Indianapolis, Indiana - Detroit City FC begins a four-match road trip in Indianapolis for a midweek Lamar Hunt US Open Cup Round of 16 matchup against USL Championship rival Indy Eleven.</t>
  </si>
  <si>
    <t>Open Cup – Detroit City FC at Indy Eleven, 7 p.m.
WNBA – Indiana Fever at Seattle Storm, 10 p.m.
MLB – San Diego Padres at Cincinnati Reds, 1:10 p.m.; Atlanta Braves at Chicago Cubs, 2:20 p.m.; Baltimore Orioles at Chicago White Sox, 7:40 p.m.
USL W League – St.</t>
  </si>
  <si>
    <t>Indy Eleven vs. Hartford Athletic from May 18, 2024</t>
  </si>
  <si>
    <t>INDIANAPOLIS (WISH) — Did you miss Saturday’s match between Indy Eleven and Hartford Athletic?
Click on the video above to catch every minute of the action!
The Boys in Blue will return to WISH-TV sister station MyINDY-TV 23 on May 25 when they host Phoenix Rising FC.</t>
  </si>
  <si>
    <t>USL W League – Kings Hammer FC at Indy Eleven, 7 p.m.
MLB – San Diego Padres at Cincinnati Reds, 6:40 p.m.; Chicago White Sox at Toronto Blue Jays, 7:07 p.m.; Atlanta Braves at Chicago Cubs, 7:40 p.m.; Baltimore Orioles at St. Louis Cardinals, 7:45 p.m.</t>
  </si>
  <si>
    <t>Indy Eleven extends unbeaten streak in all competitions to seven games</t>
  </si>
  <si>
    <t>Skip to content
Home » Soccer America Daily » Indy Eleven extends unbeaten streak in all competitions to seven games
                            Photo: Trevor Ruszkowski/Hartford Athletic</t>
  </si>
  <si>
    <t>Striker Augustine Williams is thrilled with Indy Eleven's current form</t>
  </si>
  <si>
    <t>Jack Blake, Alie Ahmed Bittar, Alie Bittar</t>
  </si>
  <si>
    <t>Indy Eleven secured an impressive 4-1 victory over Hartford Athletic at Carroll Stadium. Sierra Leone International Augustine Williams was happy with his performance and the team’s spirit.</t>
  </si>
  <si>
    <t>Striker Augustine Williams is thrilled with Indy Eleven’s current form</t>
  </si>
  <si>
    <t>Indy Take Care of Hartford in 4-1 win</t>
  </si>
  <si>
    <t>Brett Mullenix</t>
  </si>
  <si>
    <t>Substack</t>
  </si>
  <si>
    <t>Over 10,000 people witnessed the Indy Eleven extend their unbeaten run to 7 matches (in all competitions) since their April 16th loss to the Charleston Battery. In this run, the team has now outscored their opponents 14 to 4 with 3 clean sheets.</t>
  </si>
  <si>
    <t>Slumping Hartford falls to Indy Eleven, 4-1</t>
  </si>
  <si>
    <t>Indy Eleven scored early and scored often on its way to a 4-1 victory over Hartford Athletic Saturday night in USL Championship action at Carroll Stadium in Indianapolis.
Indy Eleven (5-4-2) has won four consecutive USL Championship games and is 4-1-1 in their last six matches. … Indy Eleven’s opening goal came in the third minute by way of a Jack Blake penalty kick to give him a team-leading five tallies this season. He has now converted on seven career penalties in USL Championship regular season action.</t>
  </si>
  <si>
    <t>5.18.2024: Indy Eleven vs. Hartford Athletic - Game Highlights</t>
  </si>
  <si>
    <t>May 18, 2024 - United Soccer League Championship (USL) 
 Indy Eleven YouTube Video
Four different goalscorers fired Indy Eleven to the club's fourth consecutive win in a dominate 4-1 victory against Hartford Athletic at Michael A. Carroll Stadium.</t>
  </si>
  <si>
    <t>Indy Defeats Hartford at Home</t>
  </si>
  <si>
    <t>May 18, 2024 - United Soccer League Championship (USL) 
 Hartford Athletic News Release
Hartford Athletic stumbled on the road, falling 4-1 to a red-hot Indy Eleven team who are now unbeaten in seven straight matches across all competitions.</t>
  </si>
  <si>
    <t>USL Championship – Hartford Athletic at Indy Eleven, 7 p.m.
International League – Toledo Mud Hens at Indianapolis Indians (DH), 12:35 p.m.
MLB – Boston Red Sox at St.</t>
  </si>
  <si>
    <t>Hartford Head to Indy to Clash with the Eleven</t>
  </si>
  <si>
    <t>May 17, 2024 - United Soccer League Championship (USL) 
 Hartford Athletic News Release
Hartford are back on the road, heading to the Hoosier State for a matchup with Indy Eleven.</t>
  </si>
  <si>
    <t>'Indy Eleven Giveaway' on Indy Now</t>
  </si>
  <si>
    <t>The winner will receive four (4) tickets to the Indy Eleven Match on Saturday, May 18th at the Michael A. Carroll Soccer Stadium at IUPUI. The approximate retail value of the prize is $180.00. Entrants can win only once.</t>
  </si>
  <si>
    <t>Indy Eleven hosts annual 'Racing Indy Night'</t>
  </si>
  <si>
    <t>Upcoming highlights from Indy Eleven promise an exhilarating lineup of events for soccer fans and community supporters. 
Ian Gilmour, Director of Video and Content Production for Indy Eleven, joined us Wednesday morning to share more information about what fans can expect this year!</t>
  </si>
  <si>
    <t>USL Championship – Hartford Athletic at Indy Eleven, 7 p.m.</t>
  </si>
  <si>
    <t>Indy Eleven striker Augustine Williams in USL Team of the Week</t>
  </si>
  <si>
    <t>Williams scored a brace for Indy Eleven in their 3-1 victory against Miami FC. He took a season-high nine shots overall and won 3 of 4 aerial duels.
It was hs fifth of the season as they defeated Miami 3-1 in the ongoing season. </t>
  </si>
  <si>
    <t>Racing Louisville FC Loses 3-1 to Indy Eleven in USL W League Opener</t>
  </si>
  <si>
    <t>By Racing Louisville Communications via Racing Louisville FC, 
 Racing Louisville FC suffered a 3-1 defeat in its USL W League opener to reigning champions Indy Eleven despite a late push for a comeback on Tuesday night at Lynn Family Sports Vision &amp; Training Center.</t>
  </si>
  <si>
    <t>U15s, U16s, Secure Spots at NEXT Cup Playoffs - Sacramento Republic FC
 Locomotive FC Storylines - El Paso Locomotive FC
 Four Locos Named to USL Championship Team of the Week - Week 10 - El Paso Locomotive FC
 Stanley Named USL Championship Player of the Week - Indy … Eleven
 Memphis 901 FC's Deric, Lapa Earn USL Championship Team of the Week Honors - Memphis 901 FC
 Yosuke Hanya Named to Team of the Week Bench for Week 10 - Colorado Springs Switchbacks FC
 Indy Eleven's Aedan Stanley earns Player of the Week after first two-assist</t>
  </si>
  <si>
    <t>Miami FC V Indy Eleven: May 12, 2024</t>
  </si>
  <si>
    <t>Indy Eleven's Aedan Stanley earns Player of the Week after first two-assist game of Championship career</t>
  </si>
  <si>
    <t>D - Adrian Diz Pe, Indy Eleven: The Cuban center back scored the opening goal in Indy's 3-1 victory against Miami FC, won 13 of 17 duels and 3 of 5 tackles, and made nine recoveries and three interceptions defensively in a strong all-around display. … Stanley Named USL Championship Player of the Week - Indy Eleven
 Memphis 901 FC's Deric, Lapa Earn USL Championship Team of the Week Honors - Memphis 901 FC
 Yosuke Hanya Named to Team of the Week Bench for Week 10 - Colorado Springs Switchbacks FC
 Indy Eleven's Aedan</t>
  </si>
  <si>
    <t>Set 'Em Up, Knock 'Em Down!: Indy Eleven's Aedan Stanley Is the USL Championship Player of the Week</t>
  </si>
  <si>
    <t>May 14, 2024 - United Soccer League Championship (USL) 
 Indy Eleven YouTube Video
The USL Championship announced the Team of the Week for Week 10 of the 2024 regular season on Tuesday, with Indy Eleven defender Aedan Stanley voted the Championship Player of the Week presented by Konami eFootball after … Stanley Named USL Championship Player of the Week - Indy Eleven
 Memphis 901 FC's Deric, Lapa Earn USL Championship Team of the Week Honors - Memphis 901 FC
 Yosuke Hanya Named to Team of the Week Bench for Week 10 - Colorado Springs Switchbacks FC
 Indy Eleven's Aedan</t>
  </si>
  <si>
    <t>Mayor’s stadium plan faces more criticism, gets additional sponsors</t>
  </si>
  <si>
    <t>In December, the council, by a 23-1 vote, approved a different PSDA at the former Diamond Chain site on the west side of downtown to support a proposed soccer stadium development by the owners of the Indy Eleven soccer team. </t>
  </si>
  <si>
    <t>USL W League – Indy Eleven at Racing Louisville FC, 6 p.m.
WNBA – Indiana Fever at Connecticut Sun, 7:30 p.m.
NBA Playoffs – Indiana Pacers at New York Knicks, Game 5, 8 p.m.
International League – Toledo Mud Hens at Indianapolis Indians, 1:35 p.m.</t>
  </si>
  <si>
    <t>Briggs' mailbag: Indiana keeps voting for men over women</t>
  </si>
  <si>
    <t>As for parking, the proposed Eleven Park project does include new structures, which also would serve elements other than Indy Eleven. New parking adds to the cost of the project.
I suppose I am carrying Mayor Joe Hogsett water on this. It's not out of any particular sense of loyalty to the mayor.</t>
  </si>
  <si>
    <t>Griffin Gonzalez</t>
  </si>
  <si>
    <t>Miami FC overwhelmed by Indy Eleven attack in second half in 1-3 loss</t>
  </si>
  <si>
    <t>The match was without much drama in the first 15 minutes as both Miami and Indy Eleven were unable to put much pressure on either side in possession. That changed briefly in the 17th minute as Indy Eleven was able to find some more possession.</t>
  </si>
  <si>
    <t>Miami FC Overwhelmed by Indy Eleven Attack in Second Half in 1-3 Loss</t>
  </si>
  <si>
    <t>5.12.24: Miami FC vs. Indy Eleven - Game Highlights</t>
  </si>
  <si>
    <t>Williams Scores A Pair, Stanley Assists Twice To Lead Indy - Indy Eleven
 Detroit City FC Battles to 1-1 Draw against Phoenix Rising FC - Detroit City FC
 Monterey Bay Earns Point with Wild 2-2 Finish Against Memphis 901 FC in Seaside - Monterey Bay FC
 Memphis 901 FC</t>
  </si>
  <si>
    <t>Williams Scores A Pair, Stanley Assists Twice To Lead Indy</t>
  </si>
  <si>
    <t>May 12, 2024 - United Soccer League Championship (USL) 
 Indy Eleven News Release
MIAMI - Indy Eleven went on the road and picked up three points with a 3-1 victory over USL Championship Eastern Conference opponent Miami FC on Sunday evening at the FIU Soccer Stadium.</t>
  </si>
  <si>
    <t>USL Championship – Indy Eleven at The Miami FC, 7 p.m.
MLB – Chicago Cubs at Atlanta Braves, 7:20 p.m.; Washington Nationals at Chicago White Sox, 7:40 p.m.; St. Louis Cardinals at Los Angeles Angels, 9:38 p.m.; Cincinnati Reds at Arizona Diamondbacks, 9:40 p.m.</t>
  </si>
  <si>
    <t>Match Preview: Miami FC vs Indy Eleven</t>
  </si>
  <si>
    <t>May 11, 2024 - United Soccer League Championship (USL) 
 Miami FC News Release
Miami FC returns to FIU Soccer Stadium to face Indy Eleven on Sunday night.</t>
  </si>
  <si>
    <t>Indy Eleven announces partnership with Indiana Black Expo</t>
  </si>
  <si>
    <t>"Indy Eleven is looking forward to partnering with the Indiana Black Expo to give its members exclusive experiences with Indiana's Team on match day and beyond," said Greg Stremlaw, Indy Eleven president and CEO."</t>
  </si>
  <si>
    <t>"Indy Eleven is looking forward to partnering with the Indiana Black Expo to give its members exclusive experiences with Indiana's Team on match day and beyond," said Greg Stremlaw, Indy Eleven president and CEO.</t>
  </si>
  <si>
    <t>romania.postsen.com</t>
  </si>
  <si>
    <t>--
MIAMI – Miami FC returns to FIU Soccer Stadium to face Indy Eleven on Sunday night. 
In April, Miami FC and Indy Eleven conducted a trade resulting in Miami acquiring Daniel Barbir and Roberto Molina, while moving Ben Ofeimu and Ben Mines to Indy.</t>
  </si>
  <si>
    <t>MIAMI – Miami FC returns to FIU Soccer Stadium to face Indy Eleven on Sunday night.
In April, Miami FC and Indy Eleven conducted a trade resulting in Miami acquiring Daniel Barbir and Roberto Molina, while moving Ben Ofeimu and Ben Mines to Indy.</t>
  </si>
  <si>
    <t>MIAMI - Miami FC returns to FIU Soccer Stadium to face Indy Eleven on Sunday night.
In April, Miami FC and Indy Eleven conducted a trade resulting in Miami acquiring Daniel Barbir and Roberto Molina, while moving Ben Ofeimu and Ben Mines to Indy.</t>
  </si>
  <si>
    <t>'I like great things in Indiana': Why Fort Wayne's Chuck Surack joined Indy Eleven ownership as it pursues MLS team</t>
  </si>
  <si>
    <t>In the wake of Indianapolis Mayor Joe Hogsett announcing last month pursuit of an MLS franchise independent of Indy Eleven’s efforts – a departure from his past support of the Eleven Park project – the timing of Surack joining Indy Eleven is not coincidental.</t>
  </si>
  <si>
    <t>Indy Eleven Announces Partnership with Indiana Black Expo</t>
  </si>
  <si>
    <t>May 10, 2024 - United Soccer League Championship (USL) 
 Indy Eleven News Release
INDIANAPOLIS - Indy Eleven has today announced a partnership with the Indiana Black Expo, which is highlighted by the club serving as a sponsor for IBE's Summer Celebration, with the mission of further exposing IBE's</t>
  </si>
  <si>
    <t>Billionaire hoping to ‘move the needle’ on Indy Eleven’s battle with Hogsett administration</t>
  </si>
  <si>
    <t>The founder of the Indy Eleven soccer team is hopeful that adding a billionaire to the franchise’s ownership ranks will bolster his case for Major League Soccer—and get plans for a $1.5 billion stadium district back on track.</t>
  </si>
  <si>
    <t>As Indy Eleven fans hope to join Major League Soccer discussion, Brickyard Battalion president weighs in</t>
  </si>
  <si>
    <t>The future of the Indy Eleven soccer team and the Eleven Park development is uncertain after a recent announcement that the city will seek a Major League Soccer team.
    Loyal Indy Eleven fans have been sidelined following the news.</t>
  </si>
  <si>
    <t>WBAA-FM (West Lafayette, IN)</t>
  </si>
  <si>
    <t>Available On Air Stations                           On Air    Now Playing       WBAA News AM 920 &amp; 105.9FM                              On Air    Now Playing       WBAA Jazz 101.3 FM HD2                              On Air    Now Playing       WBAA Classical 101.3 FM</t>
  </si>
  <si>
    <t>Indianapolis soccer stadium fate rests on recovery of cemetery remains</t>
  </si>
  <si>
    <t>Indy Eleven owner Ersal Ozdemir is already building on the grounds of what used to be the Diamond Chain Factory on Kentucky Avenue and the cemetery. The cemetery holds a number of graves of Indianapolis residents from more than 100 years ago.</t>
  </si>
  <si>
    <t>Offer: BOGO Indy 11 Tickets ⚽</t>
  </si>
  <si>
    <t>L 3 ] SATURDAY, MAY 18TH | 7:00 PM (R GGG RN RACING INDY NIGHT SATURDAY, MAY 25TH | 7:00 PM VS, PHOENIX RISING FC As an exclusive
offer for being a part of The Shop's newsletter, we're offering a BUY ONE, GET ONE FREE ticket opportunity for Indy Eleven's next
two matches! … Plus, sign up for
Indy Eleven's newsletter to unlock the opportunity for exclusive prizes. Support Indy Eleven and experience the thrill of soccer.
INDY ELEVEN TICKETS IN MAY
INUV.ELEVEN BIFT GARI] I SIGN U g RS EN RS R A FOR A CHANCE TO WIN PRIZES!</t>
  </si>
  <si>
    <t>‘The answer to that is yes or no' | Mayor Hogsett address Indy Eleven investor, fallout with Ersal Ozdemir</t>
  </si>
  <si>
    <t>. / 91 Read more » 
1 dead, another injured in early-morning Tippecanoe County crashWhen asked about what will happen to the Indy Eleven team, Hogsett walked out of his announcement.</t>
  </si>
  <si>
    <t>Surack hopes to ‘move the needle’ on Indy Eleven’s battle with city</t>
  </si>
  <si>
    <t>Alex Brown</t>
  </si>
  <si>
    <t>He declined to share details of his planned investment in the Indy Eleven—including whether he intends to become the majority owner of the franchise—but described the dollar figure as “a significant amount” for his family.</t>
  </si>
  <si>
    <t>Surack “Would Like To Believe” Eleven Park Can Be Built Without City’s Support</t>
  </si>
  <si>
    <t>INDIANAPOLIS — Billionaire Chuck Surack is now a part owner of Indy Eleven.</t>
  </si>
  <si>
    <t>Billionaire hoping to 'move the needle' on Indy Eleven's battle with Hogsett administration - Indianapolis Business Journal</t>
  </si>
  <si>
    <t>Briggs: Human remains and helicopters cloud Indianapolis' MLS pursuit</t>
  </si>
  <si>
    <t>James Briggs, Indianapolis Star
Updated May 9, 2024 at 12:34 PM·4 min read
Indy Eleven's rollout of a new investor for the team's stadium-anchored Eleven Park project lends credence to the city's argument that owner Ersal Ozdemir lacked money to complete the deal. … Money is one breaking point between the city and Indy Eleven. An even more prohibitive issue has emerged: human remains.
Eleven Park is planned for a portion of the former Greenlawn Cemetery.</t>
  </si>
  <si>
    <t>Westfield leaders keeping eye on Indy Eleven situation</t>
  </si>
  <si>
    <t>Indy Eleven’s men’s United Soccer League team practices at Grand Park, and the women’s Indy Eleven USL W League team uses Grand Park Events Center as its home field for games. The club hosts many of its youth soccer programs at Grand Park.</t>
  </si>
  <si>
    <t>Indy Eleven to Host Detroit City FC in Lamar Hunt U.S. Open Cup Round of 16</t>
  </si>
  <si>
    <t>May 9, 2024 - United Soccer League Championship (USL) 
 Indy Eleven News Release
CHICAGO - Following a 2-0 victory over San Antonio FC on Wednesday evening, Indy Eleven will host USL Championship conference-mate Detroit City FC in the Lamar Hunt U.S. Open Cup Round of 16.</t>
  </si>
  <si>
    <t>Indy Eleven's rollout of a new investor for the team's stadium-anchored Eleven Park project lends credence to the city's argument that owner Ersal Ozdemir lacked money to complete the deal.
Beyond that, though, it shows Ozdemir is focused on the wrong problem. … Money is one breaking point between the city and Indy Eleven. An even more prohibitive issue has emerged: human remains.
Eleven Park is planned for a portion of the former Greenlawn Cemetery.</t>
  </si>
  <si>
    <t>PraiseIndy Featured Video
CLOSE 
INDIANAPOLIS — Billionaire Chuck Surack is now a part owner of Indy Eleven.</t>
  </si>
  <si>
    <t>Westfield leaders keep eye on Indy Eleven situation as Grand Park negotiations continue</t>
  </si>
  <si>
    <t>Tony Katz and the Morning News 2nd Hr 5/9/24: Indy Eleven, Joe Biden's Economic Team, Traffic Jam, Biden and Tlaib</t>
  </si>
  <si>
    <t>Apple Podcasts
Tony Katz + The Morning News | Podcast on Spotify
Tony Katz and the Morning News on IHeartRadio
Catch the show in its entirety here:
Tony Katz + The Morning News – WIBC 93.1 FM
reference:
Indy … Eleven adds a billionaire, proving they ain’t dead yet – https://www.ibj.com/articles/indy-eleven-adds-businessman-chuck-surack-amid-mls-fight-with-city
….but Hogsett is putting pressure on Council Democrats – https://www.ibj.com/articles/indy-democratic-caucus-to-meet-privately-with-soccer-executive-tom-glick</t>
  </si>
  <si>
    <t>USL Championship – Indy Eleven at The Miami FC, 7 p.m.</t>
  </si>
  <si>
    <t>SAFC blanked by Indy Eleven, knocked out of U.S. Open Cup</t>
  </si>
  <si>
    <t>Indy Eleven scored 73 seconds into the game and added a second goal in the 10th minute to beat San Antonio FC 2-0 and advance to the Round of 16 against Detroit City .</t>
  </si>
  <si>
    <t>New co-owner Chuck Surack is hopeful Indy Eleven stadium 'will still get done'</t>
  </si>
  <si>
    <t>Phil Sanchez</t>
  </si>
  <si>
    <t>(WISH) — The Indy Eleven soccer teams announced they’re adding huge money muscle.
The move came after Indianapolis Democratic Mayor Joe Hogsett said April 25 that the city was looking to pursue a Major League Soccer team. … Indianapolis pursues Major League Soccer team
Hogsett: Major League Soccer an ‘opportunity we cannot pass up’
Leader of fans group: Hogsett’s MLS goal could jeopardize Indy Eleven’s future
Indy Eleven owner ‘surprised’ by mayor’s goal to pursue MLS team</t>
  </si>
  <si>
    <t>Open Cup match against Indy Eleven on Wednesday at the Sellick Bowl at Butler University in Indianapolis. Indy Eleven won 2-0.
Matt Schlotzhauer/SAFC
The Indy Eleven goalkeeper goes for the ball against San Antonio FC in a U.S.</t>
  </si>
  <si>
    <t>One-on-one with Indy Eleven's new co-owner Chuck Surack</t>
  </si>
  <si>
    <t>San Antonio FC Falls to Indy Eleven 0-2 in U.S. Open Cup</t>
  </si>
  <si>
    <t>May 8, 2024 - United Soccer League Championship (USL) 
 San Antonio FC News Release
INDIANAPOLIS - San Antonio FC fell to Indy Eleven 0-2 Wednesday, eliminating the team from the 2024 U.S. Open Cup in the Round of 32.</t>
  </si>
  <si>
    <t>SAFC knocked out of U.S. Open Cup in loss to Indy Eleven</t>
  </si>
  <si>
    <t>Indy Eleven scored 73 seconds into the game and added a second goal in the 10th minute to beat San Antonio FC 2-0 and advance to the Round of 16 against Detroit City.</t>
  </si>
  <si>
    <t>Indy Eleven fans hope team honors human remains found at Eleven Park site</t>
  </si>
  <si>
    <t>Indy Blanks San Antonio FC, 2-0</t>
  </si>
  <si>
    <t>May 8, 2024 - United Soccer League Championship (USL) 
 Indy Eleven News Release
INDIANAPOLIS - Indy Eleven continued its trend of scoring early in Lamar Hunt U.S.</t>
  </si>
  <si>
    <t>An Indy Eleven supporter group wants the team to build a memorial for the former cemetery near the stadium.
The Brickyard Battalion and treasurer Mike Slocum hope The Keystone Group pays tribute to the site's past as Greenlawn Cemetery.</t>
  </si>
  <si>
    <t>Indy Eleven announces new co-owner</t>
  </si>
  <si>
    <t>• None TORONTO — Mitch Marner stepped in front of the cameras and spoke to reporters for roughly three minutes. The Maple Leafs winger — a lightning rod of criticism in the aftermath of Toronto's latest playoff failure — said he would like to stay long-term with the organization he cheered on as a kid growing up just north of the city. "It means the world," Marner said Monday of suiting up for the Original Six franchise. "We're looked upon as kind of gods here, to be honest.</t>
  </si>
  <si>
    <t>Fort Wayne Billionaire Joins Indy Eleven Ownership Group</t>
  </si>
  <si>
    <t>John Herrick</t>
  </si>
  <si>
    <t>Ersal Ozdemir, founder and owner of Keystone Group and Indy Eleven, said Surack has changed Indiana for the better by identifying opportunities for growth. … Eleven Park is supposed to be anchored by a 20,000-seat multipurpose stadium that will be the permanent home for Indy Eleven’s men’s and women’s professional teams.</t>
  </si>
  <si>
    <t>Hoosier billionaire joins Indy Eleven ownership group</t>
  </si>
  <si>
    <t>NewsBeezer</t>
  </si>
  <si>
    <t>INDIANAPOLIS – Indy Eleven and Eleven Park Investment Group announced Wednesday that a Fort Wayne entrepreneur is joining as a team co-owner and investor in the private development of the proposed football stadium at a site in the southwest corner of downtown Indianapolis.</t>
  </si>
  <si>
    <t>Indy Eleven group adds Fort Wayne entrepreneur as co-owner, investor</t>
  </si>
  <si>
    <t>INDIANAPOLIS — Officials with the Indy Eleven and the Eleven Park Investment Group announced on Wednesday that Chuck Surack, a Fort Wayne-based entrepreneur most well known for founding Sweetwater, has joined as a co-owner of the team.</t>
  </si>
  <si>
    <t>Billionaire businessman Chuck Surack joins Indy Eleven ownership group, adding to team's battle with city</t>
  </si>
  <si>
    <t>INDIANAPOLIS — On Wednesday, the Indy Eleven soccer team announced a new co-owner as they continue their battle with city officials in securing a Major League Soccer team for the Circle City.</t>
  </si>
  <si>
    <t>Indiana billionaire joins Indy Eleven ownership group in support of Eleven Park project</t>
  </si>
  <si>
    <t>The city is no longer working with the developer to build the Indy Eleven soccer stadium because the city is looking at a new site for an expansion MLS team.INDIANAPOLIS — Indy Eleven and Eleven Park Investment Group announced Wednesday that a Fort Wayne entrepreneur is joining as a co-owner of the team</t>
  </si>
  <si>
    <t>The city is no longer working with the developer to build the Indy Eleven soccer stadium because the city is looking at a new site for an expansion MLS team.</t>
  </si>
  <si>
    <t>INDIANAPOLIS — Officials with the Indy Eleven and the Eleven Park Investment Group announced on Wednesday that Chuck Surack, a Fort Wayne-based entrepreneur, has joined as a co-owner of the team.</t>
  </si>
  <si>
    <t>Billionaire businessman Chuck Surack joins Indy Eleven ownership group</t>
  </si>
  <si>
    <t>James Howell Jr</t>
  </si>
  <si>
    <t>Now Surack joins Indy Eleven majority owner Ersal Ozdemir and other investors as they continue striving to bring an MLS team to Indianapolis and develop Eleven Park. … In April, Mayor Joe Hogsett announced the city of Indianapolis was seeking a bid for MLS, but would not be doing it with the Indy Eleven's ownership group.</t>
  </si>
  <si>
    <t>INDIANAPOLIS - Officials with the Indy Eleven and the Eleven Park Investment Group announced on Wednesday that Chuck Surack, a Fort Wayne-based entrepreneur, has joined as a co-owner of the team.</t>
  </si>
  <si>
    <t>Fort Wayne billionaire joins Eleven Park investor group</t>
  </si>
  <si>
    <t>A northern Indiana billionaire is throwing his support behind Indy Eleven's plan to build a Major League Soccer-eligible stadium at the planned Eleven Park mixed-use development in downtown Indianapolis. … Fort Wayne entrepreneur Chuck Surack has joined the effort as a co-owner in the Indy Eleven team and an investor in the private development, officials with Indy Eleven and Eleven Park Investment Group announced today.</t>
  </si>
  <si>
    <t>Fort Wayne billionaire joins Eleven Park ownership group</t>
  </si>
  <si>
    <t>Fort Wayne billionaire joins Eleven Park investor group
A northern Indiana billionaire is throwing his support behind Indy Eleven's plan to build a Major League Soccer-eligible stadium at the planned Eleven Park mixed-use development in downtown Indianapolis. … Fort Wayne entrepreneur Chuck Surack has joined the effort as a co-owner in the Indy Eleven team and an investor in the private development, officials with Indy Eleven and Eleven Park Investment Group announced today.</t>
  </si>
  <si>
    <t>Indiana Billionaire Joins Indy Eleven Ownership Group</t>
  </si>
  <si>
    <t>That is why we are thrilled by his personal commitment to the growth of professional soccer through the Indy Eleven and to the vision of Eleven Park as a neighborhood investment,” said Ersal Ozdemir, founder and owner of Keystone Group and Indy Eleven. … Eleven Park will be anchored by a 20,000-seat multipurpose stadium that will be the permanent home for Indy Eleven’s men’s and women’s professional teams.</t>
  </si>
  <si>
    <t>May 8, 2024 - United Soccer League Championship (USL) 
 Indy Eleven News Release
Indianapolis, IN - Indy Eleven and Eleven Park Investment Group today announced that Fort Wayne entrepreneur Chuck Surack has joined as a co-owner of the team and investor in private development surrounding the planned</t>
  </si>
  <si>
    <t>WDIV-TV (Detroit, MI)</t>
  </si>
  <si>
    <t>Emily Keogh</t>
  </si>
  <si>
    <t>Indy Eleven at Butler Bowl, 7 p.m.
NBA Playoffs – Indiana Pacers at New York Knicks, Game 2, 8 p.m.
MLB – Arizona Diamondbacks at Cincinnati Reds, 1:10 p.m.; Cleveland Guardians at Chicago White Sox, 7:40 p.m.; St. Louis Cardinals at Milwaukee Brewers, 7:40 p.m.</t>
  </si>
  <si>
    <t>James Olley</t>
  </si>
  <si>
    <t>Indy Eleven, planned stadium gain new investor</t>
  </si>
  <si>
    <t>Indiana entrepreneur Chuck Surack has joined the USL Indy Eleven "as a co-owner ... and as an investor in the private development" of the team's plan to "build a Major League Soccer-eligible stadium at the planned Eleven Park mixed-use development in downtown Indianapolis." … The Indy Eleven's announcement today "is the latest salvo in an increasingly contentious duel to land an MLS franchise and construct a new downtown stadium."</t>
  </si>
  <si>
    <t>Some Indy Eleven fans want human remains removed from Eleven Park</t>
  </si>
  <si>
    <t>INDIANAPOLIS (MIRROR INDY) — Some Indy Eleven fans are questioning whether it’s right to build a soccer stadium on the site of a former cemetery without first removing all the remains buried there.</t>
  </si>
  <si>
    <t>Blake Earns Fourth Team of the Week Honor</t>
  </si>
  <si>
    <t>May 7, 2024 - United Soccer League Championship (USL)
Indy Eleven News Release
TAMPA/INDIANAPOLIS - Jack Blake earned his fourth USL Championship Team of the Week honor of the 2024 season following Indy Eleven's 1-0 win over Monterey Bay F.C., league officials announced Tuesday.</t>
  </si>
  <si>
    <t>Cesar Hernandez</t>
  </si>
  <si>
    <t>Win tickets to see the Indy Eleven play August 31</t>
  </si>
  <si>
    <t>Posted: May 7, 2024 / 08:00 AM EST / Updated: May 7, 2024 / 03:59 PM EST</t>
  </si>
  <si>
    <t>Calum Ewing</t>
  </si>
  <si>
    <t>Some Indy Eleven fans want all human remains removed from Eleven Park site.</t>
  </si>
  <si>
    <t>Some Indy Eleven fans are questioning whether it’s right to build a soccer stadium on the site of a former cemetery without first removing all the remains buried there.</t>
  </si>
  <si>
    <t>The move also seemed to usurp an effort to land an MLS team that Ozdemir and his confidants have long said was the ultimate goal of a new stadium for the Indy Eleven franchise, even if it meant he wasn’t the majority owner in such an endeavor.
For Ozdemir, the blow affects more than soccer.</t>
  </si>
  <si>
    <t>Megan Swanick</t>
  </si>
  <si>
    <t>San Antonio FC heads to Indy Eleven for U.S. Open Cup fourth round</t>
  </si>
  <si>
    <t>📆 5/6/2024 1:47 PM
📰 ExpressNews
⏱ Reading Time:
25 sec. here
27 min. at publisher
📊 Quality Score:
News: 100%
Publisher: 51%
 Indy Eleven News 
SAFC begins play in the Lamar Hunt U.S.</t>
  </si>
  <si>
    <t>San Antonio FC heads to Indy Eleven for U.S. Open Cup 4th round</t>
  </si>
  <si>
    <t>Open Cup on Wednesday night, when it travels to face fellow USL Championship club Indy Eleven for a fourth-round matchup.</t>
  </si>
  <si>
    <t>Indy Eleven, development group make case to move forward with their stadium</t>
  </si>
  <si>
    <t>Indianapolis Mayor Joe Hogsett said the city is no longer working with the developer of Eleven Park to build a soccer stadium for the Indy Eleven.
The state legislation authorizing a soccer-specific stadium in Indianapolis was written for and championed by Indy Eleven after five years of work.</t>
  </si>
  <si>
    <t>Indiana's Team Announces Indy Eleven Academy</t>
  </si>
  <si>
    <t>May 6, 2024 - United Soccer League Championship (USL)
Indy Eleven News Release
INDIANAPOLIS - Indy Eleven has today announced the addition of Indy Eleven Academy as part of the club's mission to grow soccer across the state of Indiana starting at the grassroots level. … "Today is a significant day for Indy Eleven and the sport of soccer across the state of Indiana," said Indy Eleven President &amp; CEO Greg Stremlaw. "As Indiana's team, we are excited to welcome this new level of soccer as part of Indy Eleven's Pathway to Pro.</t>
  </si>
  <si>
    <t>Indianapolis Mayor Joe Hogsett said the city is no longer working with the developer of Eleven Park to build a soccer stadium for the Indy Eleven.</t>
  </si>
  <si>
    <t>Tony Katz and the Morning News 3rd Hr 5/6/24: U.S. halts Ammunition to Israel, Madonna, Economics of the May Races, Status of Indy Eleven and the city of Indianapolis, GM Sales down in China, VP short list for Trump - WIBC 93.1 FM</t>
  </si>
  <si>
    <t>What’s the status of Indy Eleven and the city? 4. U.S. automakers like GM rapidly lose ground in China U.S. automakers like GM rapidly lose ground in China (cnbc.com) 5. Doug Burgum on short list for Trump VP? Who else is?</t>
  </si>
  <si>
    <t>Sophie Lawson</t>
  </si>
  <si>
    <t>Win tickets to see the Indy Eleven play at home May 25th</t>
  </si>
  <si>
    <t>Axios</t>
  </si>
  <si>
    <t>Why it matters: The Indy Eleven kicked off their 11th season last month looking toward a new home at Eleven Park's planned 20,000-seat soccer stadium, but it looks increasingly likely that the project and its club are in trouble.</t>
  </si>
  <si>
    <t>How Indy's negotiations with Keystone Group broke down - Inside INdiana Business</t>
  </si>
  <si>
    <t>Indy Eleven at Butler Bowl, 7 p.m.
NBA Playoffs – Indiana Pacers at New York Knicks, Game 2, 8 p.m.</t>
  </si>
  <si>
    <t>Pro soccer: Late goal lifts Indy Eleven past Monterey Bay F.C.</t>
  </si>
  <si>
    <t>John Devine</t>
  </si>
  <si>
    <t>The Monterey County Herald</t>
  </si>
  <si>
    <t>Unable to produce a goal for the second consecutive game Saturday, the Union saw their home unbeaten streak come to a halt, falling to Indy Eleven 1-0 at Cardinale Stadium.</t>
  </si>
  <si>
    <t>Monterey Bay F.C. Falls 1-0 to Indy Eleven at Cardinale Stadium</t>
  </si>
  <si>
    <t>Monterey Bay earned a free kick at the hour mark, but the whipped-in ball by Enríquez was headed clear by the Indy Eleven defense. … Then in the 88th minute, a scramble inside the box led to the ball at the feet of Indy Eleven's Elliot Collier and he smashed it across the line with a right-footed shot to steal a 1-0 result in the final moments at Cardinale Stadium.</t>
  </si>
  <si>
    <t>Indy Eleven Earns 1-0 Victory Over Monterey Bay FC</t>
  </si>
  <si>
    <t>May 4, 2024 - United Soccer League Championship (USL)
Indy Eleven News Release
SEASIDE, Calif. - Elliot Collier scored the match winner in the 88th minute to send Indy Eleven to a 1-0 victory over USL Championship Western Conference opponent Monterey Bay F.C. on Saturday evening at Cardinale Stadium</t>
  </si>
  <si>
    <t>USL – Indy Eleven at Monterey Bay F.C., 10 p.m.
NBA – Indiana Pacers at Milwaukee Bucks, Game 7, TBD (if necessary)
International League – Buffalo Bisons at Indianapolis Indians, 1:35 p.m.
MLB – Chicago White Sox at St.</t>
  </si>
  <si>
    <t>Win Tickets to the Indy Eleven!</t>
  </si>
  <si>
    <t>The Indy Eleven have thrilled fans since their start in 2013 and, with their passion and talent, have solidified their reputation as a team with a strong connection to their devoted fans in the years since. You can cheer on our very own "Boys in Blue" as they take on Phoenix Rising...</t>
  </si>
  <si>
    <t>How the city’s negotiations with Keystone Group broke down</t>
  </si>
  <si>
    <t>Decatur United Soccer Club Joins Indy Eleven Club Affiliate Program</t>
  </si>
  <si>
    <t>As part of the program each youth representative will look and feel like the pros, by wearing a variant of the Indy Eleven kit at their respective club, along with being able to attend a home Indy Eleven match.</t>
  </si>
  <si>
    <t>Monterey Bay Battles Indy Eleven in the Return of the Union to Seaside on Star Wars Night at Cardinale Stadium</t>
  </si>
  <si>
    <t>In the other corner, Indy Eleven makes the trip to Seaside on the back of a 2-1 win over Championship expansion side North Carolina FC. Prior to that win, however, Indy Eleven drew 1-1 with Colorado Springs to end a three-game losing slide.</t>
  </si>
  <si>
    <t>The Indy Eleven have thrilled fans since their start in 2013 and, with their passion and talent, have solidified their reputation as a team with a strong connection to their devoted fans in the years since. </t>
  </si>
  <si>
    <t>Eleven Park plume to Indianapolis beret</t>
  </si>
  <si>
    <t>Greg Stremlaw is the President and Chief Executive Officer (CEO) of Indy Sports and Entertainment and the USL team Indy Eleven. … Greg Stremlaw, CEO, Indy Eleven, US, tells ‘Coliseum’ in an exclusive converse as to how the Indy Eleven’s Eleven Park Project will bring about a 360 degree change and light up the whole downtown Indianapolis area.</t>
  </si>
  <si>
    <t>Loan Watch | Hunter Sulte earns first win with Indy Eleven</t>
  </si>
  <si>
    <t>On a season-long loan, Portland Timbers goalkeeper Hunter Sulte secured his first win of the season, helping Indy Eleven to a 2-1 victory over North Carolina FC in USL Championship play on April 27. … Joining Sulte on loan at Indy Eleven is forward Tega Ikoba, 20, who has started four of his six appearances with the club thus far, scoring one goal.
To follow Sulte and Ikoba through the 2024 campaign, view Indy Eleven’s schedule.</t>
  </si>
  <si>
    <t>Shubi Arun</t>
  </si>
  <si>
    <t>Jessica Gruenling</t>
  </si>
  <si>
    <t>Human remains at Greenlawn Cemetery could remain buried forever beneath Indy Eleven development</t>
  </si>
  <si>
    <t>[Update: City offers to buy Indy Eleven site, estimates 100s of remains exist] 
[Ozdemir turns up Eleven Park heat with ad during Pacers game] 
Over the past year, Bates has been part of a community of researchers — including historians, preservationists, genealogists and a city archivist — that has</t>
  </si>
  <si>
    <t>Indy Eleven Coaches Show Episode 3</t>
  </si>
  <si>
    <t>Podcasts &gt; The Indy Eleven Coaches Show
New!
Indy Eleven Coaches Show Episode 3
Coach Sean McAuley discusses what it’s like handling off the field adversity combined with on the field dilemmas as well.</t>
  </si>
  <si>
    <t>USL – Indy Eleven at Monterey Bay F.C., 10 p.m.
NBA – Indiana Pacers at Milwaukee Bucks, Game 7, TBD (if necessary)</t>
  </si>
  <si>
    <t>Interview with Indy Eleven Supporters Group (Brickyard Battalion) President David Ziemba</t>
  </si>
  <si>
    <t>I'm making sure that we are a key player in this very tense time for Indy Eleven, the City of Indianapolis, USL and MLS.
In your groups official statement on the matter, you state that you want to solidify professional soccer’s future with your club, Indy Eleven.</t>
  </si>
  <si>
    <t>April 30, 2024: Indy Eleven owner speaks out</t>
  </si>
  <si>
    <t>April 30, 2024: Indy Eleven owner speaks out
April 30, 2024
ALSO: Pacers look to close out series... Open wheel icon passes away</t>
  </si>
  <si>
    <t>Eric Graves</t>
  </si>
  <si>
    <t>Everything seemed ready for a new downtown soccer stadium.</t>
  </si>
  <si>
    <t>Ryan Hedrick</t>
  </si>
  <si>
    <t>Ersal Ozdemir, who founded and owns Keystone Group and Indy Eleven, isn’t sure why Mayor Joe Hogsett is now opting to pursue a Major League Soccer franchise instead. However, he’s open to sitting down with the mayor and discussing the future. … The Eleven Park development featured a 20,000-seat multipurpose stadium, serving as the permanent home for Indy Eleven’s men’s and women’s professional teams.</t>
  </si>
  <si>
    <t>Owner of Indy Eleven Ersal Ozdemir Responds</t>
  </si>
  <si>
    <t>The shocking part is that the mayor’s plans did not include the Indy Eleven and owner Ersal Ozdemir, whose company Keystone Group were in the works to build the stadium and supporting development around the stadium.</t>
  </si>
  <si>
    <t>Indy Eleven vs. North Carolina FC from April 27, 2024</t>
  </si>
  <si>
    <t>INDIANAPOLIS (WISH) — Did you miss Saturday’s match between Indy Eleven and North Carolina FC?
Click on the video above to catch every minute of the action!
The Boys in Blue will return to WISH-TV sister station MyINDY-TV 23 on May 18 when they host Hartford Athletic.</t>
  </si>
  <si>
    <t>Tony Katz and the Morning News 2nd Hr 4/29/24: Vision Zero, Owner of Indy Eleven Ersal Ozdemir, Kristi Noem, Future of Indianapolis</t>
  </si>
  <si>
    <t>Tony Katz and the Morning News 2nd Hr PLEASE SUBSCRIBE TO THE PODCAST Tony Katz + The Morning News on Apple Podcasts Tony Katz + The Morning News | Podcast on Spotify Tony Katz and the Morning News on IHeartRadio Catch the show in its entirety here: Tony Katz + The Morning News – WIBC 93.1 FM Listen: reference Europe, “Intelligent Speed Assist” and allowing government to decide your future – https://uk.news.yahoo.com/cars-obey-speed-limits-automatically-134437613.html Listen: Listen:...</t>
  </si>
  <si>
    <t>Win tickets to see the Indy Eleven play at home May 18th</t>
  </si>
  <si>
    <t>USL Power Rankings: A dark day for Indy Eleven, goals galore &amp; more from Week 8</t>
  </si>
  <si>
    <t>This week was significant in two ways for the USL: League One inaugurated the intra-division Jagermeister Cup, and the Indy Eleven saw their stadium project halted by the specter of an MLS bid. 
It’s a set of developments that illustrates the potential and the pitfalls facing the USL in 2024.</t>
  </si>
  <si>
    <t>Inside the dispute between Indy Eleven and Indy Mayor Joe Hogsett</t>
  </si>
  <si>
    <t>Adam Wren</t>
  </si>
  <si>
    <t>Importantville</t>
  </si>
  <si>
    <t>Ozdemir, the Keystone Group developer, Indy Eleven owner and poli…
Keep reading with a 7-day free trial
Subscribe to IMPORTANTVILLE to keep reading this post and get 7 days of free access to the full post archives.</t>
  </si>
  <si>
    <t>Slideshow: Emotional Week Ends In Indy Eleven's First Home Win Of The Season</t>
  </si>
  <si>
    <t>Saturday night’s Indy Eleven game had an emotional edge, after Mayor Hogsett’s announcement that he was trying to bring a new MLS team to Indianapolis.</t>
  </si>
  <si>
    <t>4.27.2024: Indy Eleven vs. North Carolina FC - Game Highlights</t>
  </si>
  <si>
    <t>April 27, 2024 - United Soccer League Championship (USL)
Indy Eleven YouTube Video
Honduras international Douglas Martinez Jr. scored the winner with 15 minutes to go as Indy Eleven earned a 2-1 victory against North Carolina FC at Michael A.</t>
  </si>
  <si>
    <t>usltactics.com</t>
  </si>
  <si>
    <t>USL – North Carolina FC at Indy Eleven, 7 p.m.
International League – Indianapolis Indians at Omaha Storm Chasers, 7:05 p.m.
ECHL Playoffs – Indy Fuel at Wheeling Nailers, Game 5, 7:10 p.m.
MLB – St.</t>
  </si>
  <si>
    <t>Questions remain for the future of Indy Eleven, Eleven Park</t>
  </si>
  <si>
    <t>Now, the future for the Indy Eleven and Eleven Park remains in question. 
"We brought the club here, so we feel like this is our club," said David Ziemba, president of the Brickyard Battalion, the independent support group of the Indy Eleven.</t>
  </si>
  <si>
    <t>‘This is our club’: Brickyard Battalion hurt by Indy’s pursuit of MLS team without them</t>
  </si>
  <si>
    <t>Indianapolis announced Thursday it plans to submit a bid for an MLS expansion team, potentially placing in jeopardy the plans that are underway to develop Eleven Park — a more than $1 billion mixed-use development anchored by an Indy Eleven soccer stadium — and the future of the Indy Eleven soccer club</t>
  </si>
  <si>
    <t>Hogsett: Future Of Eleven Park Is Up To Indy Eleven, Erzal Ozdemir</t>
  </si>
  <si>
    <t>PraiseIndy Featured Video
CLOSE 
INDIANAPOLIS — What the Indy Eleven does is up to the Indy Eleven.</t>
  </si>
  <si>
    <t>INDIANAPOLIS — What the Indy Eleven does is up to the Indy Eleven. That’s what Indianapolis Mayor Joe Hogsett had to say about his push to bring a Major League Soccer franchise to the city.</t>
  </si>
  <si>
    <t>NCFC Travel to Indy Eleven</t>
  </si>
  <si>
    <t>April 26, 2024 - United Soccer League Championship (USL)
North Carolina FC News Release
INDIANAPOLIS - North Carolina FC are back on the road for Week 8 of the 2024 USL Championship season, traveling to Indianapolis to take on Indy Eleven on Saturday, April 27, at 7 p.m. at Michael A.</t>
  </si>
  <si>
    <t>Margaret Fleming</t>
  </si>
  <si>
    <t>Front Office Sports</t>
  </si>
  <si>
    <t>Developer claims City is backing out of Indy Eleven stadium deal, Hogsett denies allegations</t>
  </si>
  <si>
    <t>Joe Schroeder</t>
  </si>
  <si>
    <t>The complex was to be centered around a 20,000-seat multipurpose stadium intended to serve as the home field for the Indy Eleven USL Championship soccer team. … In so doing, he can restore hope to those who have entrusted him with the fates of this city’s beloved professional soccer team, a reigning national champion women’s soccer team, more than 18,000 Indy Eleven-affiliated youth soccer players, Indy Eleven’s Professional Academy, and the future of the world</t>
  </si>
  <si>
    <t>Indianapolis weekend events: Symphony on the Circle, Viking Fest and more</t>
  </si>
  <si>
    <t>⚽️ Cheer on the Indy Eleven when they take on North Carolina FC at Carroll Stadium, 7pm Saturday.
🤣 Laugh off the Sunday scaries at the Middle Ground Comedy Festival.</t>
  </si>
  <si>
    <t>Briggs: Don't weep for Indy Eleven</t>
  </si>
  <si>
    <t>Indy Eleven stadium was a bad idea
Indy Eleven's plan to build a 20,000-seat soccer stadium without an MLS team was like building a cruise ship and hoping it would bring the city an ocean.
Indy Eleven attracts an average attendance of less than half that would-be capacity. Think about that.</t>
  </si>
  <si>
    <t>Ersal Ozdemir had his chance to turn Indy Eleven into an MLS team</t>
  </si>
  <si>
    <t>Indy Eleven owner Ersal Ozdemir is understandably angry that Hogsett is dumping him in an attempt to achieve Ozdemir's longtime MLS dream — after the city and state supported the team's stadium plan.
Turning on Ozdemir now is a stone-cold move. It's also rational.</t>
  </si>
  <si>
    <t>Felipe Cardenas</t>
  </si>
  <si>
    <t>The Athletic</t>
  </si>
  <si>
    <t>On Indy Eleven</t>
  </si>
  <si>
    <t>17 nights a year, I get to turn on an Indy Eleven game, see the Brickyard Battalion roaring at the Mike, and hear Brad Hauter shoot the shit with Greg Rakestraw.
For me, that feels like home. … With the Indy Eleven’s future in jeopardy, that wall has come crashing down.</t>
  </si>
  <si>
    <t>Keystone accused Mayor Hogsett of trying to ‘walk away’ from Eleven Park deal</t>
  </si>
  <si>
    <t>Peter Blanchard</t>
  </si>
  <si>
    <t>Keystone, led by owner Ersal Ozdemir, plans a $1.5-billion mixed-use development set to include an Indy Eleven soccer stadium at the former Diamond Chain site along the White River.</t>
  </si>
  <si>
    <t>Keystone accuses Hogsett administration of trying to walk away from Eleven Park deal</t>
  </si>
  <si>
    <t>Upstract</t>
  </si>
  <si>
    <t>yahoo.com/news/keystone-accuses-hogsett-administration-trying-181315568.html
 -
Indianapolis-based developer Keystone Group on Thursday accused Mayor Joe Hogsett's administration of trying to walk away from a deal to develop Eleven Park, a more than $1 billion mixed-use development anchored by an Indy … Eleven soccer stadium under construction at the former Diamond…
 This story appeared on yahoo.com, 2024-04-25.</t>
  </si>
  <si>
    <t>nor the continuation of the Indy Eleven as a team would be requirements for city support."</t>
  </si>
  <si>
    <t>Developer claims City is backing out of Indy Eleven stadium deal as Mayor Joe Hogsett plans 'major sports announcement'</t>
  </si>
  <si>
    <t>The complex was to be centered around a 20,000-seat multipurpose stadium intended to serve as the home field for the Indy Eleven USL Championship soccer team. … In so doing, he can restore hope to those who have entrusted him with the fates of this city's beloved professional soccer team, a reigning national champion women's soccer team, more than 18,000 Indy Eleven-affiliated youth soccer players, Indy Eleven's Professional Academy, and the future of the world's</t>
  </si>
  <si>
    <t>Developer claims City is backing out of Indy Eleven stadium deal as Mayor Joe Hogsett plans ‘major sports announcement’</t>
  </si>
  <si>
    <t>Sam Spencer</t>
  </si>
  <si>
    <t>Keystone says city is backing out of Eleven Park deal as mayor plans announcement</t>
  </si>
  <si>
    <t>statement issued Thursday, the Ersal Ozdemir-led company said the city has instead been “shopping” the state legislation that made funding for the soccer stadium possible as well as undisclosed publicly-owned land to potential bidders—without requiring that those bidders work with Keystone or Ozdemir’s Indy … Eleven soccer team.</t>
  </si>
  <si>
    <t>Keystone says city is backing out of Eleven Park deal as mayor plans 'significant' announcement - Indianapolis Business Journal</t>
  </si>
  <si>
    <t>USL – North Carolina FC at Indy Eleven, 7 p.m.
International League – Indianapolis Indians at Omaha Storm Chasers, 7:05 p.m.
ECHL Playoffs – Indy Fuel at Wheeling Nailers, Game 5, 7:10 p.m.</t>
  </si>
  <si>
    <t>Augustine Williams rescues a point for Indy Eleven</t>
  </si>
  <si>
    <t>Indy Eleven played against Colorado Springs Switchbacks FC and drew 1-1 on Saturday at Weidner Field. Augustine Williams scored the equalizer in the 31st minute on Saturday.
Colorado Springs started strong in the match through Ronaldo Dumas scoring in the third minute.</t>
  </si>
  <si>
    <t>Wahab Ackwei sees red in Colorado Springs Switchbacks FC’s draw with Indy Eleven</t>
  </si>
  <si>
    <t>Ghanaian defender Wahab Ackwei was shown a red card in Colorado Springs Switchbacks FC’s 1-1 draw against Indy Eleven in Sunday’s USL Championship match.
The teams entered the game with a head-to-head record of one win each, with no draws.</t>
  </si>
  <si>
    <t>Win an Indy Eleven Racing Night Prize Pack!</t>
  </si>
  <si>
    <t>Indy Eleven vs. San Antonio FC in Lamar Hunt U.S. Open Cup Round of 32 Clash</t>
  </si>
  <si>
    <t>Indy Eleven will host San Antonio FC in the Lamar Hunt U.S. Open Cup Round of 32 at The Bud and Jackie Sellick Bowl on May 8 at 7 p.m. ET, following a 1-0 victory over Chicago Fire FC II.
 By the Numbers
This will be the third all-time meeting between Indy Eleven and San Antonio FC.</t>
  </si>
  <si>
    <t>Switchbacks Earn Their First Draw in the 2024 Season Against Indy Eleven</t>
  </si>
  <si>
    <t>April 21, 2024 - United Soccer League Championship (USL)
Colorado Springs Switchbacks FC News Release
Colorado Springs, CO - The Colorado Springs Switchbacks earned their first point of the season against Indy Eleven finishing with a final score of 1-1.</t>
  </si>
  <si>
    <t>Colorado Springs Switchbacks FC v Indy Eleven</t>
  </si>
  <si>
    <t>skip navigation
Colorado Springs Switchbacks FC v Indy Eleven</t>
  </si>
  <si>
    <t>Switchbacks Earn Their First Draw In The 2024 Season Against Indy Eleven</t>
  </si>
  <si>
    <t>April 20, 2024 - United Soccer League Championship (USL)
Colorado Springs Switchbacks FC News Release
Colorado Springs, CO - The Colorado Springs Switchbacks earned their first point of the season against Indy Eleven finishing with a final score of 1-1.</t>
  </si>
  <si>
    <t>Indy Eleven Draw Colorado Springs Switchbacks FC, 1-1</t>
  </si>
  <si>
    <t>April 20, 2024 - United Soccer League Championship (USL)
Indy Eleven News Release
COLORADO SPRINGS, Colo. - Indy Eleven went on the road to Colorado Springs Switchbacks FC and picked up at 1-1 draw on Saturday evening at Weidner Field.</t>
  </si>
  <si>
    <t>4.20.2024: Colorado Springs Switchbacks FC vs. Indy Eleven - Game Highlights</t>
  </si>
  <si>
    <t>April 20, 2024 - United Soccer League Championship (USL)
Colorado Springs Switchbacks FC YouTube Video
Colorado Springs Switchbacks FC held on for a 1-1 draw against Indy Eleven after being reduced to 10 players with just over half-an-hour to go at Weidner Field.</t>
  </si>
  <si>
    <t>USL – Indy Eleven at Colorado Springs, 8 p.m.
International League – St. Paul Saints at Indianapolis Indians, 1:35 p.m.
MLB – Chicago White Sox at Philadelphia Phillies, 1:35 p.m.; Los Angeles Angels at Cincinnati Reds, 1:40 p.m.; Milwaukee Brewers at St.</t>
  </si>
  <si>
    <t>Apple Podcasts</t>
  </si>
  <si>
    <t>Michael Battista</t>
  </si>
  <si>
    <t>Fire II Lose 1-0 to Indy Eleven, Eliminated from U.S. Open Cup</t>
  </si>
  <si>
    <t>Joe Chatz</t>
  </si>
  <si>
    <t>On Tap Sports Net</t>
  </si>
  <si>
    <t>Open Cup after losing 1-0 to the USL Championship's Indy Eleven on Wednesday at SeatGeek Stadium.
Fire II weren't able to replicate their goal-scoring form from their first two Open Cup matches and were shut out for the first time in all competitions in 2024.</t>
  </si>
  <si>
    <t>Chicago Fire FC II Falls 1-0 to Indy Eleven in Third Round of 2024 Lamar Hunt U.S. Open Cup |  Chicago Fire FC II</t>
  </si>
  <si>
    <t>Fire FC II</t>
  </si>
  <si>
    <t>(April 17, 2024) – Chicago Fire FC II fell 1-0 to Indy Eleven in the Third Round of the 2024 Lamar Hunt U.S. Open Cup at SeatGeek Stadium on Wednesday night.
The visitors opened the scoring in the fourth minute by way of Douglas Martinez.</t>
  </si>
  <si>
    <t>Chicago Fire FC II Falls 1-0 to Indy Eleven in Third Round of 2024 Lamar Hunt US Open Cup</t>
  </si>
  <si>
    <t>euro ES euro</t>
  </si>
  <si>
    <t>(April 17, 2024) – Chicago Fire FC II fell 1-0 to Indy Eleven in the Third Round of the 2024 Lamar Hunt US Open Cup at SeatGeek Stadium on Wednesday night.
The visitors opened the scoring in the fourth minute by way of Douglas Martinez.</t>
  </si>
  <si>
    <t>Chicago Fire FC II Falls 1-0 to Indy Eleven in Third Round of 2024 Lamar Hunt U.S. Open Cup</t>
  </si>
  <si>
    <t>. - Chicago Fire FC II fell 1-0 to Indy Eleven in the Third Round of the 2024 Lamar Hunt U.S. Open Cup at SeatGeek Stadium on Wednesday night.
The visitors opened the scoring in the fourth minute by way of Douglas Martinez.</t>
  </si>
  <si>
    <t>US Open Cup – Indy Eleven at Chicago Fire FC II, 8 p.m.
International League – St. Paul Saints at Indianapolis Indians, 6:35 p.m.
MLB – Miami Marlins at Chicago Cubs, 7:40 p.m.</t>
  </si>
  <si>
    <t>Hamilton North FC Joins Indy Eleven Club Affiliate Program</t>
  </si>
  <si>
    <t>"Indy Eleven is excited to pair with Hamilton North FC to continue its efforts of supporting youth soccer programs with the goal of making soccer more accessible to all," said Indy Eleven President &amp; CEO Greg Stremlaw.</t>
  </si>
  <si>
    <t>Loan Watch | Tega Ikoba scores first goal with Indy Eleven</t>
  </si>
  <si>
    <t>The Homegrown loanee brought the game level in the 27th minute for his first goal for Indy Eleven, led by Timbers alumni and former assistant coach Sean McAuley, and his first goal in the USL Championship.</t>
  </si>
  <si>
    <t>Recorder rewind: Charleston Battery at Indy Eleven</t>
  </si>
  <si>
    <t>Noral Parham</t>
  </si>
  <si>
    <t>The Indianapolis Recorder</t>
  </si>
  <si>
    <t>Check out some of these amazing photos of the Charleston Battery versus Indy Eleven soccer match on April 13!
The Charleston Battery defeated the Indy Eleven 4-2. Indy Eleven will take on Chicago FC on April 17.
This gallery was compiled by multimedia and sports reporter Noral Parham.</t>
  </si>
  <si>
    <t>Indy Eleven vs. Charleston Battery FC from April 13, 2024</t>
  </si>
  <si>
    <t>INDIANAPOLIS (WISH) — Did you miss Saturday’s match between Indy Eleven and Charleston Battery FC?
Click on the video above to catch every minute of the action!
The Boys in Blue will return to WISH-TV sister station MyINDY-TV 23 on April 27 when they host North Carolina FC.</t>
  </si>
  <si>
    <t>Battery Battle Back for 2-4 Victory Over Indy, Ycaza, Markanich and Myers Score</t>
  </si>
  <si>
    <t>INDIANAPOLIS – The Charleston Battery secured a 2-4 comeback victory over Indy Eleven at Carroll Stadium on Saturday, reaffirming their place atop the Eastern Conference standings. Emilio Ycaza scored in the 19th minute but the Battery quickly found themselves down 2-1 shortly after.</t>
  </si>
  <si>
    <t>Slideshow: Indy Eleven's Poor Start To The Season Continues</t>
  </si>
  <si>
    <t>A minute later Indy Eleven were ahead when Aedan Stanley’s pinpoint cross was headed home by Sebastian Guenzatti.</t>
  </si>
  <si>
    <t>Charleston Battery Clinch 2-4 Comeback Win Against Indy Eleven, Ycaza, Markanich, and Myers Shine</t>
  </si>
  <si>
    <t>The Charleston Battery secured a 2-4 comeback victory over Indy Eleven, with goals from Emilio Ycaza, Nick Markanich, and MD Myers.
 By the Numbers
The Battery won 2-4 against Indy Eleven.
Charleston's record now stands at 4 wins, 0 losses, and 3 draws, with 15 points.</t>
  </si>
  <si>
    <t>Battery battle back for 2-4 victory over Indy, Ycaza, Markanich and Myers score</t>
  </si>
  <si>
    <t>INDIANAPOLIS (April 13, 2024) – The Charleston Battery secured a 2-4 comeback victory over Indy Eleven at Carroll Stadium on Saturday, reaffirming their place atop the Eastern Conference standings.</t>
  </si>
  <si>
    <t>Indy Eleven Downed by Charleston Battery</t>
  </si>
  <si>
    <t>April 13, 2024 - United Soccer League Championship (USL)
Indy Eleven News Release
INDIANAPOLIS - Indy Eleven fell, 4-2, to USL Championship Eastern Conference leader Charleston Battery on Saturday evening at Carroll Stadium. Charleston improves to 4-0-3 on the season, while Indy moves to 1-4-1.</t>
  </si>
  <si>
    <t>Battery Battle Back For 2-4 Victory Over Indy, Ycaza, Markanich And Myers Score</t>
  </si>
  <si>
    <t>April 13, 2024 - United Soccer League Championship (USL)
Charleston Battery News Release
INDIANAPOLIS - The Charleston Battery secured a 2-4 comeback victory over Indy Eleven at Carroll Stadium on Saturday, reaffirming their place atop the Eastern Conference standings.</t>
  </si>
  <si>
    <t>All Goals from Indy Eleven vs. Charleston Battery in the 1st Half</t>
  </si>
  <si>
    <t>4.13.2024: Indy Eleven vs. Charleston Battery - Game Highlights</t>
  </si>
  <si>
    <t>April 13, 2024 - United Soccer League Championship (USL)
Indy Eleven YouTube Video
Emilio Ycaza and Nick Markanich each recorded a goal and assist as the Charleston Battery took a 4-2 victory against Indy Eleven at Michael A.</t>
  </si>
  <si>
    <t>USL – Charleston Battery at Indy Eleven, 7 p.m.
NBA – Atlanta Hawks at Indiana Pacers, 1 p.m.
International League – Indianapolis Indians at Toledo Mud Hens, 2:05 p.m.
MLB – Cincinnati Reds at Chicago White Sox, 2:10 p.m.; Chicago Cubs at Seattle Mariners, 4:10 p.m.; St.</t>
  </si>
  <si>
    <t>Charleston Battery vs. Indy Eleven Match Preview &amp; Key Players to Watch</t>
  </si>
  <si>
    <t>The Charleston Battery face Indy Eleven in an away match on Sat., April 13, at Carroll Stadium, kick off at 7 p.m. ET. This is their first encounter since the Battery's 5-0 victory in last year's playoffs.</t>
  </si>
  <si>
    <t>Battery Travel to Indy for Saturday Clash</t>
  </si>
  <si>
    <t>. - The Charleston Battery's busy April slate continues with an away match against Indy Eleven on Sat., April 13. Kickoff at Carroll Stadium is set for 7 p.m. ET and the match will air on ESPN+.</t>
  </si>
  <si>
    <t>Why Eleven Park is poised to become the next landmark venue in the USL Championship</t>
  </si>
  <si>
    <t>For those that tuned into the USL Championship’s first broadcast on CBS this past weekend and saw the electric atmosphere at Louisville City FC’s Lynn Family Stadium as it hosted Indy Eleven, there’s this.</t>
  </si>
  <si>
    <t>What to know about Indy Eleven's 11th season</t>
  </si>
  <si>
    <t>Indy Eleven: Everything you need to know about the team's 11th season</t>
  </si>
  <si>
    <t>What to know about Indy Eleven's 11th season
Share on facebook (opens in new window)
Share on twitter (opens in new window)
Share on linkedin (opens in new window)
Share on nextdoor (opens in new window)
Share on email (opens in new window)
Get excited. Soccer season in Indy is in full swing. … Photo: Courtesy of Indy Eleven
The Indy Eleven's 11th season is in full swing, bringing another year of United Soccer League action to Indianapolis.</t>
  </si>
  <si>
    <t>Christopher Harris</t>
  </si>
  <si>
    <t>The ultimate guide to sports teams in Indianapolis</t>
  </si>
  <si>
    <t>Nicole Hernandez, Emily Shea-Owen, Sarah Leonhardt, Shea Stapley</t>
  </si>
  <si>
    <t>Indy Eleven is a professional soccer team and was founded in 2013, making its debut in the North American Soccer League in 2014, before moving to the United Soccer League in 2018.</t>
  </si>
  <si>
    <t>BREAKING NEWS: Miami FC shuffles roster after agreeing swap deal with Indy Eleven</t>
  </si>
  <si>
    <t>Kartik Krishnaiyer</t>
  </si>
  <si>
    <t>Per Beyond the 90 &amp; The Kingfisher sources, Miami FC has completed a swap deal with Indy Eleven. Two of Miami FC’s three returning players from 2023, Ben Ofeimu and Ben Mines have been sent to Indy Eleven in exchange for Robert Molina and Danny Barbir.</t>
  </si>
  <si>
    <t>Miami FC Trades Ben Ofeimu and Ben Mines to Indy Eleven</t>
  </si>
  <si>
    <t>. -
The Miami Football Club announced today the trade of defender Benjamin Ofeimu and forward Benjamin Mines to Indy Eleven. In return, the deal allows for the move of defender Daniel Barbir and forward Roberto Molina to Miami FC.</t>
  </si>
  <si>
    <t>Indy Eleven Announces Acquisition of Ofeimu, Mines from Miami FC</t>
  </si>
  <si>
    <t>April 11, 2024 - United Soccer League Championship (USL)
Indy Eleven News Release
INDIANAPOLIS - Indy Eleven has today announced the acquisition of defender Benjamin Ofeimu and midfielder Ben Mines from The Miami FC.</t>
  </si>
  <si>
    <t>Jonah Dylan</t>
  </si>
  <si>
    <t>The Commercial Appeal</t>
  </si>
  <si>
    <t>USL – Charleston Battery at Indy Eleven, 7 p.m.</t>
  </si>
  <si>
    <t>Star Wars night with the Indy Eleven...Saturday April 13th! on Apple Podcasts</t>
  </si>
  <si>
    <t>In this episode of Rule the Galaxy we discuss #StarWars night with the #IndyEleven this Saturday April 13th Rule the Galaxy will be at the game. Friend of the show, Indy Car driver, Jack Harvey will be honorary captain. Plenty of fun Star Wars activities for the evening including trivia before the game. Trivia requires special ticket Gates open at 4:30pm with trivia from 5-6pmRegular gates open at 6pm and game is at 7pm. 501st characters will be in attendance as well as other Star Wars fun...</t>
  </si>
  <si>
    <t>Tyler Greever</t>
  </si>
  <si>
    <t>Blake Earns Third USLC Team of the Week Nod</t>
  </si>
  <si>
    <t>April 9, 2024 - United Soccer League Championship (USL)
Indy Eleven News Release
TAMPA/INDIANAPOLIS - Jack Blake earned his third USL Championship Team of the Week honor of the 2024 season following a two-goal performance against Louisville City FC, league officials announced Tuesday.</t>
  </si>
  <si>
    <t>Win tickets to see the Indy Eleven play at home April 27th</t>
  </si>
  <si>
    <t>James Nalton</t>
  </si>
  <si>
    <t>Harris' hat trick lifts LouCity to match best-ever start in 5-3 win over Indy Eleven</t>
  </si>
  <si>
    <t>Louisville has now matched its best-ever start, sitting at 4-0-0, thanks to a 5-3 home victory over rival Indy Eleven. This was also the first match in USL Championship history to be broadcasted on network television.
"It was an incredible night," LouCity head coach Danny Cruz said.</t>
  </si>
  <si>
    <t>Sam Draut</t>
  </si>
  <si>
    <t>Harris hat trick powers Lou City to 5-3 win over Indy Eleven</t>
  </si>
  <si>
    <t>Travis Breese</t>
  </si>
  <si>
    <t>Lou City never trailed in the match, winning 5-3 over the Indy Eleven. Forward Wilson Harris netted a hat trick, and he now leads the USL Championship with seven goals in just four games.
"I just think we're a really relentless team right now," Harris said after the game.</t>
  </si>
  <si>
    <t>3 Things we took away from LouCity’s thrilling LIPAFC victory vs. Indy Eleven</t>
  </si>
  <si>
    <t>Indy Eleven will be disappointed to have come up on the short side of things, but the positive moments the visitors had showed what this side could become by the end of the season.</t>
  </si>
  <si>
    <t>Louisville City FC vs Indy Eleven on CBS | USLChampionship.com</t>
  </si>
  <si>
    <t>skip navigation
Louisville City FC v Indy Eleven</t>
  </si>
  <si>
    <t>Harris's hat trick lifts LouCity to match best-ever start in 5-3 win over Indy Eleven</t>
  </si>
  <si>
    <t>Louisville has now matched its best-ever start, sitting at 4-0-0, thanks to a 5-3 home victory over rival Indy Eleven. This was also the first match in USL Championship history to be broadcasted on network television.</t>
  </si>
  <si>
    <t>4.6.2024: Louisville City FC vs. Indy Eleven - Game Highlights</t>
  </si>
  <si>
    <t>Indy Eleven - Game Highlights
April 6, 2024 - United Soccer League Championship (USL)
Louisville City FC YouTube Video
Wilson Harris scored the first hat trick of his USL Championship career and added an assist to lead Louisville City FC to a thrilling 5-3 victory against Indy Eleven before 11,330</t>
  </si>
  <si>
    <t>Harris Bags a Hat Trick, LouCity Rolls Past Indy Eleven on CBS</t>
  </si>
  <si>
    <t>Indy Eleven
Date: April 6, 2023
Venue: Lynn Family Stadium
Kickoff: 4 p.m.</t>
  </si>
  <si>
    <t>Three Goals Not Enough for Indy Eleven</t>
  </si>
  <si>
    <t>April 6, 2024 - United Soccer League Championship (USL)
Indy Eleven News Release
LOUISVILLE, Ky. - Indy Eleven fell, 5-3, on the road to Louisville City FC in the first installment of the 2024 LIPAFC rivalry Saturday afternoon.</t>
  </si>
  <si>
    <t>USL – Louisville City FC at Indy Eleven, 4 p.m.
NCAA Men’s Basketball – North Carolina State vs. Purdue at Glendale, Arizona, 6:09 p.m.
International League – Memphis Redbirds at Indianapolis Indians, 6:35 p.m.
ECHL – Indy Fuel at Fort Wayne Komets, 7:30 p.m.</t>
  </si>
  <si>
    <t>Soccer Streaming Live Today</t>
  </si>
  <si>
    <t>Win tickets to see the Indy Eleven play at home April 13th</t>
  </si>
  <si>
    <t>Posted: Apr 5, 2024 / 07:23 PM EST / Updated: Apr 5, 2024 / 07:23 PM EST</t>
  </si>
  <si>
    <t>Mike Rutherford</t>
  </si>
  <si>
    <t>Brandon Costa</t>
  </si>
  <si>
    <t>Louisville City FC-Indy Eleven Rivalry to Feature in Historic Network Television Debut Saturday on CBS</t>
  </si>
  <si>
    <t>. - The United Soccer League will make its network television debut this Saturday, April 6, at 4:00 pm ET when Louisville City FC and Indy Eleven renew their storied rivalry on the CBS Television Network. The match will also be streamed on Paramount+.</t>
  </si>
  <si>
    <t>Associated Press</t>
  </si>
  <si>
    <t>What to Watch for When LouCity Hosts Indy Eleven on CBS</t>
  </si>
  <si>
    <t>LouCity hosts rival Indy Eleven for a 4 p.m. kickoff at Lynn Family Stadium with broadcast coverage on CBS, marking the league's first-ever network televised game.
Temperatures will hit the mid-50s, and no rain is in the forecast.</t>
  </si>
  <si>
    <t>Coeur d’Alene Press</t>
  </si>
  <si>
    <t>Chicago Fire FC II to Face Indy Eleven in Third Round of the 2024 Lamar Hunt US Open Cup</t>
  </si>
  <si>
    <t>CHICAGO (April 4, 2024) – US Soccer and Chicago Fire FC today announced that Chicago Fire FC II will face Indy Eleven in the Third Round of the 2024 Lamar Hunt US Open Cup. Kickoff is scheduled for 7:00 pm CT on Wednesday, April 17, at SeatGeek Stadium in Bridgeview.</t>
  </si>
  <si>
    <t>Chicago Fire FC II to Face Indy Eleven in Third Round of the 2024 Lamar Hunt U.S. Open Cup  |  Chicago Fire FC II</t>
  </si>
  <si>
    <t>Soccer and Chicago Fire FC today announced that Chicago Fire FC II will face Indy Eleven in the Third Round of the 2024 Lamar Hunt U.S. Open Cup. Kickoff is scheduled for 7:00 p.m. CT on Wednesday, April 17, at SeatGeek Stadium in Bridgeview.</t>
  </si>
  <si>
    <t>Last Word On Sports</t>
  </si>
  <si>
    <t>Indy Eleven to Play Chicago Fire FC II in U.S. Open Cup Third Round</t>
  </si>
  <si>
    <t>April 4, 2024 - United Soccer League Championship (USL)
Indy Eleven News Release
CHICAGO - Indy Eleven will begin competition in the Lamar Hunt U.S. Open Cup at Chicago Fire FC II (MLS NEXT Pro) Wednesday, April 17. Kick is set for 8 p.m. ET/7 p.m. CT at SeatGeek Stadium in Bridgeview, Illinois.</t>
  </si>
  <si>
    <t>WISH And WNDY To Broadcast USL’s Indy Eleven Games Again</t>
  </si>
  <si>
    <t>Monica Buccini</t>
  </si>
  <si>
    <t>TVB</t>
  </si>
  <si>
    <t>WISH and WNDY Indianapolis will be the official broadcast partners with the United Soccer League’s Indy Eleven for the 11th year in a row. Fans will have a free over-the-air option to watch all 20 matches this year, including the 17 home games at IU Indianapolis Carroll Stadium.</t>
  </si>
  <si>
    <t>Indy Eleven Coaches Show Episode 2</t>
  </si>
  <si>
    <t>Podcasts &gt; The Indy Eleven Coaches Show
New!
Indy Eleven Coaches Show Episode 2
Sean McAuley talks about the tactics involved in the first month of the USL Championship Season.</t>
  </si>
  <si>
    <t>Wish And WNDY To Broadcast USL’s Indy Eleven Games Again</t>
  </si>
  <si>
    <t>Mark Miller</t>
  </si>
  <si>
    <t>TVNewsCheck</t>
  </si>
  <si>
    <t>“The partnership with Indy Eleven demonstrates our commitment to local sports in our community.”</t>
  </si>
  <si>
    <t>Why Cam Lindley’s failed first stint with Indy Eleven set him on the path to success</t>
  </si>
  <si>
    <t>On the face of it, Cam Lindley’s first stint with hometown club Indy Eleven in 2020 was not a success.</t>
  </si>
  <si>
    <t>Indy Eleven acquires Laurence Wootton on loan from Chicago Fire</t>
  </si>
  <si>
    <t>INDIANAPOLIS – Indy Eleven announced on Wednesday the club had acquired midfielder Laurence Wootton on loan from Chicago Fire FC of Major League Soccer. Per club policy, terms of the deal will not be disclosed.</t>
  </si>
  <si>
    <t>Historic USL Match Between Louisville City and Indy Eleven to Air on CBS Television Network</t>
  </si>
  <si>
    <t>Gabriel Schray</t>
  </si>
  <si>
    <t>Midwest Sports Network</t>
  </si>
  <si>
    <t>Matchup: Louisville City FC vs Indy Eleven
Location: Lynn Family Stadium, Louisville, Kentucky
Date &amp; Time: Saturday, April 6, 2024 – 4:00 p.m. … Since Indy Eleven’s move to the USL Championship in 2018, the rivalry has only intensified, with 21 encounters across all competitions to date.
Louisville City FC currently leads with 10 wins, while Indy Eleven has clinched five victories, alongside six draws.</t>
  </si>
  <si>
    <t>Clark County Joins Indy Eleven Club Affiliate Program</t>
  </si>
  <si>
    <t>April 2, 2024 - United Soccer League Championship (USL)
Indy Eleven News Release
INDIANAPOLIS - Indy Eleven continues to welcome youth partners across Indiana and beyond to its Club Affiliate Program, adding Clark County Soccer Association as its 21st partner club.</t>
  </si>
  <si>
    <t>Detroit City FC midfielder Maxi Rodriguez voted player of the week after goal, assist in comeback against Indy Eleven</t>
  </si>
  <si>
    <t>Eleven on Saturday night. … USL Championship Team of the Week - Week 4
GK - Nate Steinwascher, Detroit City FC: The local standout made three saves - including a pair of key stops early in the second half - to keep Detroit in the game against Indy Eleven before the side rallied for a 2-1 victory.</t>
  </si>
  <si>
    <t>WISH-TV and MyINDY-TV 23 to broadcast Indy Eleven games for the 11th consecutive year</t>
  </si>
  <si>
    <t>“WISH-TV and MyINDY-TV 23 are proud to continue our partnership with Indy Eleven, bringing professional USL Championship soccer to the homes of more Indiana viewers than ever before,” said McCoy. “The partnership with Indy Eleven demonstrates our commitment to local sports in our community.”</t>
  </si>
  <si>
    <t>Indy Eleven vs. Detroit City FC from March 30, 2024</t>
  </si>
  <si>
    <t>INDIANAPOLIS (WISH) — Did you miss Saturday’s match between Indy Eleven and Detroit City FC?
Click on the video above to catch every minute of the action!
The Boys in Blue will return to WISH-TV sister station MyINDY-TV 23 on April 13 when they host Charleston Battery FC.</t>
  </si>
  <si>
    <t>Detroit City FC moves to 3-0 behind dramatic comeback win over Indy Eleven</t>
  </si>
  <si>
    <t>(CBS DETROIT) - Detroit City FC earned another dramatic 2-1 victory on the road against Eastern Conference rival Indy Eleven on Saturday.</t>
  </si>
  <si>
    <t>(CBS DETROIT) – Detroit City FC earned another dramatic 2-1 victory on the road against Eastern Conference rival Indy Eleven on Saturday.</t>
  </si>
  <si>
    <t>Detroit City FC Defeats Indy Eleven 2-1 in Dramatic, Comeback Fashion</t>
  </si>
  <si>
    <t>March 30, 2024 - United Soccer League Championship (USL)
Detroit City FC News Release
Indianapolis, Indiana - Detroit City FC earned another dramatic 2-1 victory on the road against Eastern Conference rival Indy Eleven on Saturday.</t>
  </si>
  <si>
    <t>03.30.2024: Indy Eleven vs. Detroit City FC - Game Highlights</t>
  </si>
  <si>
    <t>03.30.2024: Indy Eleven vs. Detroit City FC - Game Highlights
March 30, 2024 - United Soccer League Championship (USL)
Indy Eleven YouTube Video
Maxi Rodriguez scored with two minutes to go to lift Detroit City FC to a 2-1 victory against Indy Eleven at Michael A.</t>
  </si>
  <si>
    <t>Indy Eleven Downed, 2-1, by Detroit City FC</t>
  </si>
  <si>
    <t>March 30, 2024 - United Soccer League Championship (USL)
Indy Eleven News Release
INDIANAPOLIS - On Saturday night at Michael A. Carroll Stadium, Indy Eleven fell, 2-1, to Detroit City FC in their first game against an Eastern Conference opponent.</t>
  </si>
  <si>
    <t>USL – Detroit City FC at Indy Eleven, 7 p.m.
ECHL – Indy Fuel at Toledo Walleye, 7:15 p.m.
International League -- Indianapolis Indians at Louisville Bats, 1:05 p.m.</t>
  </si>
  <si>
    <t>(CBS DETROIT) - Detroit City FC heads back on the road this weekend to face off against Eastern Conference rival Indy Eleven. Detroit hopes to continue its great run of form to start the season, winning both games it has played thus far.</t>
  </si>
  <si>
    <t>Indy Eleven hosts Detroit City FC, Get your tickets now!</t>
  </si>
  <si>
    <t>INDIANAPOLIS (WISH) — Since its inception in 2013, Indy Eleven has remained committed to fostering a culture of excellence within its club and community.</t>
  </si>
  <si>
    <t>Detroit City FC Looking to Stay Hot, on the Road to Indy Eleven Saturday Night</t>
  </si>
  <si>
    <t>March 29, 2024 - United Soccer League Championship (USL)
Detroit City FC News Release
Indianapolis, Indiana - Detroit City FC heads back on the road this weekend to face off against Eastern Conference rival Indy Eleven.</t>
  </si>
  <si>
    <t>USL – Detroit City FC at Indy Eleven, 7 p.m.
ECHL – Indy Fuel at Toledo Walleye, 7:15 p.m.
NCAA Women’s Basketball – Indiana/South Carolina vs. Oregon State/Notre Dame at Albany, New York, 1 p.m.</t>
  </si>
  <si>
    <t>Indy Easter weekend: Brunch restaurants, local events</t>
  </si>
  <si>
    <t>â½ See the Indy Eleven continue their 11th season Saturday at 7pm in a matchup against Detroit at Carroll Stadium, 1001 W. New York St.
ğ Run it out during the 10th anniversary of the Easter Egg 5K at White River State Park.
Tickets for a kids dash that starts at 10:50am Saturday are $20.</t>
  </si>
  <si>
    <t>Indianapolis investing in women's soccer, Eleven Park will be complete by 2026</t>
  </si>
  <si>
    <t>In May of last year, the Indy Eleven announcedthey'd be one of the locations for the new USL Super League.
"Being able to bring a championship back to where I grew up is awesome. It encapsulated what our season was about," said Dewey.</t>
  </si>
  <si>
    <t>In May of last year, the Indy Eleven announcedthey'd be one of the locations for the new USL Super League.
"When you invest in women I think they’re going to show out," said Samantha Dewey, a member of the Indy Eleven USL W League team.</t>
  </si>
  <si>
    <t>Marisa Roffman</t>
  </si>
  <si>
    <t>GiveMeMyRemote.com</t>
  </si>
  <si>
    <t>Indy Eleven Teams up with GOLZ TV to Revolutionize Soccer Content Consumption in America</t>
  </si>
  <si>
    <t>March 28, 2024 - United Soccer League Championship (USL)
Indy Eleven News Release
INDIANAPOLIS - Indy Eleven, one of the leading clubs in the USL Championship, is thrilled to announce an exciting partnership with GOLZ TV, a groundbreaking content-focused startup dedicated to revolutionizing soccer</t>
  </si>
  <si>
    <t>Hunter Sulte Joins the Urban Pitch Podcast</t>
  </si>
  <si>
    <t>Urban Pitch</t>
  </si>
  <si>
    <t>On loan with Indy Eleven for the 2024 season, Portland Timbers goalkeeper Hunter Sulte joins the latest episode of the Urban Pitch Podcast to discuss his pro journey, growing up in Alaska, and his meticulous pregame routine. </t>
  </si>
  <si>
    <t>A Closer Look at INDvSAC:</t>
  </si>
  <si>
    <t>March 25, 2024 - United Soccer League Championship (USL)
Sacramento Republic FC News Release
Republic FC remains unbeaten through three games this season, after securing a point from a 1-1 draw with Indy Eleven on Saturday.</t>
  </si>
  <si>
    <t>Indy Eleven vs. Sacramento Republic FC from March 23, 2024</t>
  </si>
  <si>
    <t>INDIANAPOLIS (WISH) — The 11th season of Indy Eleven soccer in the Circle City began Saturday when the Boys and Blue hosted Sacramento Republic FC.
The Eleven started the season the road with two non-conference matchups.</t>
  </si>
  <si>
    <t>Recorder Rewind: Sacramento Republic FC at Indy Eleven</t>
  </si>
  <si>
    <t>The Indy Eleven hosted the Sacramento Republic FC on March 23 at Michael A. Carroll in Downtown Indianapolis. The final score was 1-1 in Full-Time. Here are some amazing photos from the match!
The next Indy Eleven match is on March 30, when the team will take on Detroit City FC at Michael A.</t>
  </si>
  <si>
    <t>Augustine Williams delighted to open new season account</t>
  </si>
  <si>
    <t>David Lebbie, Alie Bittar, Alie Ahmed Bittar</t>
  </si>
  <si>
    <t>Augustine Williams was delighted to get off the mark after opening his account for new club Indy Eleven. 
On Saturday night, at Carroll Stadium, The striker, who signed for Indy ahead of the new USL season, scored his first goal for Indy Eleven in a 1-1 draw against Sacramento Republic. … Indy Eleven’s next game is against Detroit City FC, the first Eastern Conference foe of the season, which will also be played at Carroll Stadium next Saturday at 7 p.m. ET.</t>
  </si>
  <si>
    <t>Indy Eleven vs. Sacramento Republic FC - Game Highlights</t>
  </si>
  <si>
    <t>Slideshow: Indy Eleven Held in Home Opener</t>
  </si>
  <si>
    <t>After two games on the road, Indy Eleven were back at Micheal A. Carroll stadium to face unbeaten Sacramento Republic FC in the home opener.</t>
  </si>
  <si>
    <t>Sacramento Republic FC Play to a Draw Versus Indy Eleven, 1-1</t>
  </si>
  <si>
    <t>. - Republic FC split the points in a 1-1 draw with Indy Eleven on Saturday night. The Indomitable Club returns home undefeated through three matches, and with four more tough points on the road against Eastern Conference opponents.</t>
  </si>
  <si>
    <t>Williams tallies first goal of 2024 in draw with Sacramento</t>
  </si>
  <si>
    <t>March 23, 2024 - United Soccer League Championship (USL)
Indy Eleven News Release
INDIANAPOLIS - Indy Eleven and Sacramento Republic FC played to a 1-1 draw in the Boys in Blue's home opener on Saturday night at Carroll Stadium. Indy moves to 1-1-1 on the season, while Sacramento sits at 1-0-2.</t>
  </si>
  <si>
    <t>Indy Eleven 2024 TV schedule</t>
  </si>
  <si>
    <t>INDIANAPOLIS (WISH) — Join WISH-TV and MyINDY-TV 23 for another exciting season of Indy Eleven soccer. Click here to view the 2024 promotional calendar.
Indy Eleven 2024 TV schedule
*Games and times subject to change without notice
Saturday, March 23: 7 p.m., Sacramento Republic FC, WISH-TV.</t>
  </si>
  <si>
    <t>USL – Sacramento Republic SC at Indy Eleven, 7 p.m.
NCAA Men’s Basketball – Minnesota at Indiana State, 2 p.m.; Utah State vs. Purdue at Indianapolis, 2:40 p.m.
MLB Spring Training – St. Louis Cardinals vs. Houston Astros at West Palm Beach, Florida, 12:05 p.m.; Cleveland Guardians vs.</t>
  </si>
  <si>
    <t>Watch USL Championship Soccer: Indy Eleven vs Sacramento Republic FC
League: USL Championship Soccer
Game Time: 7:00 PM ET
TV Channel: FOX
Live Stream: Watch on Fubo!
Watch NWSL: Washington Spirit vs Bay FC
League: NWSL
Game Time: 7:30 PM ET
TV Channel: ION
Live Stream: Watch on Fubo!</t>
  </si>
  <si>
    <t>WNDU-TV (South Bend, IN)</t>
  </si>
  <si>
    <t>Timbers recall goalkeeper Hunter Sulte from loan with Indy Eleven for one match</t>
  </si>
  <si>
    <t>The Timbers have recalled goalkeeper Hunter Sulte fromhis loan with Indy Eleven for one match, and will be available for Saturday's match against Philadelphia Union at Providence Park.</t>
  </si>
  <si>
    <t>KCRA-TV (Sacramento, CA)</t>
  </si>
  <si>
    <t>Indy Eleven acquires forward Tega Ikoba on loan from Portland Timbers</t>
  </si>
  <si>
    <t>INDIANAPOLIS – Indy Eleven announced on Friday the club had acquired forward Tega Ikoba on loan from Portland Timbers FC of Major Leage Soccer for the 2024 USL Championship season.</t>
  </si>
  <si>
    <t>Timbers loan Tega Ikoba to USL side Indy Eleven for 2024 season</t>
  </si>
  <si>
    <t>Timbers forward Tega Ikoba will join USL Championship club Indy Eleven on loan for the 2024 season. The club has the option to recall Ikoba throughout the season.</t>
  </si>
  <si>
    <t>Timbers Recall Goalkeeper Hunter Sulte from Loan with Indy Eleven for One Match</t>
  </si>
  <si>
    <t>. - The Portland Timbers have recalled goalkeeper Hunter Sulte from loan with USL side Indy Eleven for one match, the club announced today. Sulte will be available for the Timbers match against the Philadelphia Union at Providence Park on Saturday, March 23.</t>
  </si>
  <si>
    <t>USL – Sacramento Republic SC at Indy Eleven, 7 p.m.
NCAA Men’s Basketball – TCU/Utah State vs. Grambling/Purdue at Indianapolis, TBD
MLB Spring Training – St. Louis Cardinals vs. Houston Astros at West Palm Beach, Florida, 12:05 p.m.; Cleveland Guardians vs.</t>
  </si>
  <si>
    <t>Indy Eleven Acquires Tega Ikoba on Loan from Portland Timbers</t>
  </si>
  <si>
    <t>March 22, 2024 - United Soccer League Championship (USL) - Indy Eleven News Release
INDIANAPOLIS - Indy Eleven has today announced the addition of forward Tega Ikoba on loan from MLS-side Portland Timbers.</t>
  </si>
  <si>
    <t>Timbers Loan Tega Ikoba to USL Side Indy Eleven for 2024 Season</t>
  </si>
  <si>
    <t>. - The Portland Timbers have loaned forward Tega Ikoba to USL side Indy Eleven for the 2024 season, the club announced today. The Timbers have the option to recall Ikoba throughout the season.
Ikoba has made six career MLS appearances, scoring one goal in 104 minutes played.</t>
  </si>
  <si>
    <t>Kicking off the Indy Eleven season and more from the WISH-TV Community Calendar!</t>
  </si>
  <si>
    <t>This week: Kicking off the Indy Eleven season and more from the WISH-TV Community Calendar! Let’s make it a great weekend and find out what’s going on “IN the Community”!
Events mentioned in this episode:
Indy Eleven Home Opener vs.</t>
  </si>
  <si>
    <t>Sky Christian</t>
  </si>
  <si>
    <t>Indy Eleven Soccer 11th Anniversary Celebration</t>
  </si>
  <si>
    <t>by: Sky Christian        
            Posted: Mar 20, 2024 / 01:12 PM EDT        
            Updated: Mar 20, 2024 / 01:12 PM EDT        
Home Opener &amp; Eleventh Anniversary Celebration — Saturday, March 23, 2024
Indy … Eleven will compete against Sacramento Republic at 7 p.m. at Carroll Stadium.</t>
  </si>
  <si>
    <t>Indy Eleven excited for 11th anniversary home opening match</t>
  </si>
  <si>
    <t>Cody Adams</t>
  </si>
  <si>
    <t>INDIANAPOLIS (WISH)- The Indy Eleven are back for another season at Carroll Stadium. 
This is there 11th season in Indy.</t>
  </si>
  <si>
    <t>Match Preview: Republic FC at Indy Eleven</t>
  </si>
  <si>
    <t>Indy Eleven plays its first home match of the year this weekend coming off a loss and draw to open the season. In Week 1, the club put relentless pressure on Oakland Roots but wasn't rewarded, falling 2-1 to the East Bay side.</t>
  </si>
  <si>
    <t>USL – Sacramento Republic SC at Indy Eleven, 7 p.m.</t>
  </si>
  <si>
    <t>Indy Eleven, 450 North Brewing &amp; 450 North Spirits Announce Partnership</t>
  </si>
  <si>
    <t>March 20, 2024 - United Soccer League Championship (USL) - Indy Eleven News Release
INDIANAPOLIS - Indy Eleven and 450 North Brewing &amp; 450 North Spirits have inked a partnership that will enhance the gameday experience for Indy Eleven fans and extend well beyond the gates of Carroll Stadium. … Away from The Mike, 450 North serves as the official beverage company of the Indy Eleven Coaches Show with Head Coach Sean McAuley, which airs monthly on Indy Eleven's YouTube channel.</t>
  </si>
  <si>
    <t>Episode 1 - Indy Eleven Coaches Show</t>
  </si>
  <si>
    <t>Podcasts &gt; The Indy Eleven Coaches Show
New!
Episode 1 – Indy Eleven Coaches Show
Sean McAuley joins the podcast for the first time.</t>
  </si>
  <si>
    <t>The Indy Eleven Coaches Show</t>
  </si>
  <si>
    <t>IN The Community</t>
  </si>
  <si>
    <t>Indy Eleven Coaches Show Episode 2
 Sean McAuley talks about the tactics involved in the first month of the USL Championship Season. He discusses what goes into a team talk, travel involved in cross-country trips and...</t>
  </si>
  <si>
    <t>This weekend: The Indy Eleven home opener! » WTTS FM</t>
  </si>
  <si>
    <t>Matt Pelsor</t>
  </si>
  <si>
    <t>WTTS-FM (Trafalgar, IN)</t>
  </si>
  <si>
    <t>Blake, Stanley Earn USL Team of the Week Honors</t>
  </si>
  <si>
    <t>March 19, 2024 - United Soccer League Championship (USL) - Indy Eleven News Release
TAMPA/INDIANAPOLIS - For the second straight week, Indy Eleven placed a pair of players on the USL Championship Team of the Week, league officials announced Tuesday.</t>
  </si>
  <si>
    <t>901 FC Stumbles Against Indy Eleven in Heartbreaking Home Loss</t>
  </si>
  <si>
    <t>The New Tri-State Defender</t>
  </si>
  <si>
    <t>After winning a thrilling season opener last week, Memphis 901 FC suffered a bitter 2-1 defeat against Indy Eleven in a thrilling interconference clash at AutoZone Park on Saturday afternoon. The Beale Street Boys fought valiantly but couldn’t overcome an early deficit and a second-half red card.</t>
  </si>
  <si>
    <t>Memphis 901 FC falls to Indy 2-1</t>
  </si>
  <si>
    <t>Colin Cody</t>
  </si>
  <si>
    <t>. — Memphis 901 FC suffers first loss of season to Indy Eleven in an interconference matchup.
The Beale Street Boys played a man down for the full second half and outshot Indy 17-11 but couldn’t find the final equalizer, moving 1-1-0 on the young season.</t>
  </si>
  <si>
    <t>WREG-TV (Memphis, TN)</t>
  </si>
  <si>
    <t>. — Memphis 901 FC suffers first loss of season to Indy Eleven in an interconference matchup. 
The Beale Street Boys played a man down for the full second half and outshot Indy 17-11 but couldn’t find the final equalizer, moving 1-1-0 on the young season. </t>
  </si>
  <si>
    <t>Daniel Macht</t>
  </si>
  <si>
    <t>Memphis 901 FC's Struggles against Indy Eleven Result in 2-1 Loss with Two Red Cards</t>
  </si>
  <si>
    <t>Memphis 901 FC faced a challenging match against Indy Eleven, falling behind early and ultimately losing 2-1 after receiving a red card in the first half. Despite a valiant effort in the second half, including a remarkable bicycle kick goal, Memphis couldn't secure a comeback.</t>
  </si>
  <si>
    <t>Memphis 901 FC come up short against Indy Eleven</t>
  </si>
  <si>
    <t>Indy Eleven (1-1-0) were able to pick up their first points of the season in their second straight road game.
Memphis fell behind early and were unable to counter the Indy pressure for the entirety of the first half, losing 2-1. … Indy Eleven’s Cameron Lindley was also a part of the inaugural season for 901 FC.
Memphis 901 FC will have a week off before traveling to the west coast for the first time this season. They will take on Sacramento Republic on Saturday, March 30 at 9pm.</t>
  </si>
  <si>
    <t>Academy Cup 2024: Richmond Kickers vs Indy Eleven: 2005 Elite Boys Final</t>
  </si>
  <si>
    <t>Academy Cup 2024: Richmond Kickers vs Indy Eleven: 2005 Elite Boys Final
March 16, 2024 - United Soccer League One (USL1) - Richmond Kickers YouTube Video
• Discuss this story on the United Soccer League One message board...</t>
  </si>
  <si>
    <t>Indy Eleven Records Season's First Victory with Win at Memphis</t>
  </si>
  <si>
    <t>March 16, 2024 - United Soccer League Championship (USL) - Indy Eleven News Release
Memphis, Tenn. - Indy Eleven leaves Memphis victorious, 2-1, against Western Conference opponent Memphis 901 FC in the second game of the season-opening road swing.</t>
  </si>
  <si>
    <t>3.16.2024: Memphis 901 FC vs. Indy Eleven - Game Highlights</t>
  </si>
  <si>
    <t>Indy Eleven - Game Highlights
March 16, 2024 - United Soccer League Championship (USL) - Memphis 901 FC YouTube Video
First-half goals by Jack Blake and Douglas Martinez Jr. earned Indy Eleven a 2-1 victory against Memphis 901 FC at AutoZone Park to give the visitors their first points of the new season</t>
  </si>
  <si>
    <t>All Goals from Memphis 901 FC vs. Indy Eleven in the 2nd Half</t>
  </si>
  <si>
    <t>Other Recent Memphis 901 FC Stories</t>
  </si>
  <si>
    <t>Memphis 901 FC Falls to Indy Eleven 2-1 in Interconference Matchup</t>
  </si>
  <si>
    <t>. - Memphis 901 FC fell to Indy Eleven 2-1 in an interconference matchup at AutoZone Park on Saturday afternoon.</t>
  </si>
  <si>
    <t>Memphis 901 FC Faces Indy Eleven After Impressive Season Opener Win</t>
  </si>
  <si>
    <t>The Big Picture
Memphis 901 FC aims to maintain their winning momentum against an Indy Eleven side that suffered a 2-1 defeat in their season opener, now led by new coach Sean McAuley.</t>
  </si>
  <si>
    <t>Memphis 901 FC vs. Indy Eleven Preview</t>
  </si>
  <si>
    <t>Now they must turn their attention from the last game to the next game as they get set to play host to Eastern Conference foe Indy Eleven.</t>
  </si>
  <si>
    <t>USL – Indy Eleven at Memphis 901 FC, 4 p.m.
ECHL – Tulsa Oilers at Indy Fuel, 7 p.m.
NBA – Brooklyn Nets at Indiana Pacers, 7 p.m.
MLB Spring Training – Houston Astros vs. St. Louis Cardinals at Jupiter, Florida, 1:05 p.m.; Chicago White Sox vs.</t>
  </si>
  <si>
    <t>WATN-TV (Memphis, TN)</t>
  </si>
  <si>
    <t>USL – Indy Eleven at Memphis 901 FC, 4 p.m.
ECHL – Tulsa Oilers at Indy Fuel, 7 p.m.
NBA – Brooklyn Nets at Indiana Pacers, 7 p.m.
NCAA Women’s Basketball – MVC final at Moline, Illinois, 2:02 p.m.
MLB Spring Training – Houston Astros vs. St.</t>
  </si>
  <si>
    <t>Memphis Hosts Indy Eleven Looking for Six Points in Seven Days</t>
  </si>
  <si>
    <t>The Beale Street Boys will look for their six-point start on Saturday as they host Indy Eleven for the two clubs' 12th meeting.</t>
  </si>
  <si>
    <t>USL – Indy Eleven at Memphis 901 FC, 4 p.m.
ECHL – Tulsa Oilers at Indy Fuel, 7 p.m.
NBA – Brooklyn Nets at Indiana Pacers, 7 p.m.
NCAA Women’s Basketball – MAC final at Cleveland, Ohio, 11 a.m.; MVC final at Moline, Illinois, 2:02 p.m.
MLB Spring Training – Houston Astros vs. St.</t>
  </si>
  <si>
    <t>Indy Eleven Welcomes Monrovia to Club Affiliate Program</t>
  </si>
  <si>
    <t>March 14, 2024 - United Soccer League Championship (USL) - Indy Eleven News Release
INDIANAPOLIS - Indy Eleven today welcomed its first partner of the 2024 season as part of the Indy Eleven Club Affiliate Program with the announcement of first-time member Monrovia Youth Soccer League. … "We're excited to continue Indy Eleven's Club Affiliate Program and are eager to welcome our newest club partner in Monrovia Youth Soccer League," Indy Eleven President &amp; CEO Greg Stremlaw said.</t>
  </si>
  <si>
    <t>USL – Indy Eleven at Memphis 901 FC, 4 p.m.
ECHL – Tulsa Oilers at Indy Fuel, 7 p.m.
NBA – Brooklyn Nets at Indiana Pacers, 7 p.m.</t>
  </si>
  <si>
    <t>Zach Myers</t>
  </si>
  <si>
    <t>Larry Henry Jr</t>
  </si>
  <si>
    <t>Blake, Boudadi Open 2024 on USL Championship Team of the Week</t>
  </si>
  <si>
    <t>March 12, 2024 - United Soccer League Championship (USL) - Indy Eleven News Release
TAMPA/INDIANAPOLIS - Indy Eleven placed two players on the USL Championship Team of the Week for their efforts in the season opener at Oakland Roots SC this past Saturday, league officials announced Tuesday. … Indy Eleven's preseason goal leader Blake continued the scoring in match one of the regular season, grabbing the initial equalizer in the 43rd minute of action. In 90 minutes of action, Blake led the Indy attack with a match-high six total shots, including a pair on frame.</t>
  </si>
  <si>
    <t>Training Ground Guru</t>
  </si>
  <si>
    <t>Augustine Williams &amp; Buya Turay make official Indy &amp; Legion debut</t>
  </si>
  <si>
    <t>Williams’s Indy Eleven suffered an opening defeat in the USL Championship on Saturday despite the inclusion of Augustine Williams in the starting eleven.
They lost 2-1 to Oakland Roots SC, their Western Conference opponent, in their only matchup for the 2024 season.</t>
  </si>
  <si>
    <t>Oakland Roots Victorious in Home Opener, Beat Indy Eleven 2-1</t>
  </si>
  <si>
    <t>Soccer League Championship (USL) - Oakland Roots News Release
Oakland got off to a blazing hot start in their season opener at Pioneer Stadium, scoring their first goal of the season less than three minutes after the opening whistle courtesy of Jeciel Cedeño en route to a 2-1 victory over visiting Indy … Eleven.</t>
  </si>
  <si>
    <t>Oakland Roots SC vs. Indy Eleven - Game Highlights</t>
  </si>
  <si>
    <t>Other Recent Oakland Roots Stories</t>
  </si>
  <si>
    <t>Match Notes (3.9.2024) - Oakland Roots SC Home Opener vs. Indy Eleven</t>
  </si>
  <si>
    <t>March 9, 2024 - United Soccer League Championship (USL) - Oakland Roots News Release
Matchup: Oakland Roots SC vs Indy Eleven (#OAKvIND)
Competition: USL Championship
Date: March 9, 2024
Kickoff: 7:00 PM PT
Weather Forecast: 57 degrees, cloudy
Venue: Pioneer Stadium (Cal State, East Bay)
City:</t>
  </si>
  <si>
    <t>Oakland Roots SC vs. Indy Eleven</t>
  </si>
  <si>
    <t>espn.com.co</t>
  </si>
  <si>
    <t>The reason Stephen A.</t>
  </si>
  <si>
    <t>ESPN Deportes</t>
  </si>
  <si>
    <t>Familiar face excited to play once again for Indy Eleven</t>
  </si>
  <si>
    <t>INDIANAPOLIS (WISH) — Indy Eleven has many new faces on the roster this season, although one of those “new” faces is actually quite familiar to supporters in Indy. 
Midfielder Tyler Gibson is back with the “Boys in Blue” after starting for the club in 2019 and 2020.</t>
  </si>
  <si>
    <t>USL – Indy Eleven at Oakland Roots SC, 10 p.m.
NCAA Women’s Basketball – Big Ten final at Minneapolis, noon; ACC final at Greensboro, North Carolina, 1 p.m.; Big East semifinal at Uncasville, Connecticut, 2:30 p.m.</t>
  </si>
  <si>
    <t>https://abc3340.com/sports/birmingham-legion/birmingham-legion-season-preview-2024-tommy-soehn-protective-stadium-usl-championship-soccer-aj-paterson-alex-crognale-mohamed-turay-tyler-pasher-preston-etaka-prosper-kasim-kobe-hernandez-foster-matthew-corcoran-phoenix-rising</t>
  </si>
  <si>
    <t>Caleb Turrentine</t>
  </si>
  <si>
    <t>Indy Eleven Signs Midfielder Ethan O'Brien, Unites O'Brien Brothers for USL Season</t>
  </si>
  <si>
    <t>Salman Khan</t>
  </si>
  <si>
    <t>BNN Breaking</t>
  </si>
  <si>
    <t>His commitment to the sport and ability to inspire his teammates caught the eye of Indy Eleven, leading to his professional signing in December 2023. … Impact on Indy Eleven's Upcoming Season
The signing of Ethan O'Brien is not just a personal triumph for him but also a strategic addition for Indy Eleven as they gear up for the USL Championship season.</t>
  </si>
  <si>
    <t>Siblings to play together for Indy Eleven this season</t>
  </si>
  <si>
    <t>INDIANAPOLIS (WISH) — Indy Eleven on Wednesday announced the signing of a midfielder who has a familiar last name. 
The club has signed Ethan O’Brien for the upcoming USL Championship season. 
O’Brien now joins his brother, Josh O’Brien, as players on Indy Eleven’s roster.</t>
  </si>
  <si>
    <t>How to watch Indy Eleven - Oakland Roots? TV and stream</t>
  </si>
  <si>
    <t>livesportsontv.com</t>
  </si>
  <si>
    <t>Watch it live on TV or Stream</t>
  </si>
  <si>
    <t>USL – Indy Eleven at Oakland Roots SC, 10 p.m.</t>
  </si>
  <si>
    <t>Indy Eleven Announces Signing of Notre Dame Standout Ethan O'Brien</t>
  </si>
  <si>
    <t>March 6, 2024 - United Soccer League Championship (USL) - Indy Eleven News Release
INDIANAPOLIS - Indy Eleven has today announced the addition of midfielder Ethan O'Brien to its USL Championship squad for the 2024 season.</t>
  </si>
  <si>
    <t>Stephen A.</t>
  </si>
  <si>
    <t>SACvIND Watch Party at Sky River Casino</t>
  </si>
  <si>
    <t>sacrepublicfc.com</t>
  </si>
  <si>
    <t>Join Republic FC and Sky River Casino for the first-ever adults-only watch party on March 23, when the club takes on Indy Eleven on the road.</t>
  </si>
  <si>
    <t>Name</t>
  </si>
  <si>
    <t>Title</t>
  </si>
  <si>
    <t>Email</t>
  </si>
  <si>
    <t>X (Twitter) Screen Name</t>
  </si>
  <si>
    <t>X (Twitter) URL</t>
  </si>
  <si>
    <t>Muck Rack URL</t>
  </si>
  <si>
    <t>X (Twitter) Followers</t>
  </si>
  <si>
    <t>Location</t>
  </si>
  <si>
    <t>Description</t>
  </si>
  <si>
    <t>Beats</t>
  </si>
  <si>
    <t>Publications</t>
  </si>
  <si>
    <t>Status Text</t>
  </si>
  <si>
    <t>Status Time</t>
  </si>
  <si>
    <t>Status URL</t>
  </si>
  <si>
    <t>Link Shared</t>
  </si>
  <si>
    <t>Sports Reporter</t>
  </si>
  <si>
    <t>doug.roberson@ajc.com</t>
  </si>
  <si>
    <t>DougRobersonAJC</t>
  </si>
  <si>
    <t>Atlanta, GA</t>
  </si>
  <si>
    <t>Doug Roberson is a reporter @AJC. Our journalists can keep you informed with real, fact-based news because of subscribers. Learn more: ajc.com/presson</t>
  </si>
  <si>
    <t>Arts and Entertainment</t>
  </si>
  <si>
    <t>Southern Fried Soccer: Previewing Atlanta United vs. Miami, Game 2 https://t.co/DiOyoDWl3w 
#ATLUTD #MLS</t>
  </si>
  <si>
    <t>Atlanta United may be missing two starters against Miami; what will they do? https://t.co/Tr2qobUc8D 
#ATLUTD #MLS</t>
  </si>
  <si>
    <t>@JLipsiner https://t.co/bGkNWGZo2d</t>
  </si>
  <si>
    <t>Atlanta United may be missing two starters against Miami; what will they do? https://t.co/mayTDLMryV</t>
  </si>
  <si>
    <t>Atlanta United may be missing two starters against Miami; what will they do? https://t.co/bGkNWGZo2d</t>
  </si>
  <si>
    <t>What Brooks Lennon’s injury could mean for Atlanta United https://t.co/3hpUQkq3jU 
#ATLUTD #MLS</t>
  </si>
  <si>
    <t>What Brooks Lennon’s injury could mean for Atlanta United https://t.co/XvceSmwS9T</t>
  </si>
  <si>
    <t>#ATLUTD's Mercedes-Benz Stadium will be open to full capacity for Saturday's #MLS playoff match against Miami
https://t.co/UhOKFyEIsO</t>
  </si>
  <si>
    <t>Contributor, Editor</t>
  </si>
  <si>
    <t>michael@frontrowsoccer.com</t>
  </si>
  <si>
    <t>Soccerwriter</t>
  </si>
  <si>
    <t>@soccerwriter</t>
  </si>
  <si>
    <t>I've seen a lot over the years, the good, bad and ugly. I cover NY/NJ soccer, USA futbol and sometimes the world. Can be followed at Threads and Bluesky.</t>
  </si>
  <si>
    <t>Sports,U.S.</t>
  </si>
  <si>
    <t>Front Row Soccer,Forbes</t>
  </si>
  <si>
    <t>THE FIELD IS SET: For @USLChampionship Playoffs - https://t.co/WTUWsWY0j3 #USLChampionship #USL https://t.co/jPYWVgl0Sp</t>
  </si>
  <si>
    <t>RT @Soccerwriter: THE FIELD IS SET: For @USLChampionship Playoffs - https://t.co/WTUWsWY0j3 #USLChampionship #USL</t>
  </si>
  <si>
    <t>Mike DeCourcy</t>
  </si>
  <si>
    <t>Analyst, Columnist, Senior Writer</t>
  </si>
  <si>
    <t>mike.decourcy@fox.com</t>
  </si>
  <si>
    <t>tsnmike</t>
  </si>
  <si>
    <t>Pittsburgh area</t>
  </si>
  <si>
    <t>Sporting News college hoops columns, Big Ten Network studio analyst, NCAA brackets for FoxSports. NFL, soccer sportingnews.com @CoachingforLit Ambassador</t>
  </si>
  <si>
    <t>Fox News,Sporting News,Big Ten Network</t>
  </si>
  <si>
    <t>Atlanta United manager Rob Valentino: ‘These boys aren’t done yet’ #ATLUTD #MLS  https://t.co/SyetMT43eW</t>
  </si>
  <si>
    <t>Atlanta United drops Game 1 to Inter Miami #ATLUTD #MLS  https://t.co/lsoGg8o86w</t>
  </si>
  <si>
    <t>#ATLUTD drops Game 1 to Inter Miami. Story updated with quotes and context
https://t.co/lsoGg8o86w</t>
  </si>
  <si>
    <t>Southern Fried Soccer: Atlanta United vs. Inter Miami in MLS playoffs #ATLUTD  https://t.co/3aCmxcbGBL</t>
  </si>
  <si>
    <t>Info to know: Atlanta United at Miami in MLS playoffs #ATLUTD #MLS  https://t.co/VXqsAQP6iu</t>
  </si>
  <si>
    <t>#ATLUTD player payroll decreases again
https://t.co/n4ZkMZwGvv</t>
  </si>
  <si>
    <t>Looking at Atlanta United vs. Inter Miami this season #ATLUTD #MLS. (Love this photo. The GOAT and Lionel Messi) https://t.co/J4NVnOiGNk</t>
  </si>
  <si>
    <t>Next up for Atlanta United is Miami - and the Five Stripes are excited #ATLUTD  https://t.co/qLOFSbqRTv</t>
  </si>
  <si>
    <t>David Nowakowski</t>
  </si>
  <si>
    <t>Host</t>
  </si>
  <si>
    <t>DNowakowski@kxrm.com</t>
  </si>
  <si>
    <t>novameets</t>
  </si>
  <si>
    <t>United States</t>
  </si>
  <si>
    <t>Freelance Media Personality | Co-Owner, Comms &amp; Marketing Director of The British Food Group |  Event Emcee and Musician | @codswallopco @thebritpub</t>
  </si>
  <si>
    <t>U.S. Regional</t>
  </si>
  <si>
    <t>KXRM-TV (Colorado Springs, CO)</t>
  </si>
  <si>
    <t>RT @SwitchbacksFC: @zachzandi has been named to @uslchampionship Team of the Week!!
Read more: https://t.co/zHDzaVY7H2
#allforthesprings…</t>
  </si>
  <si>
    <t>Atlanta United wary of Josef Martinez https://t.co/gu8XNpTmzO 
#ATLUTD #MLS</t>
  </si>
  <si>
    <t>Info to know: Atlanta United at Montreal in wildcard round of MLS playoffs https://t.co/rrdaPlaU4y 
#ATLUTD #MLS</t>
  </si>
  <si>
    <t>New to Atlanta United? Here’s what you need to know https://t.co/LTHE8hKUrm 
#ATLUTD #MLS</t>
  </si>
  <si>
    <t>Atlanta United will open MLS playoffs at Montreal #Atlutd #mls  https://t.co/HPMyBwcoiZ</t>
  </si>
  <si>
    <t>Atlanta United gets all the results, advances to MLS playoffs #ATLUTD #MLS  https://t.co/6xbSpYZz3n</t>
  </si>
  <si>
    <t>#ATLUTD gets all the results, advances to #MLS playoffs. 
Story updated with quotes and context
https://t.co/6xbSpYZz3n</t>
  </si>
  <si>
    <t>Brian O'Shea</t>
  </si>
  <si>
    <t>Senior Digital Content Producer</t>
  </si>
  <si>
    <t>brian.oshea@ajc.com</t>
  </si>
  <si>
    <t>bposhea</t>
  </si>
  <si>
    <t>Retired journalist, former @ajc and @AP. UGA Grady grad. Ohio State journalism, Kiplinger program</t>
  </si>
  <si>
    <t>Atlanta United gets all the results, advances to MLS playoffs https://t.co/W1OTVN14Lz</t>
  </si>
  <si>
    <t>Data Reporter</t>
  </si>
  <si>
    <t>emily.hopkins@mirrorindy.org</t>
  </si>
  <si>
    <t>indyemapolis</t>
  </si>
  <si>
    <t>Indianapolis, IN</t>
  </si>
  <si>
    <t>data reporter at @mirrorindy. priors: @propublica @indystar 📧: emily.hopkins@mirrorindy.org 🐘: @emilyhopkins@newsie.social</t>
  </si>
  <si>
    <t>Free Press Indiana</t>
  </si>
  <si>
    <t>City unearths piece of railway history near Greenlawn Cemetery https://t.co/Zb7HQmTa96 via @mirrorindy</t>
  </si>
  <si>
    <t>Deputy Managing Editor</t>
  </si>
  <si>
    <t>ryan.martin@mirrorindy.org</t>
  </si>
  <si>
    <t>ryanmartin</t>
  </si>
  <si>
    <t>Investigative journalist in Indianapolis. Deputy managing editor at @mirrorindy. Pulitzer winner. Past: @stateaffairsin @indystar. Tips, Signal: 317-500-4897.</t>
  </si>
  <si>
    <t>RT @indyemapolis: City unearths piece of railway history near Greenlawn Cemetery https://t.co/Zb7HQmTa96 via @mirrorindy</t>
  </si>
  <si>
    <t>Darian Benson</t>
  </si>
  <si>
    <t>Eastside Reporter</t>
  </si>
  <si>
    <t>darian.benson@mirrorindy.org</t>
  </si>
  <si>
    <t>HelloImDarian</t>
  </si>
  <si>
    <t>Eastside @mirrorindy•Formerly: @SideEffectsNews @WFYINews @IPBS_News•@IUIJournalismPR•Indy Native•DM tips or darian.benson@mirrorindy.org•Views=mine•she/her</t>
  </si>
  <si>
    <t>Claire Rafford</t>
  </si>
  <si>
    <t>Higher Education Reporter</t>
  </si>
  <si>
    <t>claire.rafford@mirrorindy.org</t>
  </si>
  <si>
    <t>clairerafford</t>
  </si>
  <si>
    <t>she/her</t>
  </si>
  <si>
    <t>higher ed reporter @mirrorindy // @opencampusmedia. talk to me about your pets. beep me: claire.rafford@mirrorindy.org or 317-759-0249 (Signal)</t>
  </si>
  <si>
    <t>Education,U.S. Regional</t>
  </si>
  <si>
    <t>@SliickLilly https://t.co/2OES3hmIRp</t>
  </si>
  <si>
    <t>If Atlanta United wins ... if it were only that simple, just like most things this season…. #ATLUTD https://t.co/7ukVU9OGLU</t>
  </si>
  <si>
    <t>Baseball Writer</t>
  </si>
  <si>
    <t>mtopkin@tampabay.com</t>
  </si>
  <si>
    <t>TBTimes_Rays</t>
  </si>
  <si>
    <t>St. Petersburg, FL</t>
  </si>
  <si>
    <t>Marc Topkin has covered the Rays for the Tampa Bay Times (formerly St. Petersburg Times) and  tampabay.com since, well, forever.</t>
  </si>
  <si>
    <t>Sports,U.S. Regional</t>
  </si>
  <si>
    <t>#Rowdies to play final two ‘home’ games at IMG Academy, but with limited fans 
https://t.co/YmFoDJNCKd</t>
  </si>
  <si>
    <t>Peter Schorsch</t>
  </si>
  <si>
    <t>Publisher</t>
  </si>
  <si>
    <t>peter@floridapolitics.com</t>
  </si>
  <si>
    <t>PeterSchorschFL</t>
  </si>
  <si>
    <t>In between Disney Cruises</t>
  </si>
  <si>
    <t>Husband to Michelle, Father to Ella. Publisher of @Fla_Pol, FloridaPolitics.com, INFLUENCE Mag, etc.</t>
  </si>
  <si>
    <t>Politics,U.S. Regional</t>
  </si>
  <si>
    <t>Florida Politics</t>
  </si>
  <si>
    <t>RT @TBTimes_Rays: #Rowdies to play final two ‘home’ games at IMG Academy, but with limited fans 
https://t.co/YmFoDJNCKd</t>
  </si>
  <si>
    <t>Atlanta United hosts Apalachee High soccer teams #ATLUTD #MLS  https://t.co/PIDYkpoQqN</t>
  </si>
  <si>
    <t>Writing this made me cry a little bit....
https://t.co/PIDYkpoQqN</t>
  </si>
  <si>
    <t>RT @DougRobersonAJC: Writing this made me cry a little bit....
https://t.co/PIDYkpoQqN</t>
  </si>
  <si>
    <t>Aaron Ladd</t>
  </si>
  <si>
    <t>Sports Anchor</t>
  </si>
  <si>
    <t>aaron.ladd@kshb.com</t>
  </si>
  <si>
    <t>aaronladdtv</t>
  </si>
  <si>
    <t>@ATLNewsFirst Sports Anchor/Reporter | @Mizzou '18 | @NABJ baby | 🚫 RTs are not endorsements | DMs open</t>
  </si>
  <si>
    <t>Kansas City Live,KMCI-TV (Kansas City, MO),KSHB-TV (Kansas City, MO)</t>
  </si>
  <si>
    <t>RT @AJCsports: Atlanta United hosts Apalachee High soccer teams https://t.co/6Kgk5E139g</t>
  </si>
  <si>
    <t>Atlanta United injury report and a moment for Dax McCarty https://t.co/IF9Mslaxx9 
#ATLUTD #MLS</t>
  </si>
  <si>
    <t>Atlanta United’s Jay Fortune working to put smiles on faces with community outreach https://t.co/Y6s7MbzMeK</t>
  </si>
  <si>
    <t>Evan Closky</t>
  </si>
  <si>
    <t>Sports Director</t>
  </si>
  <si>
    <t>eclosky@10tampabay.com</t>
  </si>
  <si>
    <t>ECloskyWTSP</t>
  </si>
  <si>
    <t>10 Tampa Bay Sports Director | Emmy &amp; Murrow award winner | Proud Buckeye | Long Island born &amp; raised | All opinions are my own</t>
  </si>
  <si>
    <t>RT @TampaBayRowdies: An update regarding this weekend's match against North Carolina FC. 
➡️ https://t.co/2GclEfa4Cg https://t.co/Wr956zZp…</t>
  </si>
  <si>
    <t>JJ Pavlick</t>
  </si>
  <si>
    <t>jj_pavlick</t>
  </si>
  <si>
    <t>Miami, FL</t>
  </si>
  <si>
    <t>Sports Reporter for Bad Dawg Sports|Former Athlete|Twitch &amp; Youtube Podcaster| @SoccerReporters #NHL #PWHL #MLS #NCAA #NWSL #NBA #USL #MLB</t>
  </si>
  <si>
    <t>Sports</t>
  </si>
  <si>
    <t>Freelance</t>
  </si>
  <si>
    <t>John Niyo</t>
  </si>
  <si>
    <t>Sports Columnist</t>
  </si>
  <si>
    <t>jniyo@detroitnews.com</t>
  </si>
  <si>
    <t>JohnNiyo</t>
  </si>
  <si>
    <t>Detroit, MI</t>
  </si>
  <si>
    <t>Detroit News sports columnist. Husband to one. Father of three. Native Iowan. Proud Michigander. Email: jniyo@detroitnews.com Also: johnniyo.bsky.social</t>
  </si>
  <si>
    <t>Metro Detroit,Sports,U.S.</t>
  </si>
  <si>
    <t>RT @detnews_sports: Detroit City FC plays Indy Eleven to scoreless draw, clinches playoff spot https://t.co/ScTJSIrzf5</t>
  </si>
  <si>
    <t>A look at past Atlanta United players and how they’re doing now #ATLUTD  https://t.co/UpFd5RIA2z</t>
  </si>
  <si>
    <t>Atlanta United’s key offseason dates are out #ATLUTD  https://t.co/iz1IIIwA0G</t>
  </si>
  <si>
    <t>Senior Football Writer</t>
  </si>
  <si>
    <t>mark.ogden@espn.com</t>
  </si>
  <si>
    <t>MarkOgden_</t>
  </si>
  <si>
    <t>Senior Writer, ESPN espn.co.uk/football/</t>
  </si>
  <si>
    <t>Brazil,Sports,United Kingdom</t>
  </si>
  <si>
    <t>Man City v the Premier League, APT rules, shareholder loans and spin. And what, if anything, does it all mean? https://t.co/Et1Fec1j43</t>
  </si>
  <si>
    <t>Atlanta United stays alive in playoff hunt with win against Red Bulls #ATLUTD  https://t.co/BriAqNnXKX</t>
  </si>
  <si>
    <t>Southern Fried Soccer: Atlanta United loses to Montreal, faces Red Bulls #ATLUTD  https://t.co/IyfW1qRFDN</t>
  </si>
  <si>
    <t>Atlanta United gets one more chance to help itself #ATLUTD  https://t.co/s4ozihrCmg</t>
  </si>
  <si>
    <t>Info to know: Atlanta United vs. New York Red Bulls https://t.co/qvdT8ny9we 
#ATLUTD #MLS</t>
  </si>
  <si>
    <t>#HISPANICHERITAGEMONTH (Day 18): 2016: #NYCosmos midfielder #JuanArango shows no signs of slowing down or retiring at the age of 36 - https://t.co/De8PMec9x7  #NASL https://t.co/MnZJ41Da5L</t>
  </si>
  <si>
    <t>Southern Fried Soccer: Atlanta United draws Philadelphia, faces Montreal #ATLUTD #MLS  https://t.co/rsxyJyA4G6</t>
  </si>
  <si>
    <t>Info to know: Atlanta United vs. Montreal #ATLUTD  https://t.co/56FGC33KAO</t>
  </si>
  <si>
    <t>Atlanta United could use production from left wing #ATLUTD  https://t.co/imQj2AHEkw</t>
  </si>
  <si>
    <t>Atlanta United fails to make up ground with draw at Philadelphia https://t.co/wBczkjDIXy</t>
  </si>
  <si>
    <t>.@CityofAtlanta  among cities that will host Club World Cup https://t.co/iK7IlLyXp0</t>
  </si>
  <si>
    <t>Reporter</t>
  </si>
  <si>
    <t>MShuey@ibj.com</t>
  </si>
  <si>
    <t>MickeyShuey</t>
  </si>
  <si>
    <t>Real estate, tourism and sports business reporter for @IBJnews. Husband, dad, journalist, photographer, and @DaytonFlyers fan.</t>
  </si>
  <si>
    <t>Business and Finance,Real Estate,Sports,Travel,U.S. Regional</t>
  </si>
  <si>
    <t>Noblesville's @MayorJensen and Westfield are each interested in creating sports taxing districts to pool state dollars from their respective investments in the industry—in Noblesville, the @TheMadAnts venue, and Westfield, @GrandParkSports. For @IBJnews: https://t.co/27zBZeTMVl</t>
  </si>
  <si>
    <t>Info to know: Atlanta United at Philadelphia #ATLUTD  https://t.co/W0HLNP7J1y</t>
  </si>
  <si>
    <t>Senior Writer</t>
  </si>
  <si>
    <t>jeffrueter</t>
  </si>
  <si>
    <t>Saint Paul, MN</t>
  </si>
  <si>
    <t>Senior writer, ⚽ @TheAthletic || Putting the "bi" in byline 🏳️‍🌈</t>
  </si>
  <si>
    <t>NEW: As the 2024 U.S. Open Cup ends, we near another annual tradition: questions over the tournament’s vitality.
Sources say talks for 2025 and beyond are “productive,” final framework may come out soon. #MLS a committed partner. No winter of discontent? https://t.co/HEhJMeHltO</t>
  </si>
  <si>
    <t>Football Writer and Analyst</t>
  </si>
  <si>
    <t>bethlimb</t>
  </si>
  <si>
    <t>United Kingdom</t>
  </si>
  <si>
    <t>She/Her | 📊 Professional Football Scout &amp; Analyst | ✍️ Writer | 🎓BA History Student |</t>
  </si>
  <si>
    <t>Arts and Entertainment,Sports</t>
  </si>
  <si>
    <t>📊🇺🇸Using data to analyse playing styles in the @USLChampionship ⬇️⬇️⬇️
#USL 
https://t.co/MRiUeGzBLp</t>
  </si>
  <si>
    <t>📊🇺🇸 In my latest piece, I use data to look into the different playing styles across the #USL Championship.
All likes/RT's appreciated.
⬇️⬇️⬇️
https://t.co/MRiUeGz3VR</t>
  </si>
  <si>
    <t>USL Championship - Data Analysis
https://t.co/MRiUeGzBLp</t>
  </si>
  <si>
    <t>RT @bethlimb: USL Championship - Data Analysis
https://t.co/MRiUeGzBLp</t>
  </si>
  <si>
    <t>Southern Fried Soccer: Previewing Atlanta United’s most important match this season #ATLUTD  https://t.co/2c4yEhKeck</t>
  </si>
  <si>
    <t>Atlanta United has backup flight plan to Philadelphia amid Hurricane Helene https://t.co/3f3oKuLMR3 
#ATLUTD #MLS</t>
  </si>
  <si>
    <t>Kelly Yamanouchi</t>
  </si>
  <si>
    <t>Team Leader, Business</t>
  </si>
  <si>
    <t>kyamanouchi@ajc.com</t>
  </si>
  <si>
    <t>atlairportnews</t>
  </si>
  <si>
    <t>Journalist for The Atlanta Journal-Constitution. This account shares our coverage of Delta, the Atlanta airport and the airline industry.</t>
  </si>
  <si>
    <t>Business and Finance,Metro Atlanta,Transportation,Travel</t>
  </si>
  <si>
    <t>Atlanta United has backup flight plan to Philadelphia amid Hurricane Helene https://t.co/uH2bPcsur1</t>
  </si>
  <si>
    <t>Digital Editor</t>
  </si>
  <si>
    <t>jreineking@usatoday.com</t>
  </si>
  <si>
    <t>jimreineking</t>
  </si>
  <si>
    <t>Editor, @USATODAYSports. Formerly @NFL &amp; @FOXSports. | @UWWhitewater alum.</t>
  </si>
  <si>
    <t>Opinion and Editorial,Sports</t>
  </si>
  <si>
    <t>. @LAFC aims to avoid the humiliation of going 0-5 in its five most recent trophy games when it hosts @SportingKC in tonight's @OpenCup final. 🏆 #USOC2024   https://t.co/8l5nvPHDWZ</t>
  </si>
  <si>
    <t>tombogert</t>
  </si>
  <si>
    <t>⚽️ MLS and USMNT Insider
✍🏼: @GiveMeSport
🎙: @SoccerwiseHQ
📺: @CBSSportsGolazo
📸 IG: Tom_Bogert
🎥 YouTube: TomBogert
Previous  @TheAthleticFC, @MLS &amp; more</t>
  </si>
  <si>
    <t>With the US Open Cup final tomorrow, the competition will be in the spotlight once again.
After MLS tried to take out all of its first teams —eventually settling with 8 first teams &amp; 9 MLSNP— what happens?
Can we (hopefully) get back to normal next year?
https://t.co/z1iCWO0wMG</t>
  </si>
  <si>
    <t>Aaron Long:
“The Open Cup has a ton of history. As an American, it feels very important to keep this cup and competition alive."
Full story: https://t.co/z1iCWO0wMG https://t.co/ndnjVWvoNj</t>
  </si>
  <si>
    <t>Atlanta United’s playoff fight has a relegation feel #ATLUTD #MLS  https://t.co/hQnhI3oohG</t>
  </si>
  <si>
    <t>Christian Senger</t>
  </si>
  <si>
    <t>Blogger, Contributor</t>
  </si>
  <si>
    <t>christian@holycitysinner.com</t>
  </si>
  <si>
    <t>HolyCitySinner</t>
  </si>
  <si>
    <t>Charleston, SC</t>
  </si>
  <si>
    <t>All things Charleston, SC &amp; more. Winner of multiple Best of Charleston Awards - Twitter (10x), Blog (9x), Podcast, Website, Instagram &amp; Social Media Influencer</t>
  </si>
  <si>
    <t>Travel,U.S. Regional</t>
  </si>
  <si>
    <t>WCIV-TV (Mount Pleasant, SC),Holy City Sinner</t>
  </si>
  <si>
    <t>Battery beat Rowdies 3-1 in historic night, Markanich sets USL Championship scoring record https://t.co/wFpfSFvjOA @Chas_Battery</t>
  </si>
  <si>
    <t>Battery beat Rowdies 3-1 in historic night, Markanich sets USL Championship scoring record https://t.co/wFpfSFuLZ2</t>
  </si>
  <si>
    <t>Crazy final minutes result in Atlanta United drawing with the Red Bulls https://t.co/dvrK7dY0Uw 
#ATLUTD #MLS</t>
  </si>
  <si>
    <t>Crazy final minutes see #ATLUTD go from drawing to winning to drawing....and dropping points.
https://t.co/8ejfXOIjhp
#MLS</t>
  </si>
  <si>
    <t>Saturday Derby Between Battery, Rowdies at Patriots Point https://t.co/HGlAyKA7Kd @Chas_Battery</t>
  </si>
  <si>
    <t>Saturday Derby Between Battery, Rowdies at Patriots Point https://t.co/HGlAyKzzUF</t>
  </si>
  <si>
    <t>Saturday Derby Between Battery, Rowdies at Patriots Point https://t.co/HGlAyKzzUF #chs</t>
  </si>
  <si>
    <t>#ATLUTD overcomes another slow start to earn draw with Miami
https://t.co/gKuGH1clVC
#MLS</t>
  </si>
  <si>
    <t>Info to know: Atlanta United vs. Inter Miami https://t.co/d0ZIBUzUsx 
#ATLUTD #MLS</t>
  </si>
  <si>
    <t>Tim Evans</t>
  </si>
  <si>
    <t>Investigative Editor</t>
  </si>
  <si>
    <t>tim.evans@indystar.com</t>
  </si>
  <si>
    <t>starwatchtim</t>
  </si>
  <si>
    <t>Indianapolis, Indiana</t>
  </si>
  <si>
    <t>Investigations Editor @IndyStar. Indiana Journalism Hall of Fame. Husband. Father. Mousetrap collector. I tweet about my work and stuff I find interesting.</t>
  </si>
  <si>
    <t>Business and Finance,Crime and Justice,U.S. Regional</t>
  </si>
  <si>
    <t>RT @indystar: City steadfast on MLS stadium plan despite billionaire's hotel purchase near heliport https://t.co/1PssjOAYtU</t>
  </si>
  <si>
    <t>City steadfast on MLS stadium plan despite billionaire's hotel purchase near heliport https://t.co/F8HibcauWz via @indystar</t>
  </si>
  <si>
    <t>Shari Rudavsky</t>
  </si>
  <si>
    <t>News Editor</t>
  </si>
  <si>
    <t>srudavsky@gannett.com</t>
  </si>
  <si>
    <t>srudavsky</t>
  </si>
  <si>
    <t>Indianapolis</t>
  </si>
  <si>
    <t>News editor @IndyStar. Still hate cutesie Twitter bio descriptions. Still love cats.</t>
  </si>
  <si>
    <t>Health,U.S. Regional</t>
  </si>
  <si>
    <t>The tale of MLS in Indy could be a Netflix series. In the latest episode, billionaire with private chopper business buys hotel near heliport by @AlysaGuffeyNews and @themikemcdaniel  https://t.co/gsXMNNRJ2f via @indystar</t>
  </si>
  <si>
    <t>Alysa Guffey</t>
  </si>
  <si>
    <t>Business Reporter</t>
  </si>
  <si>
    <t>amguffey@gannett.com</t>
  </si>
  <si>
    <t>AlysaGuffeyNews</t>
  </si>
  <si>
    <t>business reporter @indystar. @notredame &amp; @ndsmcobserver alum ☘️ past @chicagotribune @bostonglobe. email me: amguffey@gannett.com</t>
  </si>
  <si>
    <t>Business and Finance,U.S. Regional</t>
  </si>
  <si>
    <t>Accountability may include playing time for Atlanta United https://t.co/hyMIUDs2Wo 
#ATLUTD #MLS</t>
  </si>
  <si>
    <t>Sandra Golden</t>
  </si>
  <si>
    <t>Co-Host, The Steak House</t>
  </si>
  <si>
    <t>sportsandra</t>
  </si>
  <si>
    <t>Sunny Side of the Street</t>
  </si>
  <si>
    <t>Yapping ’bout sports on 92.9 the Game ATL  
❤️CountryMusic,Noles🍢Braves,LakeOconee 
Love my momma,miss my dad 
PanamaCity proud</t>
  </si>
  <si>
    <t>Metro Atlanta,Sports</t>
  </si>
  <si>
    <t>WZGC-FM (Atlanta, GA)</t>
  </si>
  <si>
    <t>Atlanta United unveils its MARTA collection https://t.co/2fK7kXOm1K</t>
  </si>
  <si>
    <t>Tony Katz</t>
  </si>
  <si>
    <t>tony@tonykatz.com</t>
  </si>
  <si>
    <t>tonykatz</t>
  </si>
  <si>
    <t>Indiana, USA</t>
  </si>
  <si>
    <t>There are four lights. Radio Syndication keynetworks.com</t>
  </si>
  <si>
    <t>Eat! Drink! Smoke!,WIBC-FM (Indianapolis, IN)</t>
  </si>
  <si>
    <t>RT @93wibc: Sweetwater’s Chuck Surack Dumps Cold Water On Hogsett’s MLS Stadium Plans via @tonykatz https://t.co/mruHo6P4hg</t>
  </si>
  <si>
    <t>Southern Fried Soccer: Nashville 2, #ATLUTD 0
https://t.co/3j8vNpY7JI</t>
  </si>
  <si>
    <t>Sam Guzman</t>
  </si>
  <si>
    <t>sguzmaniii@ktsm.com</t>
  </si>
  <si>
    <t>SamGuzmanTV</t>
  </si>
  <si>
    <t>Sports Director @KTSMtv | 📧:sguzmaniii@ktsm.com</t>
  </si>
  <si>
    <t>El Paso Locomotive FC suffered a 3-1 loss to Indy Eleven in Indianapolis on Saturday.
 https://t.co/tz0OHjKEyu</t>
  </si>
  <si>
    <t>Atlanta United loses to Nashville, again fails to capitalize on momentum #ATLUTD #MLS  https://t.co/AEed1i89Eu</t>
  </si>
  <si>
    <t>Howard Primer</t>
  </si>
  <si>
    <t>Sports department copy editor</t>
  </si>
  <si>
    <t>HPrimer@News-Herald.com</t>
  </si>
  <si>
    <t>HowardPrimer</t>
  </si>
  <si>
    <t>Willoughby, Ohio</t>
  </si>
  <si>
    <t>News-Herald Sports department copy editor, web updater, layout; Cleveland State graduate</t>
  </si>
  <si>
    <t>RT @newsheraldinoh: Mentor grad Sinisa Ubiparipovic has Cleveland State men’s soccer off to encouraging start
https://t.co/cCfYpb3xXE</t>
  </si>
  <si>
    <t>Sports Writer</t>
  </si>
  <si>
    <t>clillstrung@news-herald.com</t>
  </si>
  <si>
    <t>CLillstrungNH</t>
  </si>
  <si>
    <t>Proud father ... and HS soccer, hockey, swimming and diving and track and field beat writer for The News-Herald since 1999; anti-timeline clogging since 2010.</t>
  </si>
  <si>
    <t>⚽️ I was asked to take a rare dip into college soccer &amp; chatted with 2002 Mentor grad Sinisa Ubiparipovic, who has the Cleveland State men off to a 2-1-2 start including draws vs Akron &amp; Ohio State
So here's that ...
https://t.co/S1qyMySXfb</t>
  </si>
  <si>
    <t>Mark Podolski</t>
  </si>
  <si>
    <t>Sports Editor</t>
  </si>
  <si>
    <t>mpodolski@news-herald.com</t>
  </si>
  <si>
    <t>mpodo</t>
  </si>
  <si>
    <t>Sports Editor of News-Herald in Willoughby and Morning Journal in Lorain; I write about local colleges (John Carroll, others), pop culture, whatever else.</t>
  </si>
  <si>
    <t>RT @NHPreps: Mentor grad Sinisa Ubiparipovic has Cleveland State men’s soccer off to encouraging start https://t.co/ssjGTsTEsu</t>
  </si>
  <si>
    <t>NEW: A key parcel in the city's effort to develop a soccer stadium in downtown Indianapolis has been acquired by a Fort Wayne business owner, who said he hopes the move will dissuade plans to decommission the heliport to make way for the sports facility. https://t.co/e6Bs0bcJoI</t>
  </si>
  <si>
    <t>Managing Editor, Pittsburg Soccer Now</t>
  </si>
  <si>
    <t>pghsoccernow@gmail.com</t>
  </si>
  <si>
    <t>JohnKrysinsky</t>
  </si>
  <si>
    <t>Pittsburgh, PA</t>
  </si>
  <si>
    <t>manage hospital volunteers; journalist/managing editor @pghsoccernow ⚽️; author 'Miracle on the Mon'; host 'Sounding Off on Soccer' podcast | #Knicks #Giants</t>
  </si>
  <si>
    <t>RT @pghsoccernow: Here's @JohnKrysinsky's match preview for @RiverhoundsSC vs @TampaBayRowdies 
#TBRvPIT 
https://t.co/T9twtQz8kb</t>
  </si>
  <si>
    <t>Battery travel to Colorado Springs for interconference clash Saturday https://t.co/mHYtWoopYD @Chas_Battery</t>
  </si>
  <si>
    <t>Battery travel to Colorado Springs for interconference clash Saturday https://t.co/mHYtWoopYD</t>
  </si>
  <si>
    <t>Battery travel to Colorado Springs for interconference clash Saturday https://t.co/mHYtWoopYD  #chs</t>
  </si>
  <si>
    <t>Southern Fried Soccer: Previewing Atlanta United vs. Nashville #ATLUTD #MLS  https://t.co/fhxxMLgTmM</t>
  </si>
  <si>
    <t>Sports Journalist</t>
  </si>
  <si>
    <t>grtorres</t>
  </si>
  <si>
    <t>Katy, TX</t>
  </si>
  <si>
    <t>Brazilian-American sports journalist - Writing volleyball for @volleyballworld, @CEVolleyball &amp; @PDTexas, soccer for @PrepSoccerTX - @ohiou PMSA19</t>
  </si>
  <si>
    <t>prepsoccer.net</t>
  </si>
  <si>
    <t>ECNL Girls Texas Conference U16: Three Midfielders to Watch
@MadsCervantes7 
@Texans09gECNL 
@stingatx_2009 
@BradyBurtnett 
@StingECNL09 
@PrepSoccerTX 
https://t.co/DcrDDcSjOj</t>
  </si>
  <si>
    <t>ECNL Girls Texas Conference U16: Three Outside Backs to Watch
@DilanPistorius 
@StingECNL09 
@Kaymaldo02 
@Challenge09ECNL 
@olivia_piola_09 
@albion09gecnl 
@ECNLgirls 
@PrepSoccerTX 
https://t.co/TvaC6CbcQe https://t.co/z1ceq9urUP</t>
  </si>
  <si>
    <t>Kels Dayton</t>
  </si>
  <si>
    <t>Sports Editor, Writer</t>
  </si>
  <si>
    <t>KelsDayton</t>
  </si>
  <si>
    <t>Sports Editor, Hartford Courant. Written for NBA.com, NBC Sports, SLAM, WTNH-TV, Yahoo! Sports, Sheridan Hoops, RoundballDaily.com. How many letters do I ha</t>
  </si>
  <si>
    <t>Freelance,Hartford Courant</t>
  </si>
  <si>
    <t>No longer a USL bottom-feeder, red-hot Hartford Athletic making surprise playoff push: https://t.co/o6kmGW1BbB</t>
  </si>
  <si>
    <t>Five interesting candidates for Atlanta United’s TD search #ATLUTD #MLS  https://t.co/mq37wm45iG</t>
  </si>
  <si>
    <t>Editor-in-Chief, Host</t>
  </si>
  <si>
    <t>JeremiahOshan</t>
  </si>
  <si>
    <t>Seattle</t>
  </si>
  <si>
    <t>Editor of the best independent soccer blog in MLS @sounderatheart; @NosAudietis host. Tweets are your own.</t>
  </si>
  <si>
    <t>Nos Audietis,Sounder at Heart</t>
  </si>
  <si>
    <t>No one asked me, but I have to think Nichols is among the most likely candidates. I also think if Waibel were offered the job, he’d take it. https://t.co/h3CQZ2ReEQ</t>
  </si>
  <si>
    <t>El Paso Locomotive FC and Detroit City FC played to a 0-0 draw at Southwest University Park on Saturday night.
 https://t.co/WZtjTukeMZ</t>
  </si>
  <si>
    <t>Sports Anchor and Reporter</t>
  </si>
  <si>
    <t>beatriz.martinez@kvia.com</t>
  </si>
  <si>
    <t>beamartinezabc7</t>
  </si>
  <si>
    <t>El Paso, TX</t>
  </si>
  <si>
    <t>Sports Reporter/Anchor @kviaabc7news 🎥 || @cronkite_asu Alum || Chandler, AZ | El Paso, TX 📍</t>
  </si>
  <si>
    <t>After nearly a month of playing on the road the Locomotive returned to Southwest University Park to host Detroit City FC which ended in a scoreless draw. 
https://t.co/kSDgjl5oMF</t>
  </si>
  <si>
    <t>Editor-in-Chief</t>
  </si>
  <si>
    <t>paul@socceramerica.com</t>
  </si>
  <si>
    <t>pkedit</t>
  </si>
  <si>
    <t>Editor in Chief, @SoccerAmerica. 2016 Hall of Fame Colin Jose Media Award recipient. On Ballon d’Or jury since 2007. Proud husband and father. Weeknight cook.</t>
  </si>
  <si>
    <t>Lineup from Alex Morgan's first home game as a pro: WNY Flash — Harris, Riley, Engen, Chapman, Zerboni, Bock (Davison, 78), Edwards (Goebel, 63), Seger, Parker, Sinclair (Morgan, 66), Marta. She scored off the bench in a 3-0 win. Game drew 2,164 fans. https://t.co/PVWMNuqRZW</t>
  </si>
  <si>
    <t>Ryan Metivier</t>
  </si>
  <si>
    <t>Writer and Editor</t>
  </si>
  <si>
    <t>ryan.metivier@xlmedia.com</t>
  </si>
  <si>
    <t>ryanmetivier</t>
  </si>
  <si>
    <t>Canada</t>
  </si>
  <si>
    <t>Comms Professional, Editor, Sports Writer ⚽️🏈🏒 Picked ITA over ENG Euro 2020, ARG for WC 2022. Get the best promos: signupexpert.com/shredthespread</t>
  </si>
  <si>
    <t>Sports Betting Dime (SBD)</t>
  </si>
  <si>
    <t>MLS Week 31 predictions, picks and parlays #MLS #MLSSeasonPass 
New England Revolution vs St. Louis City SC
New York Red Bulls vs SKC
Columbus Crew vs Seattle Sounders
Chicago Fire vs DC United
Houston Dynamo vs LAFC
Vancouver Whitecaps vs FC Dallas
https://t.co/dGMjVYrbGN</t>
  </si>
  <si>
    <t>Southern Fried Soccer: Analyzing Carlos Bocanegra’s time at Atlanta United #ATLUTD #MLS  https://t.co/Lq7rGAi6yS</t>
  </si>
  <si>
    <t>Breaking: Carlos Bocanegra out at Atlanta United https://t.co/q17tnCnvUS 
#ATLUTD #MLS</t>
  </si>
  <si>
    <t>Alexi Lalas</t>
  </si>
  <si>
    <t>Host, Soccer Analyst</t>
  </si>
  <si>
    <t>alexi.lalas@foxsports.com</t>
  </si>
  <si>
    <t>AlexiLalas</t>
  </si>
  <si>
    <t>Los Angeles</t>
  </si>
  <si>
    <t>Soccer Analyst, Slurpee lover &amp; proud ginger. Size the day. @SOTUWithAlexi listen.foxaud.io/alexilalassotu…</t>
  </si>
  <si>
    <t>Alexi Lalas’ State of the Union Podcast,FOX Sports</t>
  </si>
  <si>
    <t>RT @DougRobersonAJC: Breaking: Carlos Bocanegra out at Atlanta United https://t.co/q17tnCnvUS 
#ATLUTD #MLS</t>
  </si>
  <si>
    <t>Breaking: Carlos Bocanegra out at Atlanta United #MLS https://t.co/11PCnEPhet</t>
  </si>
  <si>
    <t>Jonathan Tannenwald</t>
  </si>
  <si>
    <t>Chief Soccer Correspondent</t>
  </si>
  <si>
    <t>jtannenwald@inquirer.com</t>
  </si>
  <si>
    <t>thegoalkeeper</t>
  </si>
  <si>
    <t>Philadelphia, PA</t>
  </si>
  <si>
    <t>Chief soccer correspondent for the @PhillyInquirer. Also on BlueSky and Threads, and I have a Facebook page with all my writing if you’d rather be there.</t>
  </si>
  <si>
    <t>Metro Philadelphia,Sports</t>
  </si>
  <si>
    <t>The Philadelphia Inquirer</t>
  </si>
  <si>
    <t>Laurel Pfahler</t>
  </si>
  <si>
    <t>Founder, Freelance Writer</t>
  </si>
  <si>
    <t>laurelpfahler@gmail.com</t>
  </si>
  <si>
    <t>LaurelPfahler</t>
  </si>
  <si>
    <t>Cincinnati, OH</t>
  </si>
  <si>
    <t>#FCCincy beat writer since 2015 - @QueenCityPress_ since 2020; freelance #Bengals writer @daytondailynews @journalnews @springfieldnews. ✝️ wife, mom, @ohiou🎓</t>
  </si>
  <si>
    <t>Queen City Press,Freelance</t>
  </si>
  <si>
    <t>J. Scott Trubey</t>
  </si>
  <si>
    <t>Economy Editor</t>
  </si>
  <si>
    <t>scott.trubey@ajc.com</t>
  </si>
  <si>
    <t>FitzTrubey</t>
  </si>
  <si>
    <t>Atlanta, Ga.</t>
  </si>
  <si>
    <t>@AJC Economy and environment editor. Tips/complaints: scott.trubey@ajc.com. Cheers!</t>
  </si>
  <si>
    <t>Business and Finance,Metro Atlanta</t>
  </si>
  <si>
    <t>Breaking: Carlos Bocanegra out at Atlanta United https://t.co/A9pdc5UpSw</t>
  </si>
  <si>
    <t>Bob Williams</t>
  </si>
  <si>
    <t>Content Manager, Sports Journalist</t>
  </si>
  <si>
    <t>WilliamsBob75</t>
  </si>
  <si>
    <t>Florida via London and NYC</t>
  </si>
  <si>
    <t>Fifa.com content manager. Formerly @sportbusiness, @telegraph. Views are my own.</t>
  </si>
  <si>
    <t>Business and Finance,Sports</t>
  </si>
  <si>
    <t>FIFA,Freelance</t>
  </si>
  <si>
    <t>2026 World Cup projected to generate more than $500 million from out-of-staters https://t.co/xw1vqWmkkN</t>
  </si>
  <si>
    <t>Being prudent isn’t a bad thing in MLS #ATLUTD #MLS  https://t.co/6YDdfwHrPB</t>
  </si>
  <si>
    <t>Here's a look at weekend action. Resurgent (and soon-to-be-healthy) @FCDallas, @ORLPride vs. @GothamFC, Castellon-bound Nick Markanich's quest for @USLChampionship scoring record, Auston Trusty's first taste of Old Firm. https://t.co/ee0OE1QMS2</t>
  </si>
  <si>
    <t>This weekend's MLS picks and parlays⚽️ #MLS #MLSSeasonPass 
Cincinnati vs Montreal
Chicago vs Miami
Orlando vs Nashville
TFC vs DC
Austin FC vs Vancouver 
RSL vs New England  
Dallas vs Colorado
San Jose vs Minnesota  
St Louis vs LA Galaxy 
https://t.co/fuUEMFO8Cu</t>
  </si>
  <si>
    <t>Weekend Sports Anchor</t>
  </si>
  <si>
    <t>andrew.chernoff@wishtv.com</t>
  </si>
  <si>
    <t>ADChernoff</t>
  </si>
  <si>
    <t>Emmy Award-winning weekend sports anchor @WISHNews8 📺. @SyracuseU 🍊 grad &amp; open-wheel racing 🏁 fan! Follow me on Instagram (@ADChernoff).</t>
  </si>
  <si>
    <t>WNDY-TV (Indianapolis, IN),WISH-TV (Indianapolis, IN)</t>
  </si>
  <si>
    <t>At a high school football game tonight and want to see scores from other games across the state? 🏈
Download the new "All Indiana Sports" app! 👀
#TheZone8 | @WISHNews8 
https://t.co/hsc5ll8clK</t>
  </si>
  <si>
    <t>This is the PERFECT app for you to have on Friday nights! 🏈
#TheZone8 | @WISHNews8 
https://t.co/hsc5ll8clK</t>
  </si>
  <si>
    <t>Want to see updated high school football scores throughout the evening??? 🏈
Download our new @WISHNews8 "All Indiana Sports App." ⬇️
https://t.co/oHSDTMs5HA</t>
  </si>
  <si>
    <t>Want to see high school football scores in real time tonight? Download @WISHNews8's new All Indiana Sports App! #TheZone8 
It's free. 😎
https://t.co/oHSDTMrxS2</t>
  </si>
  <si>
    <t>@PaulZeise Bob Lilley flies under the radar for sure with the @RiverhoundsSC, but his accomplishments cannot be denied and he belongs in conversation with the other professional Head Coaches in Pittsburgh.   
https://t.co/JFcr3ukefb</t>
  </si>
  <si>
    <t>Writer</t>
  </si>
  <si>
    <t>MichaelBattista</t>
  </si>
  <si>
    <t>New Jersey</t>
  </si>
  <si>
    <t>Last @naslofficial intern; Member of @soccerreporters; @TCNJ Class of 18' - Main credits: @usopencup | @hudsonriverblue (Once A Metro expat) | @RdBullNationNYC</t>
  </si>
  <si>
    <t>RT @territoriomlsen: Why the Lamar Hunt U.S. Open Cup is Crucial for MLS Teams 
https://t.co/uJf7I0Z3YU
✍️ @celsoliveira_
#MLS #soccer #…</t>
  </si>
  <si>
    <t>Atlanta United’s Derrick Williams could use some better luck #ATLUTD  https://t.co/6WE9hMNQ4Y</t>
  </si>
  <si>
    <t>STORMING INTO THE FINAL: #SportingKC blanks #IndyEleven in #OpenCup semis - https://t.co/o6WpRZoW7l https://t.co/BwWxtRRmRg</t>
  </si>
  <si>
    <t>RT @Soccerwriter: STORMING INTO THE FINAL: #SportingKC blanks #IndyEleven in #OpenCup semis - https://t.co/o6WpRZoW7l</t>
  </si>
  <si>
    <t>Staff Writer</t>
  </si>
  <si>
    <t>pmaurer@theathletic.com</t>
  </si>
  <si>
    <t>MLSist</t>
  </si>
  <si>
    <t>Staff writer, @theathletic. Writing about American soccer and all of its wild, weird history. Can barely read or write yet "award winning," somehow.</t>
  </si>
  <si>
    <t>Despite its flaws and warts, Leagues Cup soldiered on this year. For many fans, though, it remains a sterile, made-up tourney of little to no value. 
My column, on @TheAthleticFC: https://t.co/c8oIzInsBv</t>
  </si>
  <si>
    <t>Such was importance of #USOC2024 semifinal to @SportingKC that goalscorers Johnny Russell and Danny Rosero were among five starters kept out of 3-0 win over Orlando City in MLS play last weekend.  https://t.co/udQU0BYW2P</t>
  </si>
  <si>
    <t>Scott Chasen</t>
  </si>
  <si>
    <t>Co-Host, The Drive</t>
  </si>
  <si>
    <t>schasen@kcstar.com</t>
  </si>
  <si>
    <t>ChasenScott</t>
  </si>
  <si>
    <t>Kansas City, MO</t>
  </si>
  <si>
    <t>Assistant sports editor for The Kansas City Star. Avid supporter of Halsey, Spurs and soft pretzels. My schnauzer writes all my tweets, so take it up with her.</t>
  </si>
  <si>
    <t>WIBW-TV (Topeka, KS)</t>
  </si>
  <si>
    <t>Hell of a night in Kansas City sports. 
Sporting Kansas City advances to its FIFTH U.S. Open Cup final with a semifinal win over Indy Eleven. 
@sperrydaniel94 has the recap:
https://t.co/eJJgktB5xi</t>
  </si>
  <si>
    <t>Journalist</t>
  </si>
  <si>
    <t>dlsperry94@gmail.com</t>
  </si>
  <si>
    <t>sperrydaniel94</t>
  </si>
  <si>
    <t>Kansas City</t>
  </si>
  <si>
    <t>⚽️ for @KCStar | Nazarene News | he/him | opinions = mine | ✉️ contact: sperry.danielkc@gmail.com</t>
  </si>
  <si>
    <t>"I spoke to the guys (about how) we have to do everything in our power to make sure that this isn’t an upset, that we have to get ourselves to a final. And I thought the performance was deserving of that.”
#SportingKC returns to the US Open Cup Final.
https://t.co/nnaVmshFRA</t>
  </si>
  <si>
    <t>Brian Sciaretta</t>
  </si>
  <si>
    <t>Freelance Sports Writer</t>
  </si>
  <si>
    <t>BrianSciaretta</t>
  </si>
  <si>
    <t>New Jersey, USA</t>
  </si>
  <si>
    <t>Writer at American Soccer Now. Work also appears at The NY Times &amp; Soccer America. Frequent guest on Talksport &amp; SiriusXM. Based in New Jersey. Hoya Saxa</t>
  </si>
  <si>
    <t>Back from a day off, anyway here are my thoughts on everything the past two days over at ASN:
- MLS thoughts
- Open Cup/Canadian Championships
- Tessmann's move to Lyon
- Celtic after Trusty
- John Brooks returns home
- and more
https://t.co/UZbp79ZxAr</t>
  </si>
  <si>
    <t>pgreen@kcstar.com</t>
  </si>
  <si>
    <t>ByPJGreen</t>
  </si>
  <si>
    <t>Kansas City, Missouri</t>
  </si>
  <si>
    <t>Breaking news reporter @KCStar | Savannah, GA born and raised ‼️ @TusculumFB alumnus | RTs 🙅🏾‍♂️ endorsements | Inquiries: pgreen@kcstar.com</t>
  </si>
  <si>
    <t>Sports,U.S.,U.S. Regional</t>
  </si>
  <si>
    <t>RT @SportingKC: An @OpenCup Semifinal Showdown 🏆
🆚 @IndyEleven 
🕖 7PM CT
🖥️ Watch FREE on @AppleTV: https://t.co/eJuQnFAafZ
🎟️: https://t.…</t>
  </si>
  <si>
    <t>RT @opencup: NEW KICK-OFF TIME: 10:44pm ET
@SportingKC v @IndyEleven | #USOC2024 
WATCH on @AppleTV 📺» https://t.co/aOp1MV9XT9</t>
  </si>
  <si>
    <t>Andrew Zimmerman</t>
  </si>
  <si>
    <t>Chief Photographer</t>
  </si>
  <si>
    <t>andrew.zimmerman@fox4kc.com</t>
  </si>
  <si>
    <t>ZimmKC</t>
  </si>
  <si>
    <t>Kansas City Metro</t>
  </si>
  <si>
    <t>Chief Photographer @fox4kc Storyteller. GIF lover. Self proclaimed foodie. IU grad &amp; KC fanatic.</t>
  </si>
  <si>
    <t>Rob Collins</t>
  </si>
  <si>
    <t>rob.collins@fox4kc.com</t>
  </si>
  <si>
    <t>RobCollinsTV</t>
  </si>
  <si>
    <t>Emmy Winning Sports Director- FOX4 Kansas City. Facebook: Rob Collins FOX4, Instagram: RobCollinsTV. John: 3:16  🇺🇸    email: rob.collins@fox4kc.com</t>
  </si>
  <si>
    <t>RT @SportingKC: Jake ➡️ Johnny ➡️ GOAL
Watch #SKCvIND FREE on #MLSSeasonPass on @AppleTV: https://t.co/eJuQnFAafZ https://t.co/9qcD8bHFPg</t>
  </si>
  <si>
    <t>RT @SportingKC: DANY ROSERO MAKES IT TWO✌️
Watch #SKCvIND FREE on #MLSSeasonPass on @AppleTV: https://t.co/eJuQnFAafZ https://t.co/xZYETLo…</t>
  </si>
  <si>
    <t>Heidi Schmidt</t>
  </si>
  <si>
    <t>Content Creator</t>
  </si>
  <si>
    <t>heidi.schmidt@kctv5.com</t>
  </si>
  <si>
    <t>HeidisView</t>
  </si>
  <si>
    <t>Content Creator @KCTV5, former FOX4 Crime Files podcast writer ClaimedBaggage.com travel Jayhawks, Chiefs, Royals Fanatic</t>
  </si>
  <si>
    <t>Harold Kuntz</t>
  </si>
  <si>
    <t>harold.kuntz@fox4kc.com</t>
  </si>
  <si>
    <t>HaroldRKuntz3</t>
  </si>
  <si>
    <t>Sports Anchor @fox4kc - Adjunct Prof., @avilauniversity; Pres @kcabj1981 - former @newson6 @dcnewsnow, Award-Winning, Emmy-Nominated</t>
  </si>
  <si>
    <t>Arts and Entertainment,Sports,U.S.,U.S. Regional</t>
  </si>
  <si>
    <t>Nathan Pace</t>
  </si>
  <si>
    <t>NPaceSports</t>
  </si>
  <si>
    <t>Nappanee, IN</t>
  </si>
  <si>
    <t>Sports writer for Mail-Journal covering Wawasee.  God laughs at my plans.</t>
  </si>
  <si>
    <t>The Mail-Journal</t>
  </si>
  <si>
    <t>Chandler Watkins</t>
  </si>
  <si>
    <t>chandler.watkins@kctv5.com</t>
  </si>
  <si>
    <t>CWatkinsNews</t>
  </si>
  <si>
    <t>Reporter/MMJ for @KCTV5 • RTs≠Endorsements</t>
  </si>
  <si>
    <t>U.S.</t>
  </si>
  <si>
    <t>Victor Araiza</t>
  </si>
  <si>
    <t>Soccer Journalist</t>
  </si>
  <si>
    <t>victor@ptsmedia.com</t>
  </si>
  <si>
    <t>victoraraiza</t>
  </si>
  <si>
    <t>Houston, Texas</t>
  </si>
  <si>
    <t>Houstonian. Writer/Editor for Concacaf.com. Journalist @DeportesNation @SoccerTejas. Opinions are my own.</t>
  </si>
  <si>
    <t>spencer@choosesam.com</t>
  </si>
  <si>
    <t>choosesam</t>
  </si>
  <si>
    <t>North Carolina</t>
  </si>
  <si>
    <t>Urban planner. Transit nerd. Public servant. Writes about Football ⚽. Union Berlin Mitglied, Dons Trust Member. Views my own. He/Er 🏳️‍🌈</t>
  </si>
  <si>
    <t>Contributor</t>
  </si>
  <si>
    <t>Patrik@sportingkc.com</t>
  </si>
  <si>
    <t>pbergabo</t>
  </si>
  <si>
    <t>Kansas City, Mo.</t>
  </si>
  <si>
    <t>#SportingKC Press Officer.  Stockholm born, London raised.</t>
  </si>
  <si>
    <t>"Great moments are born from great opportunity."
#LAFC, #SportingKC, Seattle Sounders, and Indy Eleven take the field in the #USOC2024 semifinals. In their own ways, each team is looking to make history.
Read Open Cup Digest #7 on @hudsonriverblue: https://t.co/lKxzJT0dOc https://t.co/CIK5fBfDIQ</t>
  </si>
  <si>
    <t>ehanson@gannett.com</t>
  </si>
  <si>
    <t>EthanAHanson</t>
  </si>
  <si>
    <t>Lafayette, IN</t>
  </si>
  <si>
    <t>Sports Reporter for @jconline covering @PurdueWBB and Preps. Autism spectrum and proud of it. Occasional anthem singer.</t>
  </si>
  <si>
    <t>STORY: Faith Christian midfielder Hannah Bolton leaned into her family's experience when faced with her own injury struggles. #boilercountryscores  https://t.co/aFL7DtVLGk</t>
  </si>
  <si>
    <t>The 2024 run by @IndyEleven is no surprise as first-year head coach Sean McAuley is working with one of the most experienced @USLChampionship teams ever assembled. #USOC2024 https://t.co/PVebI0AsDn</t>
  </si>
  <si>
    <t>Tonight is the night! @IndyEleven faces @SportingKC in the @opencup semifinals at 8 p.m. EDT. ⚽️
https://t.co/QjIOQln54R</t>
  </si>
  <si>
    <t>Jeff Rosen</t>
  </si>
  <si>
    <t>jrosen@kcstar.com</t>
  </si>
  <si>
    <t>jeff_rosen88</t>
  </si>
  <si>
    <t>Sports editor of @KCStar. Sea-town native, H-town ex, lover of Kansas City. Former president of @APSE_sportmedia. †</t>
  </si>
  <si>
    <t>Why Sporting KC is treating Tuesday’s U.S. Open Cup semifinal match like a final, via @sperrydaniel94 ...
https://t.co/9LYVPb86iw</t>
  </si>
  <si>
    <t>Gregg Doyel</t>
  </si>
  <si>
    <t>gregg.doyel@indystar.com</t>
  </si>
  <si>
    <t>GreggDoyelStar</t>
  </si>
  <si>
    <t>AND STILL columnist @IndyStarSports🏆❤️my 🐶Cap. Retired pro dog-walker. #ColumnComing. Lean not✝️</t>
  </si>
  <si>
    <t>The Indy Eleven and local phenom Logan Neidlinger, 18, play Tuesday in the Open Cup semis vs. Sporting KC of MLS. It’s merely the biggest game in franchise history … and then Logan has a decision to make:
Stay with the Eleven, or - scoop! - play for IU? https://t.co/ayWlmUkhH0</t>
  </si>
  <si>
    <t>The Indy Eleven and local phenom Logan Neidlinger play Sporting KC of MLS on Tuesday in the Open Cup semis. It’s the biggest game in franchise history - and then Logan has a decision to make:
Stay with the Eleven … or play for ⁦@IndianaMSOC⁩? https://t.co/ayWlmUkhH0</t>
  </si>
  <si>
    <t>Reporter, Golden Knights</t>
  </si>
  <si>
    <t>DannyWebster21</t>
  </si>
  <si>
    <t>Las Vegas</t>
  </si>
  <si>
    <t>Covering the Golden Knights and the NHL for @reviewjournal | @ThePHWA member | Average sports writer, decent gamer</t>
  </si>
  <si>
    <t>Like most in England, Charlie Adams grew up with hopes of playing in the Premier League.
That didn’t go as planned. His soccer journey has taken him to the likes of Louisville, Salt Lake City and now Las Vegas.
“I’m so happy to be here.”
Story:
https://t.co/nrbkyeyDHD</t>
  </si>
  <si>
    <t>The opening moments of #SportingKC's 3-0 win set the stage for the intensity that would lead them to a 3-0 win, despite being down to 10 men for 30+ minutes.
Sporting didn't allow a shot on target after the 4th minute. 
https://t.co/m5i9CYqZ8s</t>
  </si>
  <si>
    <t>Southern Fried Soccer: Previewing Atlanta United at L.A. Galaxy #ATLUTD #MLS  https://t.co/ZPuXs1GR6H</t>
  </si>
  <si>
    <t>Southern Fried Soccer: Previewing Atlanta United at L.A. Galaxy https://t.co/HZtHZpZN6S 
#ATLUTD</t>
  </si>
  <si>
    <t>Alexey Miranchuk integrating well into Atlanta United https://t.co/ltiMrhmUNq</t>
  </si>
  <si>
    <t>Atlanta United’s Dax McCarty talks about retirement #ATLUTD  https://t.co/9xBEW4y4ci</t>
  </si>
  <si>
    <t>Atlanta United’s Alexey Miranchuk says he will help team score goals…and he loves hip-hop #ATLUTD #MLS  https://t.co/vxZeyxkAYy</t>
  </si>
  <si>
    <t>Atlanta United used time off to ‘100%’ get better #ATLUTD #MLS  https://t.co/S6H567WTGZ</t>
  </si>
  <si>
    <t>New logo unveiled for Arthur M. Blank National Training Center https://t.co/lBBcf7OH1r 
#USSF #Atlanta</t>
  </si>
  <si>
    <t>Top 50 boys soccer players to atch in the Lafayette area. 
#boilercountryscores https://t.co/fSdMscx8Pt</t>
  </si>
  <si>
    <t>KU Hoops and Football Reporter</t>
  </si>
  <si>
    <t>sladdha@kcstar.com</t>
  </si>
  <si>
    <t>shre98</t>
  </si>
  <si>
    <t xml:space="preserve">BET ON YOURSELF </t>
  </si>
  <si>
    <t>KU Hoops and Football reporter for the @KCStar. Proud @AAJA Member. UGA Alum.</t>
  </si>
  <si>
    <t>The last time Children’s Mercy Park hosted a football game — American football, that is — was in 2017.
On Aug. 27 the stadium hosts the US. Open Cup soccer match, 48 hours later #KUfball has its opener. 
In those 48 hours, the stadium will transform. 
https://t.co/myGH6Mmfml</t>
  </si>
  <si>
    <t>I asked Josh Blackford, the stadium general manager, about what CMP will feel like for #KUfball fans and attendees.
https://t.co/rWAoeqwNJC https://t.co/V02edPZy3M</t>
  </si>
  <si>
    <t>Southern Fried Soccer: What happened with Atlanta United’s transfers? #ATLUTD #MLS  https://t.co/Hg20x5HWGa</t>
  </si>
  <si>
    <t>Freelance Football Journalist and Analyst</t>
  </si>
  <si>
    <t>shelatneel@gmail.com</t>
  </si>
  <si>
    <t>ShelatNeel</t>
  </si>
  <si>
    <t>Doha, Qatar</t>
  </si>
  <si>
    <t>Missionary of the religion of football
Freelance Journalist/Analyst ft Al Jazeera, Forbes.com, Analytics FC, FotMob, World Soccer, The Blizzard &amp; more</t>
  </si>
  <si>
    <t>It's an exciting time for WoSo in the US as the USL Super League is set to kick off as the country's second professional D1 competition. Here's a quick preview with details about the format and each of the teams for @ForbesSports:
https://t.co/0oDCHRefE8</t>
  </si>
  <si>
    <t>The USL Super League kicks off today, and I for one am very excited. A bit on the league as well as all eight teams in my latest for @ForbesSports:
https://t.co/0oDCHRefE8</t>
  </si>
  <si>
    <t>Bhaenchen@gannett.com</t>
  </si>
  <si>
    <t>Brian_Haenchen</t>
  </si>
  <si>
    <t>writer of sports + occasional podcaster (YouTube.com/@IndyStarHank) for @IndyStar / @IndyStarSports • St. Louis native • seasonally spooky 👻, always #VeryAsian</t>
  </si>
  <si>
    <t>Almost to Saturday, folks! Here is this year’s preseason ALL-USA girls soccer Super Team: https://t.co/b4TzskqgXD https://t.co/7kppGYpdAb</t>
  </si>
  <si>
    <t>Central Indiana soccer Super Teams are live!
Boys: https://t.co/y6MrzTN6LW
Girls: https://t.co/b4TzskqONb https://t.co/onMwS8mDn3</t>
  </si>
  <si>
    <t>Scott Horner</t>
  </si>
  <si>
    <t>Sports Producer</t>
  </si>
  <si>
    <t>shorner@gannett.com</t>
  </si>
  <si>
    <t>ScottEHorner</t>
  </si>
  <si>
    <t>Various functions for @IndyStarSports</t>
  </si>
  <si>
    <t>⚽️ Meet the area's best girls players ⚽️
@HSEAthletics @SochackiReese @MeredithTippner @QuakerSports @AbbyBeasley2025 @KylieBrandes @carmelathletics @AtleyPittman @sadie_black10 @mia01244718 @BellaWyatt_ @oliviaeaton0 
https://t.co/vQGHIvIht7</t>
  </si>
  <si>
    <t>Matthew Glenesk</t>
  </si>
  <si>
    <t>Sports Content Coach</t>
  </si>
  <si>
    <t>matthew.glenesk@indystar.com</t>
  </si>
  <si>
    <t>MattGlenesk</t>
  </si>
  <si>
    <t>Carmel, IN</t>
  </si>
  <si>
    <t>Often mistaken for Rick Moranis. When I'm not shrinking my two kids, I'm a sports editor (Pacers, Fever, high schools) for @indystarsports. #COYS</t>
  </si>
  <si>
    <t>RT @Brian_Haenchen: Central Indiana soccer Super Teams are live!
Boys: https://t.co/y6MrzTN6LW
Girls: https://t.co/b4TzskqONb https://t.c…</t>
  </si>
  <si>
    <t>Larry Vaught</t>
  </si>
  <si>
    <t>Columnist, Vaughts' Views</t>
  </si>
  <si>
    <t>vaughtsviews</t>
  </si>
  <si>
    <t>Danville, KY</t>
  </si>
  <si>
    <t>Column 30 papers/website, WPBK-FM show host, UK sports minute on radio stations for Edge Media, WLAP Sunday Morning Sports,  Feature writer for Tops magazine</t>
  </si>
  <si>
    <t>The USL Championship is expected to have 26 teams competing in the 2025 season. https://t.co/Ji83yiQh6H</t>
  </si>
  <si>
    <t>Van Tate</t>
  </si>
  <si>
    <t>van.tate@krqe.com</t>
  </si>
  <si>
    <t>krqesports</t>
  </si>
  <si>
    <t>Albuquerque, NM</t>
  </si>
  <si>
    <t>Sports coverage from KRQE.com and KRQE News 13.</t>
  </si>
  <si>
    <t>lkhoward@wkyt.com</t>
  </si>
  <si>
    <t>HowardWKYT</t>
  </si>
  <si>
    <t>Lexington, KY</t>
  </si>
  <si>
    <t>Sports Anchor/Reporter for CBS in Lexington Ky. I went pro in something other than sports, but I still get paid to talk about them! Christian.Husband.Father</t>
  </si>
  <si>
    <t>Lexington Sporting Club to join USL Championship for 2025 season https://t.co/ZtwdMeAfkc</t>
  </si>
  <si>
    <t>Harry Austin</t>
  </si>
  <si>
    <t>ramincol</t>
  </si>
  <si>
    <t>San Antonio, TX</t>
  </si>
  <si>
    <t>Fan of @Broncos, @SanAntonioFC @ASFCofficial @NUFC
Co Host @SATXSoccer  @SAFCFanCast
Co Host @TexasRingofFire 
Huge fan/listener of Soccer Podcasts</t>
  </si>
  <si>
    <t>SA Soccer</t>
  </si>
  <si>
    <t>RT @IHate_Your_Club: 🚨POWER RANKINGS🚨
USLC WEEK 23 
WHY DO GOOD THINGS HAPPEN TO BAD PEOPLE?! 
https://t.co/HWMc5dXIzl</t>
  </si>
  <si>
    <t>What are odds on Atlanta United adding another player? #ATLUTD #MLS  https://t.co/mv3CvmiQmv</t>
  </si>
  <si>
    <t>Rob Usry</t>
  </si>
  <si>
    <t>Managing Editor</t>
  </si>
  <si>
    <t>usryrob@gmail.com</t>
  </si>
  <si>
    <t>RobUsry</t>
  </si>
  <si>
    <t>Augusta, GA</t>
  </si>
  <si>
    <t>Managing Editor of @FiveStripeFinal</t>
  </si>
  <si>
    <t>Five Stripe Final</t>
  </si>
  <si>
    <t>RT @DougRobersonAJC: What are odds on Atlanta United adding another player? #ATLUTD #MLS  https://t.co/mv3CvmiQmv</t>
  </si>
  <si>
    <t>On April 27, the @lvlightsfc were coming off a 6-0 loss with another long season in sight.
An 11-match unbeaten streak has the club eyeing its first ever playoff berth with plenty of room left for growth.
Story:
https://t.co/7dQ7HMxBQ3</t>
  </si>
  <si>
    <t>James Adams</t>
  </si>
  <si>
    <t>Producer</t>
  </si>
  <si>
    <t>james.adams@radio-one.com</t>
  </si>
  <si>
    <t>JamesARadio</t>
  </si>
  <si>
    <t>Hoosier, Colts and Pacers Fan, Producer for The Ride With JMV @jmv1070 on @1075thefan in Indianapolis.</t>
  </si>
  <si>
    <t>Now might be a good time to re-visit the conversation @gregrakestraw had with native Hoosier and presumably @theJCook's new favorite player @carsonsteele30 from this past week.
https://t.co/a2sFGc1sut</t>
  </si>
  <si>
    <t>Battery host Memphis Tonight at Patriots Point https://t.co/PYWXEeDRv6 @Chas_Battery</t>
  </si>
  <si>
    <t>Host, Writer</t>
  </si>
  <si>
    <t>ldock93</t>
  </si>
  <si>
    <t>Southaven, MS</t>
  </si>
  <si>
    <t>Soccer Referee since 2006; New writer for @Beyondthe_90; Host of @901SoccerPod since 2019, with @BluffCity_Media since 2023  Member of @SoccerReporters</t>
  </si>
  <si>
    <t>WorldSoccerTalk.com,901 Soccer Podcast</t>
  </si>
  <si>
    <t>Memphis 901 FC is on the road against the Charleston Battery and I wrote a preview for @BluffCity_Media
https://t.co/2d1HTsp2kN?</t>
  </si>
  <si>
    <t>Happy Thursday! We’ve reached the final position group that needs previewing. I’m writing, of course, about the forwards.
Here are some standout Central Indiana strikers to know.
Boys: https://t.co/CsIFN6JQO2
Girls: https://t.co/CGK3QdMcjh https://t.co/uaRX0hrMUp</t>
  </si>
  <si>
    <t>Mark Treinen</t>
  </si>
  <si>
    <t>Editor</t>
  </si>
  <si>
    <t>mtreinen@captimes.com</t>
  </si>
  <si>
    <t>MarkTreinen</t>
  </si>
  <si>
    <t>Madison, WI</t>
  </si>
  <si>
    <t>Editor, The Capital Times. Formerly, Green Bay Press-Gazette, Wausau Daily Herald, USA TODAY Network-Wisconsin. Local news junkie. Dad-like. he/his</t>
  </si>
  <si>
    <t>Here’s why Madison soccer fans have a national reputation, https://t.co/eh4I1V0oEm?</t>
  </si>
  <si>
    <t>dbenbow@indystar.com</t>
  </si>
  <si>
    <t>DanaBenbow</t>
  </si>
  <si>
    <t>Sports Writer @IndyStarSports @IndyStar www.indystar.com/staff/2684006001/dana-hunsinger-benbow/</t>
  </si>
  <si>
    <t>Health,Sports,U.S. Regional</t>
  </si>
  <si>
    <t>Grab a Mike, Mikey, Michael, Mykal… anybody with a first, middle or last name variation of Mike and come to the Indy Eleven game Wednesday and break a Guinness World record. A photo of all Mikes will be taken after the match. ⁦via ⁦@indystar⁩  https://t.co/UryUmiLzKu</t>
  </si>
  <si>
    <t>In early August, w/ Hounds sitting on 25 pts w/ 12 matches left, I concluded that they needed between 46-50 pts to get over @USLChampionship Eastern Conf playoff line 
let's see how they're doing (a thread to follow) 
@pghsoccernow 
https://t.co/DN9NFPhpEX</t>
  </si>
  <si>
    <t>zach irwin</t>
  </si>
  <si>
    <t>Associate Producer and Video Editor</t>
  </si>
  <si>
    <t>zachirwin</t>
  </si>
  <si>
    <t>Kennesaw, Georgia</t>
  </si>
  <si>
    <t>I'm an Associate Producer and video editor for @CourtTv. I’m a @Cronkite_ASU Graduate. I ❤️@suns @chargers @padres @nhl @thesundevils</t>
  </si>
  <si>
    <t>Court TV</t>
  </si>
  <si>
    <t>RT @ajc: Atlanta United knocked out of Leagues Cup by Santos Laguna https://t.co/3vKuTAqWa4</t>
  </si>
  <si>
    <t>#ATLUTD knocked out by Santos Laguna, updated with quotes from Valentino and scathing remarks by McCarty
https://t.co/D9dRHOxmN2</t>
  </si>
  <si>
    <t>Sheffield Wednesday Journalist</t>
  </si>
  <si>
    <t>Joe.crann@jpimedia.co.uk</t>
  </si>
  <si>
    <t>YesWeCrann</t>
  </si>
  <si>
    <t>Johannesburg, South Africa</t>
  </si>
  <si>
    <t>Yorkshireman, Sheffield Wednesday journalist for The Star. Author, travel fanatic and South African adoptee. Views are my own... #SWFC</t>
  </si>
  <si>
    <t>Sports,United Kingdom</t>
  </si>
  <si>
    <t>Tracked down a man that played a huge role in Liam Palmer’s step up from academy football to senior level at #SWFC…
Sean McAuley says he always knew that Wednesday’s Swiss army knife was going to make it, here he explains why: https://t.co/ncLZFIlSr9 🦉⚽️</t>
  </si>
  <si>
    <t>Battery blast Indy 5-0 at Patriots Point, five different players score https://t.co/8lyShvmMx0 @Chas_Battery</t>
  </si>
  <si>
    <t>Battery blast Indy 5-0 at Patriots Point, five different players score https://t.co/8lyShvnkmy</t>
  </si>
  <si>
    <t>Info to know: Atlanta United vs. Santos Laguna #ATLUTD  https://t.co/DtFnGEHhzh</t>
  </si>
  <si>
    <t>Atlanta United’s Ronald Hernandez suffers MCL sprain #ATLUTD  https://t.co/W3AhIJT1ga</t>
  </si>
  <si>
    <t>Emma Hayes on #USWNT rotation, or lack thereof: "Minimal changes give you a better chance to build the creativity." https://t.co/bfDyy8vI5W</t>
  </si>
  <si>
    <t>Here's how @LeaguesCup stands ahead of final matchday of group play:
-- 17 teams have clinched berths in round of 32;
-- 5 teams (3 MLS, 2 Liga MX) have been eliminated (long layoffs ahead!);
-- 7 other Liga MX teams head into final matches in last place.
https://t.co/bfDyy8vI5W</t>
  </si>
  <si>
    <t>Expansion @RhodeIslandFC is the hottest team in the @USLChampionship. Don't bet against RIFC in Saturday's @CBS game against @DetroitCityFC. It's undefeated against repeat opponents. (Its last loss was to DCFC on June 8.) https://t.co/bfDyy8vI5W</t>
  </si>
  <si>
    <t>Executive Editor</t>
  </si>
  <si>
    <t>mike@socceramerica.com</t>
  </si>
  <si>
    <t>MikeWoitalla</t>
  </si>
  <si>
    <t>Oakland, Calif.</t>
  </si>
  <si>
    <t>Executive Editor of @SoccerAmerica, coach, ref and soccer dad.</t>
  </si>
  <si>
    <t>Arts and Entertainment,Sports,U.S.</t>
  </si>
  <si>
    <t>Lots to choose from on the @socceramerica "American Soccer Weekend" menu this Saturday and Sunday after the #USWNT Olympic game, including:
7-game unbeaten @RhodeIslandFC vs. @DetroitCityFC on CBS at 4 PM ET
#USLonCBS Saturday
🔗 https://t.co/OPKinjaTe7 https://t.co/KEqmXvHEyU</t>
  </si>
  <si>
    <t>Ken Fang</t>
  </si>
  <si>
    <t>Associate Editor</t>
  </si>
  <si>
    <t>fangsbites</t>
  </si>
  <si>
    <t>RI, USA</t>
  </si>
  <si>
    <t>Taiwanese-American. #VeryAsian. @aaja, Fang's Bites, Associate Editor @awfulannouncing, contributor to @thecomeback. IG: fangsbites. he/him RIP, Sampson</t>
  </si>
  <si>
    <t>TV and Streaming Viewing Picks for August 2, 2024: how to watch Olympic 3×3 basketball https://t.co/iyk8h6QAJV https://t.co/G8UReXShFh</t>
  </si>
  <si>
    <t>Charleston Battery Acquire Jay Chapman, Christian Garner on Loan https://t.co/TN5mRF8pN1 @Chas_Battery</t>
  </si>
  <si>
    <t>Charleston Battery Acquire Jay Chapman, Christian Garner on Loan https://t.co/TN5mRF7RXt</t>
  </si>
  <si>
    <t>Southern Fried Soccer: Atlanta United adds a DP and Chelsea talks Caleb Wiley https://t.co/viwO0m3kdn 
#ATLUTD  #MLS #Chelsea</t>
  </si>
  <si>
    <t>RT @indystar: Property owners might be 'red card' for downtown soccer stadium at heart of MLS franchise bid https://t.co/uFkYl82amW</t>
  </si>
  <si>
    <t>Property owners might be 'red card' for downtown soccer stadium at heart of MLS franchise bid https://t.co/dDMa864ohW via @indystar</t>
  </si>
  <si>
    <t>ICYMI -- Property owners might be 'red card' for downtown soccer stadium at heart of MLS franchise bid https://t.co/dDMa864ohW via @indystar</t>
  </si>
  <si>
    <t>In case you missed this yesterday from @AllyBurris  Property owners might be 'red card' for downtown soccer stadium at heart of MLS franchise bid https://t.co/dDMa864ohW via @indystar</t>
  </si>
  <si>
    <t>Investigative Reporter</t>
  </si>
  <si>
    <t>aburris@gannett.com</t>
  </si>
  <si>
    <t>AllyBurris</t>
  </si>
  <si>
    <t>For news tips, contact me at aburris@gannett.com</t>
  </si>
  <si>
    <t>Property owners might be 'red card' for downtown soccer stadium at heart of MLS franchise bid https://t.co/wVKkM0dzwo via @indystar</t>
  </si>
  <si>
    <t>RT @AllyBurris: Property owners might be 'red card' for downtown soccer stadium at heart of MLS franchise bid https://t.co/wVKkM0dzwo via @…</t>
  </si>
  <si>
    <t>Tony Cook</t>
  </si>
  <si>
    <t>tony.cook@indystar.com</t>
  </si>
  <si>
    <t>indystartony</t>
  </si>
  <si>
    <t>Investigative reporter @IndyStar. "The country I come from is called the Midwest." Cincy native. Alum: Purdue MFA, Las Vegas Sun, Toledo Blade.</t>
  </si>
  <si>
    <t>Crime and Justice,Politics,U.S. Regional</t>
  </si>
  <si>
    <t>The latest on property acquisition efforts around the city's preferred site for a potential MLS stadium... https://t.co/SyjvaE761T via @AllyBurris and Daryl Perry</t>
  </si>
  <si>
    <t>Senior Government Accountability Reporter</t>
  </si>
  <si>
    <t>hcolombo@indystar.com</t>
  </si>
  <si>
    <t>hayleighcolombo</t>
  </si>
  <si>
    <t>IndyStar's senior government accountability reporter. Proud @butleru alum. Tips and feedback welcome at hcolombo@indystar.com.</t>
  </si>
  <si>
    <t>paul.kendrick@nationalworld.com</t>
  </si>
  <si>
    <t>PKendrickWIG</t>
  </si>
  <si>
    <t>Wigan</t>
  </si>
  <si>
    <t>Wiganer. Deputy sports editor Wigan Observer/Post/@WigToday. Ex-@PASport. Husband, dad of 3 little boys, 1 of whom has NKH. Pls follow @josephsgoal 🙏 Views own</t>
  </si>
  <si>
    <t>Wigan Today,Wigan Evening Post</t>
  </si>
  <si>
    <t>Managerial movement as expected...Shaun Maloney has his off-field team in place... #wafc
https://t.co/OSmpxhRjya</t>
  </si>
  <si>
    <t>#ATLUTD signs Russian playmaker as DP
https://t.co/0dfQ1o0xiT
#MLS</t>
  </si>
  <si>
    <t>Starting high school sports coverage for 2024-25 with this, 24 Central Indiana things (names, teams, events, etc.) to know for the 2024 @IHSAA1 girls sports season. https://t.co/3JAKwQ6Ts8 https://t.co/h6gxKNYMZZ</t>
  </si>
  <si>
    <t>Three from the 24for24 to get us rolling: Addi Kooi of @rocksathletics / @LadyRocksGolf, @kenziekoch35 of @ehroyals / @ehladyroyalbb and Libby Dowty of @ICHSAthletics.
A table-setter for the 2024 part of the upcoming high school sports season: https://t.co/3JAKwQ6lCA https://t.co/53xs1nFNCt</t>
  </si>
  <si>
    <t>Kyle Neddenriep</t>
  </si>
  <si>
    <t>High School Sports Reporter</t>
  </si>
  <si>
    <t>kyle.neddenriep@indystar.com</t>
  </si>
  <si>
    <t>KyleNeddenriep</t>
  </si>
  <si>
    <t>High school sports reporter for the Indianapolis Star. Part-time rec basketball player, full-time dad of two sons. Email: kyle.neddenriep@indystar.com</t>
  </si>
  <si>
    <t>Insider: 24 things to know for 2024 Indiana high school girls sports seasons https://t.co/7LQ2lOmr6v via @Brian_Haenchen</t>
  </si>
  <si>
    <t>Anthony Calhoun</t>
  </si>
  <si>
    <t>Lead Sports Anchor</t>
  </si>
  <si>
    <t>anthony.calhoun@wishtv.com</t>
  </si>
  <si>
    <t>ACwishtv</t>
  </si>
  <si>
    <t>WISH-TV Sports Anchor | @SyracuseU alum🍊 | Emmy Winner | AC Golf Classic has raised over $4 million for inner city education in Indianapolis</t>
  </si>
  <si>
    <t>INDY SPORTS FANS 
YOU need this app 💯
🚨Download👇🏾
https://t.co/X9PlPegAmW
@WISHNews8 https://t.co/RzfXwTRCXm</t>
  </si>
  <si>
    <t>RT @ACwishtv: INDY SPORTS FANS 
YOU need this app 💯
🚨Download👇🏾
https://t.co/X9PlPegAmW
@WISHNews8 https://t.co/RzfXwTRCXm</t>
  </si>
  <si>
    <t>Jeremy Jenkins</t>
  </si>
  <si>
    <t>Daybreak Anchor</t>
  </si>
  <si>
    <t>jeremy.jenkins@wishtv.com</t>
  </si>
  <si>
    <t>JeremyWishTV</t>
  </si>
  <si>
    <t>☀️ Your AM bestie on @WISHNews8 Daybreak
🏆 3X Emmy-nominated &amp; still humble (kinda)
📺 M–F | 4–6am + 8–10am
📍Indy | Real News, Real Fun and Real Early</t>
  </si>
  <si>
    <t>angela.moryan@wishtv.com</t>
  </si>
  <si>
    <t>AngelaMoryanTV</t>
  </si>
  <si>
    <t>@WISHNews8 Sports Anchor/Reporter 📺 Saved by Grace 🕊️ Proud Soldier's Daughter 🇺🇸 Emmy Winner 🏆 Sometimes seen teaching at @IUIndianapolis</t>
  </si>
  <si>
    <t>Chris Williamson</t>
  </si>
  <si>
    <t>chriswilliamson4437@gmail.com</t>
  </si>
  <si>
    <t>CWilliamson44</t>
  </si>
  <si>
    <t>Emmy-nominated Sportscaster. I tell stories about sports and politics RT don’t equal endorsements</t>
  </si>
  <si>
    <t>Politics,Sports</t>
  </si>
  <si>
    <t>Kevin Bowen</t>
  </si>
  <si>
    <t>Host, Morning Co-Host</t>
  </si>
  <si>
    <t>Kevin@1075thefan.com</t>
  </si>
  <si>
    <t>KBowen1070</t>
  </si>
  <si>
    <t>Radio host @MorningShow1075. Content producer @1075TheFan. TV @WISH_TV. Covered Colts since ‘11. Teach @IndianaUniv. Email: Kevin@1075thefan.com</t>
  </si>
  <si>
    <t>Kevin's Corner Podcast,WFNI-AM (Indianapolis, IN)</t>
  </si>
  <si>
    <t>10-man Battery fall 4-2 to Tampa Bay https://t.co/FYRyqe0H3d</t>
  </si>
  <si>
    <t>barry.lewis@tulsaworld.com</t>
  </si>
  <si>
    <t>BarryLewisTW</t>
  </si>
  <si>
    <t>Tulsa</t>
  </si>
  <si>
    <t>College and high school sports editor for the Tulsa World, also covering local pro sports.</t>
  </si>
  <si>
    <t>If defense wins championships, @FCTulsa could be a title contender. #TULvIND https://t.co/Qu6oQoPFRe</t>
  </si>
  <si>
    <t>Battery travel to Florida for Rowdies match on Saturday https://t.co/BKBJTaFXBT @Chas_Battery</t>
  </si>
  <si>
    <t>Battery travel to Florida for Rowdies match on Saturday https://t.co/BKBJTaFpMl</t>
  </si>
  <si>
    <t>Freelance Sports Writer, Student</t>
  </si>
  <si>
    <t>heinrichdylan627@gmail.com</t>
  </si>
  <si>
    <t>dylanrheinrich</t>
  </si>
  <si>
    <t>Fort Collins to Columbia</t>
  </si>
  <si>
    <t>@RockMNation WBB/SOC/SB | Mizzou Student Media General Manager | 2024-25 @TheManeater Staff Member of the Year | 2023-24 MSM Writer of the Year</t>
  </si>
  <si>
    <t>With two returners and a Power-4 transfer, the #Mizzou soccer goalkeeping room is chalk full of experience. 
However, there is a clear No. 1 in the depth chart. Read about the three players charged with defending the net for the Tigers.
@RockMNation 
https://t.co/r9zpZBrcaM</t>
  </si>
  <si>
    <t>Briggs: I still think MLS is coming to Indianapolis https://t.co/wbK5AK0MeH via @indystar</t>
  </si>
  <si>
    <t>Indianapolis has been moving with unprecedented speed toward applying for an MLS expansion club, which makes the commissioner’s sudden hesitancy sound discouraging.
But our ⁦@JamesEBriggs⁩ still thinks Indy will get a team. https://t.co/thUsqQ8Ync</t>
  </si>
  <si>
    <t>I agree with @JamesEBriggs here. It’s a matter of when, not if — unless Indy being used to leverage Tampa/Detroit/etc., but seems unlikely. The World Cup creates an interesting wrinkle timing-wise (interest skyrockets, already steep expansion fee jumps). 
https://t.co/UwY1LFmm4P</t>
  </si>
  <si>
    <t>FC Tulsa adds scoring threat, hosts US Open Cup semifinalist Indy Eleven on Friday  #TULvIND  
https://t.co/wGTm6jMvBo via @tulsaworld</t>
  </si>
  <si>
    <t>Editor and Publisher, Host</t>
  </si>
  <si>
    <t>christopher.harris@worldsoccertalk.com</t>
  </si>
  <si>
    <t>worldsoccertalk</t>
  </si>
  <si>
    <t>Miami, FL: 561-247-GOAL (4625)</t>
  </si>
  <si>
    <t>The home of soccer.
📺 TV &amp; Streaming Schedules
📝 Breaking News
🎧 Podcast
📰 Newsletters
📲 App: linktr.ee/worldsoccertalk</t>
  </si>
  <si>
    <t>Media,Sports,Technology,U.S.</t>
  </si>
  <si>
    <t>WorldSoccerTalk.com,World Soccer Talk: Premier League, MLS, Champions League, EFL and more</t>
  </si>
  <si>
    <t>The facts about #LeaguesCup2024 is that soccer is under attack by the people &amp; organizations charged with protecting it. Writer @BrianCostin examines:
📌 The Fundamental flaws of Leagues Cup
📌 Why Concacaf is stunting the growth of soccer in N America
https://t.co/50dHTmB9EN</t>
  </si>
  <si>
    <t>Cayden McFarland</t>
  </si>
  <si>
    <t>Sports Director and Reporter</t>
  </si>
  <si>
    <t>cayden.mcfarland@kjrh.com</t>
  </si>
  <si>
    <t>caydenmc</t>
  </si>
  <si>
    <t>Tulsa, OK</t>
  </si>
  <si>
    <t>Sports Director, KJRH TV - Tulsa. One of Oklahoma Sports’ foremost VO/SOT producers. 1st John 4:10-11</t>
  </si>
  <si>
    <t>KJRH-TV (Tulsa, OK)</t>
  </si>
  <si>
    <t>RT @FCTulsa: Adding another Englishman to our squad 😝
More info: https://t.co/LjOGDEHNwT
Welcome to Patina Green Country, Faysal Bettache…</t>
  </si>
  <si>
    <t>@VikingArmy_SC Updated!
https://t.co/YC2N8U0Gix</t>
  </si>
  <si>
    <t>As #LeaguesCup2024 continues today, supporters group protests remain as fans grow concerned with MLS’s participation in the U.S. Open Cup.
Thanks you to leadership from @AustinAnthem, @DallasGuardians, and @RedLoons for talking to me about it.
https://t.co/YC2N8U0Gix</t>
  </si>
  <si>
    <t>My article for @hudsonriverblue has been updated with this new statement by @queencitymafia, the first FC Cincinnati supporter's group to speak out against the Leagues Cup. A "majority of its members" will be boycotting #LeaguesCup2024.
#AllForCincy
https://t.co/YC2N8U0Gix https://t.co/REDYzC58fn</t>
  </si>
  <si>
    <t>My article on @hudsonriverblue listing MLS supporter’s groups boycotting Leagues Cup has been updated. Initially, I excluded the three Canadian teams thinking they had no skin in the game. @Southsiders, the oldest #VWFC SG, changed that.
#LeaguesCup2024
https://t.co/YC2N8U1e85 https://t.co/yNEPmvdvh1</t>
  </si>
  <si>
    <t>Article for @hudsonriverblue has been updated. @STLCitySantos is the first MLS Supporters Group to lift its #LeaguesCup2024 boycott.
Additional updates from:
* @C38sg
* @NSCRoadies
* @TheAssemblyNash
* @EasternFrontSG
* @timbersarmy
* @SanJoseUltras
https://t.co/YC2N8U0Gix https://t.co/9uSnbnHAS7</t>
  </si>
  <si>
    <t>Editor, Writer</t>
  </si>
  <si>
    <t>joseph.lowery@backheeled.com</t>
  </si>
  <si>
    <t>joeclowery</t>
  </si>
  <si>
    <t>Phoenix, AZ</t>
  </si>
  <si>
    <t>💡 @Backheeled | ✍️ 🗣️ ESPN, The Guardian, The Athletic, TSS | 🎙️ @PHXRisingFC TV analyst</t>
  </si>
  <si>
    <t>Backheeled,Freelance</t>
  </si>
  <si>
    <t>Eight months after his last media address in Columbus, MLS commissioner Don Garber spoke ahead of the All-Star Game.
▪️ Door open for "expanding beyond the 30 teams"
▪️ "Unpopular" US Open Cup decision
▪️ Will ambition match spending?
For @Backheeled ⤵️
https://t.co/zYy9QctNSP</t>
  </si>
  <si>
    <t>“If there's a good market for us to expand...we would consider strongly expanding beyond the 30 teams.”
Speaking in Columbus, Don Garber left little doubt: MLS isn't done expanding.
With $500m (plus!) expansion fees, why would they?
For @Backheeled ⤵️
https://t.co/zYy9QculIn</t>
  </si>
  <si>
    <t>Don Garber didn't necessarily throw cold water on Indy's #MLS expansion bid, but he also didn't start rolling out the red carpet.
@Brian_Haenchen with more on the commissioner's comments tonight:
https://t.co/ZYerz0FhE8</t>
  </si>
  <si>
    <t>"We love the city. We love the support from city leaders &amp; from the state. We think there's an interesting ownership dynamics. We like the location they're talking about for the stadium. So we'll continue to work with them &amp; see how it plays out." #MLS
https://t.co/ZYerz0FhE8</t>
  </si>
  <si>
    <t>“If there's a good market for us to expand in and if that market makes sense, if we have the right owner and the right stadium plan, I think like any league, we would strongly consider expanding beyond 30 teams.”
More from #MLS commissioner Don Garber: https://t.co/GrkaqtZXex</t>
  </si>
  <si>
    <t>Twas a busy-ish few days on the Indy-MLS? front in Columbus. The big news here with links to everything else — thoughts on Indy+expansion/how World Cup fits/etc. from owners, the mayor, a coach and Taylor Twellman — scattered throughout (also on bio page). https://t.co/GrkaqtZXex</t>
  </si>
  <si>
    <t>Kevin Bilodeau</t>
  </si>
  <si>
    <t>Sports Director and Journalist</t>
  </si>
  <si>
    <t>kevinbilodeau@gmail.com</t>
  </si>
  <si>
    <t>KevinLive5</t>
  </si>
  <si>
    <t>Sports Director/Journalist for @live5news,  Aiming to be more like Ron Swanson  MA➡️CT➡️NE➡️TX➡️SC</t>
  </si>
  <si>
    <t>The Battery earn a 2-1 morning road win on Wednesday
Nick Markanich scores his 19th goal of the season, 5th best in team history
https://t.co/aNH3g612ym</t>
  </si>
  <si>
    <t>Our @Brian_Haenchen has been busy at #MLSAllStar week. He talked with a few #MLS execs on Indy's potential expansion bid:
"... clearly a city like Indianapolis, which is a proven sports town, would have to be a great candidate.”
https://t.co/IQ1o5OX5d5</t>
  </si>
  <si>
    <t>"It’s great to see your political leaders here. They’re obviously very focused on it &amp; they came to make sure everybody in the league knows their interest is sincere.”
Indy making #MLS expansion push in Columbus at #MLSAllStar. More via @Brian_Haenchen 
https://t.co/IQ1o5OX5d5</t>
  </si>
  <si>
    <t>Spoke with a trio of MLS team executives (Clark Hunt, Tom Penn and Jeff Berding) about most things #MLS expansion and Indianapolis’ pursuit of a new pro soccer team. Here’s what they had to say: https://t.co/rskadkIzP6
Will upload videos with some additional nuggets later.</t>
  </si>
  <si>
    <t>"Everyone always thinks of Indiana as the basketball state and all that — I think we're understating how good the soccer is there."
@TaylorTwellman talks with @Brian_Haenchen on Indy's potential #MLS bid:
https://t.co/STURVeg4Ow</t>
  </si>
  <si>
    <t>Former @MLS star @TaylorTwellman spent many a weekend in Indianapolis for club tournaments growing up. “It's a soccer hotbed and it always has been with the youth.”
More from the @AppleTV lead #MLS analyst on Indy soccer and league expansion: https://t.co/aofsQ2AObU
#MLSAllStar</t>
  </si>
  <si>
    <t>The #Colts are the storm nobody sees coming. https://t.co/w4OCcNqG7V</t>
  </si>
  <si>
    <t>The #Colts enter training camp with very few problems, other than a lack of national respect — and that will be remedied once the 2024 season begins. https://t.co/w4OCcNq8in</t>
  </si>
  <si>
    <t>Battery Travel to Virginia for Midmorning Loudoun Match https://t.co/TIhjYKdOC5 @Chas_Battery</t>
  </si>
  <si>
    <t>Battery Travel to Virginia for Midmorning Loudoun Match https://t.co/TIhjYKdOC5 @Chas_Battery #chsnews</t>
  </si>
  <si>
    <t>Roberto Abramowitz</t>
  </si>
  <si>
    <t>Freelance Broadcaster</t>
  </si>
  <si>
    <t>abrarob@aol.com</t>
  </si>
  <si>
    <t>RobAbramowitz</t>
  </si>
  <si>
    <t>Upstate New York City</t>
  </si>
  <si>
    <t>@NYCFCEspanol, @NYJets radio, @NFLonCBS, @EspecialistasDD. Ex @ESPN &amp; @NBA x @PrimeVideoMX. Gringo de nacimiento, chilango de corazón. seedisclaimer.com</t>
  </si>
  <si>
    <t>Really good preview of #LeaguesCup by @RotoWire.
https://t.co/BUfTlFVEhm</t>
  </si>
  <si>
    <t>National Soccer Analyst</t>
  </si>
  <si>
    <t>eskilson@advancedsoccermedia.com</t>
  </si>
  <si>
    <t>JREskilson</t>
  </si>
  <si>
    <t>National Soccer Analyst: @PrepSoccer</t>
  </si>
  <si>
    <t>RT @ECNLgirls: ECNL Girls Announces Rosters for ECNL Girls Conference Cup
Read More Here: https://t.co/CMGoDnPCpE https://t.co/8Z89Q8BaNm</t>
  </si>
  <si>
    <t>Atlanta United transfers Caleb Wiley to Chelsea https://t.co/CYlhT7gBRZ 
#ATLUTD #MLS</t>
  </si>
  <si>
    <t>Stian Gregersen's headers power #ATLUTD past Columbus, with quotes and context
https://t.co/ZzzV7PJfC1
#MLS</t>
  </si>
  <si>
    <t>Southern Fried Soccer: Atlanta United draws NYCFC, faces Columbus #ATLUTD  https://t.co/UjYIdTaKYl</t>
  </si>
  <si>
    <t>Atlanta United working to stay even emotionally ahead of Saturday’s match https://t.co/QGaeqOqAav 
#ATLUTD #MLS</t>
  </si>
  <si>
    <t>RT @opencup: Final Hosting Priority Draw | #USOC2024 
Saturday, July 20th on @AppleTV 👀» https://t.co/W6VVlrM6L7 https://t.co/46OaF6cIK3</t>
  </si>
  <si>
    <t>Newest signee Pedro Amador said Atlanta United will help him grow #ATLUTD #MLS  https://t.co/gMaE4mmJjV</t>
  </si>
  <si>
    <t>Info to know: Atlanta United vs. Columbus https://t.co/mkjHuwRYki 
#ATLUTD #MLS</t>
  </si>
  <si>
    <t>RT @93wibc: IndyStar: Women Accuse Top Hogsett Aide Of Preying On Subordinates For Years via @tonykatz https://t.co/FwxCAC2WPl</t>
  </si>
  <si>
    <t>MLS announces rules changes effective immediately https://t.co/7LZnpHWfZ5</t>
  </si>
  <si>
    <t>New mistakes, old mistakes haunt Atlanta United #ATLUTD #MLS  https://t.co/gZiUQU1Gor</t>
  </si>
  <si>
    <t>Atlanta United wastes chance to defeat NYCFC, settles for draw #ATLUTD #MLS  https://t.co/MHyCM5tTm1</t>
  </si>
  <si>
    <t>#ATLUTD wastes chances to defeat #NYCFC, with quotes from Valentino and Williams, and info from Lennon and Thiare
https://t.co/MHyCM5tlwt</t>
  </si>
  <si>
    <t>Southern Fried Soccer: Atlanta United faces NYCFC coming off loss to Montreal #ATLUTD #MLS  https://t.co/A3xqymvQng</t>
  </si>
  <si>
    <t>Details on Atlanta United’s season-ticket prices revealed https://t.co/mIOuic23Tg</t>
  </si>
  <si>
    <t>Andrew Wiebe</t>
  </si>
  <si>
    <t>Podcast Host</t>
  </si>
  <si>
    <t>ajwiebe@uwaterloo.ca</t>
  </si>
  <si>
    <t>andrew_wiebe</t>
  </si>
  <si>
    <t>Prowling the sideline on Sunday Night Soccer ➡️ @MLS on @AppleTV!  Proud: sicko, dad, Kansan and @KUJournalism alum, @soccerhof voter, former @Brookhattan CB.</t>
  </si>
  <si>
    <t>Canada,Sports</t>
  </si>
  <si>
    <t>ExtraTime, the Official Podcast of Major League Soccer (MLS)</t>
  </si>
  <si>
    <t>RT @SachaKljestan: Columbus on fire.  All of Cascadia heating up.  Philly “fragile” + more in my latest article. 
https://t.co/4xnuJFQx6C</t>
  </si>
  <si>
    <t>NEW: The #USL Super League has many ambitions; taking down the NWSL is not one of them. Instead, Amanda Vandervort hopes it will grow opportunities for women in soccer.
More detail on the upstart league, from roster guidelines to player-centric intention: https://t.co/pITdqXC7EY</t>
  </si>
  <si>
    <t>Lions Beat Writer</t>
  </si>
  <si>
    <t>nbianchi@detroitnews.com</t>
  </si>
  <si>
    <t>nolanbianchi</t>
  </si>
  <si>
    <t>Lions beat writer @detroitnews | 2017 Hour Media Cornhole Tournament runner-up</t>
  </si>
  <si>
    <t>Metro Detroit,Sports</t>
  </si>
  <si>
    <t>Colorado Storm eliminate Detroit City FC women with injury-time goal https://t.co/KcNtuav8l1</t>
  </si>
  <si>
    <t>Daniel Mears</t>
  </si>
  <si>
    <t>Photographer</t>
  </si>
  <si>
    <t>dmears@detroitnews.com</t>
  </si>
  <si>
    <t>MearsDaniel</t>
  </si>
  <si>
    <t>Detroit, Michigan</t>
  </si>
  <si>
    <t>Detroit News photographer covering everything from the Detroit Lions to Detroit City Politics (both of which can be terrifying!)</t>
  </si>
  <si>
    <t>Colorado Storm eliminate Detroit City FC women with injury-time goal, 2-1, in the United Soccer W League semifinal.  https://t.co/SyFOxUgQsM https://t.co/dKHEvU0Ctk</t>
  </si>
  <si>
    <t>Atlanta United has zero shots on goal, is shut out in Montreal #ATLUTD  https://t.co/0Bf4vDgHCN</t>
  </si>
  <si>
    <t>Atlanta United season-ticket prices will go up for 2025 MLS season #ATLUTD #MLS  https://t.co/yJsMxvbPpW</t>
  </si>
  <si>
    <t>Jonathan Raymond</t>
  </si>
  <si>
    <t>Digital Journalist</t>
  </si>
  <si>
    <t>jraymond@11alive.com</t>
  </si>
  <si>
    <t>jisaacraymond</t>
  </si>
  <si>
    <t>Digital journalist at @11AliveNews in Atlanta. Campaigning to have Smyrna residents called Smyrfs. Here via Benicia, Calif. &amp; @Northeastern.</t>
  </si>
  <si>
    <t>Metro Atlanta,U.S.</t>
  </si>
  <si>
    <t>WXIA-TV (Atlanta, GA)</t>
  </si>
  <si>
    <t>RT @DougRobersonAJC: Atlanta United season-ticket prices will go up for 2025 MLS season #ATLUTD #MLS  https://t.co/yJsMxvbPpW</t>
  </si>
  <si>
    <t>Dave Schechter</t>
  </si>
  <si>
    <t>daveschechter@bellsouth.net</t>
  </si>
  <si>
    <t>daveschechter</t>
  </si>
  <si>
    <t>Atlanta</t>
  </si>
  <si>
    <t>Journalist and writer. Author of unpublished book on life of Communist great-aunt. Husband. Father. Soccer fan. (Retweets not endorsement of viewpoints.)</t>
  </si>
  <si>
    <t>Atlanta United season-ticket prices will go up for 2025 MLS season https://t.co/SATjJVGIZs</t>
  </si>
  <si>
    <t>preps@pressenterprise.com</t>
  </si>
  <si>
    <t>DennisPope</t>
  </si>
  <si>
    <t>SoCal, USA</t>
  </si>
  <si>
    <t>Husband | Dad-dad x 3 🙊🙈🙉 | Sportswriter | Gaffer @InlandFC 🐺 | @SoCalPremier &amp; @SWPremier ⚽️ | @opencup🏆| @ProtagonistPods🎙| Riverside Sport HOF Board 📢</t>
  </si>
  <si>
    <t>The Press-Enterprise</t>
  </si>
  <si>
    <t>A missive from Wednesday Night in Los Angeles - Ground Control to Admiral Cherundolo https://t.co/78pfTUU2ad via @opencup</t>
  </si>
  <si>
    <t>This week's MLS picks and parlays for Matchday 26! #mls #MLSSeasonPass 
Toronto vs Philadelphia
New England Revolution vs Orlando City
St. Louis City vs Vancouver Whitecaps
Dallas vs LA Galaxy
Portland Timbers vs RSL
LAFC vs Columbus Crew
San Jose vs SKC
https://t.co/0IkuWftr1I</t>
  </si>
  <si>
    <t>Detroit City FC one win away from reaching W League national final https://t.co/JVbIHovvNq</t>
  </si>
  <si>
    <t>RT @AJCsports: Southern Fried Soccer: Atlanta United’s busy summer getting busier https://t.co/z0K3TeXhno</t>
  </si>
  <si>
    <t>Southern Fried Soccer: Atlanta United’s busy summer getting busier https://t.co/tmXRP5HY30 
#ATLUTD #MLS</t>
  </si>
  <si>
    <t>Garth Lagerwey lays out plan for Atlanta United’s next 2 designated players #ATLUTD #MLS  https://t.co/HZOsCMF1Ew</t>
  </si>
  <si>
    <t>RT @DougRobersonAJC: Garth Lagerwey lays out plan for Atlanta United’s next 2 designated players #ATLUTD #MLS  https://t.co/HZOsCMF1Ew</t>
  </si>
  <si>
    <t>Pedro Amador trains with Atlanta United for first time https://t.co/RD4nw3gHY6 
#ATLUTD #MLS</t>
  </si>
  <si>
    <t>Sporting KC outlasts FC Dallas for weather-delayed U.S. Open Cup victory in extra time.
https://t.co/B52I7SUm9a</t>
  </si>
  <si>
    <t>Y'all awake yet? Here's our story on last night's wild weather-delayed #SportingKC win.
They showed mental resilience from a team that's experienced some significant low points.
"That’s why I think we should be truly, truly proud of this performance.”
https://t.co/RZ3YZq1HJZ</t>
  </si>
  <si>
    <t>Contributor, Photographer and Videographer</t>
  </si>
  <si>
    <t>TeddyBahu</t>
  </si>
  <si>
    <t>Chicago, IL</t>
  </si>
  <si>
    <t>@prephoops contributor. betting page: @BETTED_</t>
  </si>
  <si>
    <t>Prep Soccer,Freelance</t>
  </si>
  <si>
    <t>ECNL Championships: Teddy’s Opening Day Standouts (Part 2)
@aybree_sanchez @AlexisFischer28 MORE
https://t.co/mh2y27L8jI</t>
  </si>
  <si>
    <t>ECNL Championships: Teddy’s Opening Day Standouts (Part 1)
@l_osifodunrin @PrepSoccer @IXIproacademy @KCAECNL2007g #ECNLPlayoffs #ECNL
https://t.co/RQGgGgGIjM</t>
  </si>
  <si>
    <t>George Bello, Caleb Wiley create paths for Atlanta United’s young players #ATLUTD #MLS  https://t.co/PE0ypi5iQr</t>
  </si>
  <si>
    <t>Sydney Hunte</t>
  </si>
  <si>
    <t>Digital Customer Experience Manager, Freelance  Football Writer, Writer</t>
  </si>
  <si>
    <t>shunte@saturdaydownsouth.com</t>
  </si>
  <si>
    <t>SHWrites</t>
  </si>
  <si>
    <t>Follower of Christ
UI/UX researcher
⚽️: @ScarvesNSpikes + @FieldLevelMedia
🏈🏀: @SatDownSouth + @Tradition
BBQ + sweet tea fan 
Email: sydh84@gmail.com</t>
  </si>
  <si>
    <t>Metro Atlanta,Sports,U.S.</t>
  </si>
  <si>
    <t>Saturday Down South</t>
  </si>
  <si>
    <t>Last night was (likely) Caleb Wiley's last go for Atlanta United. Olympics and #RCSA #Strasbourg via a loan from #Chelsea up next.
Wrote about his sendoff for @ScarvesNSpikes, including comments from Rob Valentino on Wiley's impact while with the club 👇
https://t.co/RQNFn8tS4x</t>
  </si>
  <si>
    <t>RT @IndyStarSports: Indy Eleven beat MLS team for first time in U.S. Open Cup quarterfinals https://t.co/mRQWTBX0Jg</t>
  </si>
  <si>
    <t>Correspondent, Journalist</t>
  </si>
  <si>
    <t>jonathanjohnson01@gmail.com</t>
  </si>
  <si>
    <t>Jon_LeGossip</t>
  </si>
  <si>
    <t>Paris, France</t>
  </si>
  <si>
    <t>🇫🇷⚽️🦁</t>
  </si>
  <si>
    <t>The Daily Briefing Newsletter,CBS Sports</t>
  </si>
  <si>
    <t>Euro 2024 &amp; Copa America power on towards the finals as England &amp; Uruguay look to join Spain &amp; Argentina - https://t.co/NwJuUBDXMZ - For @CBSSportsGolazo. #EURO2024</t>
  </si>
  <si>
    <t>Soccer Writer</t>
  </si>
  <si>
    <t>charles.booth@paramount.com</t>
  </si>
  <si>
    <t>ChuckBoothSport</t>
  </si>
  <si>
    <t>PHI - BAL</t>
  </si>
  <si>
    <t>#Blacklivesmatter | Slinging ⚽ goodness @CBSSports | @VFTBpod | #Doop | #COYS | FWA member 🏳️‍🌈</t>
  </si>
  <si>
    <t>Metro Philadelphia,Sports,U.S. Regional</t>
  </si>
  <si>
    <t>Go, league!
https://t.co/RVQpp7WSO6</t>
  </si>
  <si>
    <t>Carlos Bocanegra says Caleb Wiley’s transfer from Atlanta United to Chelsea is close to completion #ATLUTD #MLS #CHELSEA #EPL  https://t.co/38cf0B4QT2</t>
  </si>
  <si>
    <t>The three @USLChampionship teams still alive in @OpenCup all have a history of success against MLS teams or playing them close: @IndyEleven, @NewMexicoUTD &amp; @SacRepublicFC. https://t.co/VfPyiNzoG8</t>
  </si>
  <si>
    <t>Southern Fried Soccer: Atlanta United, Real Salt Lake, Indy Eleven and the #Olympics2024  https://t.co/UsiJHKnbcc 
#ATLUTD #MLS</t>
  </si>
  <si>
    <t>Atlanta United will have near $50 million to spend in transfer window #ATLUTD #MLS  https://t.co/TpLF9Qdggp</t>
  </si>
  <si>
    <t>Wrote about Olympian Caleb Wiley for @ScarvesNSpikes 
https://t.co/OeOWNv2saE</t>
  </si>
  <si>
    <t>Per @David_Ornstein agreement reached in principle between Atlanta United + Chelsea for Caleb Wiley through 2031. Transfer fee just under US$11M w/ Wiley to be loaned to Strasbourg in Ligue 1.
Looking like tomorrow will be Caleb Wiley's farewell match...
https://t.co/OeOWNv300c</t>
  </si>
  <si>
    <t>Atlanta United’s Caleb Wiley will play for U.S. in Olympics #Atlutd #usa  https://t.co/JdaZ5QhP3x</t>
  </si>
  <si>
    <t>#ATLUTD rocked by RSL, with quotes and context:
https://t.co/p5hVlYzW72</t>
  </si>
  <si>
    <t>#ATLUTD sets #MLS transfer record with sale of Thiago Almada to #botafogo 
https://t.co/2xPTyPetIE</t>
  </si>
  <si>
    <t>@japatrick200 @richardchinnis https://t.co/2xPTyPetIE</t>
  </si>
  <si>
    <t>Atlanta United sets MLS transfer record with sale of Thiago Almada https://t.co/N0D501gAsS</t>
  </si>
  <si>
    <t>.@IndyEleven draws 3-3 with Rhode Island FC tonight. Highlights at 11:20 on @WISHNews8. 
https://t.co/1cJi5Ve5zn</t>
  </si>
  <si>
    <t>Southern Fried Soccer: Atlanta United is having a very busy week #ATLUTD  https://t.co/h0oeFbLg6h</t>
  </si>
  <si>
    <t>Digital Sports Journalist and Producer</t>
  </si>
  <si>
    <t>jeff.wald@fox.com</t>
  </si>
  <si>
    <t>JeffWaldFox9</t>
  </si>
  <si>
    <t>Eden Prairie, MN</t>
  </si>
  <si>
    <t>Digital sports reporter for @Fox9, @Fox9Sports covering Vikings, Gophers football and all things Minnesota sports. Married, dog owner and a CrossFit enthusiast.</t>
  </si>
  <si>
    <t>Metro Minneapolis–St. Paul</t>
  </si>
  <si>
    <t>Story: @MNAuroraFC's season comes to an end in a 2-1 loss to Indy Eleven in the USL-W Playoffs.
Addy Weichers had a chance to tie the game with a PK in the 88th minute, but Indy keeper Kathleen Mitchell made the save. @FOX9 | https://t.co/xOvTvr0S8j</t>
  </si>
  <si>
    <t>Story: @MNAuroraFC's season comes to an end in a 2-1 loss to Indy Eleven in the USL-W Playoffs.
Addy Weichers had a chance to tie the game with a PK in the 88th minute, but Indy keeper Kathleen Phillips made the save. @FOX9 | https://t.co/xOvTvr0S8j</t>
  </si>
  <si>
    <t>Atlanta United embracing challenge of high-scoring Real Salt Lake https://t.co/P9sao8xPUt</t>
  </si>
  <si>
    <t>Info to know: Atlanta United at Real Salt Lake https://t.co/HoEGOwnqBw 
#ATLUTD #MLS</t>
  </si>
  <si>
    <t>branden.mello@gmail.com</t>
  </si>
  <si>
    <t>Branden_Mello</t>
  </si>
  <si>
    <t>Sports editor of the Woonsocket Call and Pawtucket Times.
branden.mello@gmail.com
@BU_Tweets alum</t>
  </si>
  <si>
    <t>The Call &amp; Times,The Pawtucket Times</t>
  </si>
  <si>
    <t>.@RhodeIslandFC has won two straight games headed into tonight's clash with Indy Eleven at Beirne Stadium. The team's new president, David Peart, understands the tough task in front of him, but he's never back down from a challenge.
https://t.co/REmdG2Dnul</t>
  </si>
  <si>
    <t>Samantha Stroozas</t>
  </si>
  <si>
    <t>Associate Digital Producer, Freelance Journalist</t>
  </si>
  <si>
    <t>sstroozas@mpr.org</t>
  </si>
  <si>
    <t>samstroozas</t>
  </si>
  <si>
    <t>Minnesota</t>
  </si>
  <si>
    <t>she/her | ♊️ gemini journalist &amp; all things digital @mprnews 🌙 beep me: sstroozas@mpr.org</t>
  </si>
  <si>
    <t>Media</t>
  </si>
  <si>
    <t>Freelance,MPR News (Saint Paul, MN)</t>
  </si>
  <si>
    <t>.@MNAuroraFC may have lost today but me and many others think they deserve the pro bid for 2026! i talked with fans and players about dreamy minnesota summers and female representation in sports. my fav quote: "the women are just better." - a 12 year old https://t.co/ikAwhqL8GE</t>
  </si>
  <si>
    <t>Sports Reporter and Columnist</t>
  </si>
  <si>
    <t>jsouhan@startribune.com</t>
  </si>
  <si>
    <t>SouhanStrib</t>
  </si>
  <si>
    <t>Minneapolis, MN</t>
  </si>
  <si>
    <t>Jim Souhan is a Star Tribune columnist. His podcasts can be found at TalkNorth.com His band, The Bar Chords, plays around the Twin Cities.</t>
  </si>
  <si>
    <t>Metro Minneapolis–St. Paul,Sports,U.S.</t>
  </si>
  <si>
    <t>RT @StribSports: Is this Aurora's time to buck a Minnesota trend and win it all? Column from @SouhanStrib: https://t.co/tr6chSSDlu</t>
  </si>
  <si>
    <t>Is this Aurora’s time to win it all?. https://t.co/8OVTMQr3tq</t>
  </si>
  <si>
    <t>RT @StribSports: Is this Aurora's time to buck a Minnesota trend and win it all? Column from @SouhanStrib: https://t.co/Vvg5HoZeFi</t>
  </si>
  <si>
    <t>RT @StribSports: Is this Aurora's time to buck a Minnesota trend and win it all? Column from @SouhanStrib: https://t.co/e5VDQmG0CN</t>
  </si>
  <si>
    <t>Mike Burbach</t>
  </si>
  <si>
    <t>mburbach@pioneerpress.com</t>
  </si>
  <si>
    <t>mikeburbachPP</t>
  </si>
  <si>
    <t>St. Paul, MN</t>
  </si>
  <si>
    <t>Editor, St. Paul @PioneerPress</t>
  </si>
  <si>
    <t>Opinion and Editorial,Sports,U.S.</t>
  </si>
  <si>
    <t>Minnesota Aurora has 'unfinished business' going into USL playoffs https://t.co/WDi6i4U0XI via @pioneerpress</t>
  </si>
  <si>
    <t>Atlanta United’s offense shows life in second half against Revolution #ATLUTD #MLS  https://t.co/vyggC4nbnI</t>
  </si>
  <si>
    <t>Atlanta United’s unbeaten streak stopped by the Revs #ATLUTD #MLS  https://t.co/4rajvvwSwr</t>
  </si>
  <si>
    <t>Arts and Culture Journalist, Book Columnist, Contributing Writer, Correspondent</t>
  </si>
  <si>
    <t>ldaley33@gmail.com</t>
  </si>
  <si>
    <t>LaurenDaley1</t>
  </si>
  <si>
    <t>Culture journalist. @BostonGlobe &amp; @Bostondotcom correspondent.  Words: @HuffPost, @PasteMagazine, @insidehook @mcsweeneys, @villagevoice, ect.</t>
  </si>
  <si>
    <t>Arts and Entertainment,Business and Finance,U.S.</t>
  </si>
  <si>
    <t>WBUR-FM (Boston, MA),The Standard-Times,Freelance,The Boston Globe</t>
  </si>
  <si>
    <t>I got your guide to the #FourthOfJuly, #fireworks , @WaterFireProv , @YonderMountain &amp; more, #RhodeIsland. My 401 Fun column hot off the press. ⚓️🤙@BostonGlobe @Globe_RI 
https://t.co/QA2YMSBDQ7 https://t.co/GbN8Yko22T</t>
  </si>
  <si>
    <t>Edward Fitzpatrick</t>
  </si>
  <si>
    <t>Host, News Reporter</t>
  </si>
  <si>
    <t>edward.fitzpatrick@globe.com</t>
  </si>
  <si>
    <t>FitzProv</t>
  </si>
  <si>
    <t>Providence, RI</t>
  </si>
  <si>
    <t>@BostonGlobe reporter covering Rhode Island. Former @projo columnist, reporter. @FiveFreedoms board member. Host of #RIReport podcast. @NewhouseSU grad. Runner.</t>
  </si>
  <si>
    <t>Rhode Island Report,The Boston Globe</t>
  </si>
  <si>
    <t>"Did anyone else hear that? [Rumbling noise] I can’t tell if it’s fireworks, soccer fans, or the herd of some 100 elephants we have coming our way. This wild week, it could be any of the above, my friends. Let’s ride." -- @LaurenDaley1
https://t.co/EZiDM2k2Gq</t>
  </si>
  <si>
    <t>ECNL Seattle: Midwest CL Evaluations
@LaineyChung2027 @DiedrichBrynn @micaylajsoccer @rjmorse12 Gabby Coyne, Addison Ash
More Coming Soon!
https://t.co/KOpoctgk3q</t>
  </si>
  <si>
    <t>Southern Fried Soccer: Previewing Atlanta United at New England #ATLUTD #MLS  https://t.co/RfcFY43KtB</t>
  </si>
  <si>
    <t>Info to know: Atlanta United at New England #ATLUTD  https://t.co/wpoCZelkah</t>
  </si>
  <si>
    <t>Story: @MNAuroraFC went undefeated for the third straight regular season. 
The Heartland Division champions have the No. 1 seed in the Central Conference, and they'll face Indy Eleven Friday in Detroit. @FOX9 | https://t.co/c9mLvhUMvB</t>
  </si>
  <si>
    <t>Prep Soccer: ECNL Playoffs 2010 Best XI
https://t.co/IwHaYKYdca @PrepSoccer https://t.co/eOsSbafngP</t>
  </si>
  <si>
    <t>Valentino said Thiare’s goal is beauty of sport #ATLUTD #MLS  https://t.co/v8Podx69gt</t>
  </si>
  <si>
    <t>Thiago Almada likely unavailable for New England https://t.co/bemFt0cr51 
#ATLUTD @MLS</t>
  </si>
  <si>
    <t>@dybala_33_ https://t.co/ijoF48HdV3</t>
  </si>
  <si>
    <t>@robynsaghini https://t.co/ijoF48HdV3</t>
  </si>
  <si>
    <t>Atlanta United signs fullback Pedro Amador #ATLUTD #MLS  https://t.co/kHG98QP1Wc</t>
  </si>
  <si>
    <t>RT @DougRobersonAJC: Atlanta United signs fullback Pedro Amador #ATLUTD #MLS  https://t.co/kHG98QP1Wc</t>
  </si>
  <si>
    <t>The @USLWLeague playoff bracket is out. @IndyEleven  and @LIRoughRiders  return for the third year in a row. https://t.co/bNdOnLcEvS</t>
  </si>
  <si>
    <t>Rachael Kriger</t>
  </si>
  <si>
    <t>rachaelkriger@yahoo.com</t>
  </si>
  <si>
    <t>RachaelKPalmer</t>
  </si>
  <si>
    <t>✍🏽 @PGHSoccerNow &amp; @PGSportsNow • 🎙️ @ACCNetwork / @PITT_WSOC • @SoccerReporters Madam President • @NWSLMedia Member • 🇷🇺/🇺🇸 • M.A. (x2)</t>
  </si>
  <si>
    <t>RT @USLWLeague: The moment we’ve all been waiting for 🤩
The 2024 USL W League Playoffs are set 🔒
➡️ https://t.co/SDIukrapgp https://t.co…</t>
  </si>
  <si>
    <t>Jon Nelson</t>
  </si>
  <si>
    <t>President and Correspondent</t>
  </si>
  <si>
    <t>jnelson@gpb.org</t>
  </si>
  <si>
    <t>OSGNelson</t>
  </si>
  <si>
    <t>AKA Jon Nelson! @OSGSports/@SoccerDownHere/@GPBSports/@ATLUTD+2's @southeastemmy Noms, Silver Circle Inductee
@GABroadcasters @tellyawards @atlpressclub winner</t>
  </si>
  <si>
    <t>Georgia Public Broadcasting</t>
  </si>
  <si>
    <t>Southern Fried Soccer: Goodbye to Atlanta United’s Thiago Almada #ATLUTD  https://t.co/jEaWNQnTiG</t>
  </si>
  <si>
    <t>@arsenaldude4801 https://t.co/jEaWNQnTiG</t>
  </si>
  <si>
    <t>BREAKING: #ATLUTD on verge of completing $30 million transfer of Thiago Almada
https://t.co/4zQ1JuIAsn
#MLS</t>
  </si>
  <si>
    <t>RT @DougRobersonAJC: BREAKING: #ATLUTD on verge of completing $30 million transfer of Thiago Almada
https://t.co/4zQ1JuIAsn
#MLS</t>
  </si>
  <si>
    <t>Atlanta United on verge of completing $30 million Thiago Almada transfer https://t.co/LR3vMyFGQw</t>
  </si>
  <si>
    <t>Courtney Martinez</t>
  </si>
  <si>
    <t>Senior Digital Producer</t>
  </si>
  <si>
    <t>courtney.martinez@wsbtv.com</t>
  </si>
  <si>
    <t>sportsbycourt</t>
  </si>
  <si>
    <t>Nashville ➡️ ATL</t>
  </si>
  <si>
    <t>@wsbtv Senior Digital Producer. Former NCAA.com and AJC digital producer. Quotes too many movies. Boricua 🇵🇷 Views = mine. #BelmontTilIDie</t>
  </si>
  <si>
    <t>WSB-TV (Atlanta, GA)</t>
  </si>
  <si>
    <t>Atlanta United’s Jamal Thiare: “I just had a feeling...” https://t.co/KjhRIh3NSQ 
#ATLUTD #MLS</t>
  </si>
  <si>
    <t>RT @DougRobersonAJC: Atlanta United’s Jamal Thiare: “I just had a feeling...” https://t.co/KjhRIh3NSQ 
#ATLUTD #MLS</t>
  </si>
  <si>
    <t>Thiago Almada said Saturday’s home match may have been his last  with Atlanta United https://t.co/Du7QuUbgTo 
#ATLUTD #MLS</t>
  </si>
  <si>
    <t>Thiago Almada, Jamal Thiare score as Atlanta United defeats Toronto #ATLUTD #MLS  https://t.co/112Y8Hv9HU</t>
  </si>
  <si>
    <t>Almada goal, Thiare trickery lift #ATLUTD to important home win
https://t.co/112Y8Hv9HU
#MLS</t>
  </si>
  <si>
    <t>Info to know: Atlanta United vs. Toronto https://t.co/ClscR4HHaH</t>
  </si>
  <si>
    <t>Southern Fried Soccer: Previewing Atlanta United vs. Toronto #ATLUTD #MLS  https://t.co/W4CsbOMpRc</t>
  </si>
  <si>
    <t>Atlanta United again looks to improve home form https://t.co/GkoGs6RqvU</t>
  </si>
  <si>
    <t>Thiago Almada still with Atlanta United, available to play Saturday against Toronto #ATLUTD #TORONTOFC #MLS #BOTAFOGO  https://t.co/zuEoJi3QoR</t>
  </si>
  <si>
    <t>Government and Policy Reporter</t>
  </si>
  <si>
    <t>jsheridan@wfyi.org</t>
  </si>
  <si>
    <t>JillASheridan</t>
  </si>
  <si>
    <t>WFYI reporter. News tips jsheridan@wfyi.org.</t>
  </si>
  <si>
    <t>RT @WFYINews: New site approved for potential Major League Soccer stadium | via @JillASheridan https://t.co/M0IL21GgiC</t>
  </si>
  <si>
    <t>JRousseau@gannett.com</t>
  </si>
  <si>
    <t>ByJacobRousseau</t>
  </si>
  <si>
    <t>Rhode Island, USA</t>
  </si>
  <si>
    <t>Covering college and HS sports for @projo. Merrill made. @merrillcollege</t>
  </si>
  <si>
    <t>Burlington Free Press</t>
  </si>
  <si>
    <t>From @chloepatel39 --&gt; Another first for RIFC. Here's what they did at home on Wednesday night https://t.co/4R3w5cKEpc via @projo</t>
  </si>
  <si>
    <t>Plans to bring a @MLS team to Indianapolis took another step forward Wednesday as city planners gave final approval to a tax district to support a stadium. ⚽️
Story by @WISHNews8's @GarrettBNews.  👇
https://t.co/yy9sVW1qdx</t>
  </si>
  <si>
    <t>City officials say there's close to $3.2 billion already in planned development included in the PSDA as well as several empty parking lots that could be prime spots for future soccer-related development.
https://t.co/3py4jcoZwv</t>
  </si>
  <si>
    <t>The dominoes are falling in place... even for the most skeptical of us who thought #MLS in Indy was a pipe dream not too long ago.
Latest via @hayleighcolombo: 
https://t.co/UHM3eNozVO</t>
  </si>
  <si>
    <t>Heliport site for proposed Indy MLS stadium clears key vote, sinking Eleven Park plans https://t.co/QYoIPpBWBR via @indystar @hayleighcolombo</t>
  </si>
  <si>
    <t>RT @AllyBurris: Heliport site for proposed Indy MLS stadium clears key vote, sinking Eleven Park plans https://t.co/QYoIPpBWBR via @indysta…</t>
  </si>
  <si>
    <t>tyler.fenwick@mirrorindy.org</t>
  </si>
  <si>
    <t>Ty_Fenwick</t>
  </si>
  <si>
    <t>Journalist at @mirrorindy. tyler.fenwick@mirrorindy.org. Signal: 317-766-1406. Youth baseball coach. Fiddle when I can and work when I should.</t>
  </si>
  <si>
    <t>Health,Politics,Religion,Sports,U.S. Regional</t>
  </si>
  <si>
    <t>Two months after Joe Hogsett sidestepped Eleven Park, his plan to bring MLS to Indy just won. https://t.co/281o11Ipwj</t>
  </si>
  <si>
    <t>RT @Ty_Fenwick: Two months after Joe Hogsett sidestepped Eleven Park, his plan to bring MLS to Indy just won. https://t.co/281o11Ipwj</t>
  </si>
  <si>
    <t>Enrique Saenz</t>
  </si>
  <si>
    <t>enrique.saenz@mirrorindy.org</t>
  </si>
  <si>
    <t>heyEnriqueSaenz</t>
  </si>
  <si>
    <t>You're still here?  I'm not. Go to @enriquesaenz.bsky.social</t>
  </si>
  <si>
    <t>Two Atlantans make U.S. women’s Olympic soccer team #USWNT #USSF  https://t.co/HhE3jMLqlx</t>
  </si>
  <si>
    <t>Mae Anderson</t>
  </si>
  <si>
    <t>Small Business Reporter</t>
  </si>
  <si>
    <t>manderson@ap.org</t>
  </si>
  <si>
    <t>Maetron</t>
  </si>
  <si>
    <t>NYC</t>
  </si>
  <si>
    <t>@AP reporter covering small biz, occasional book reviewer. From Decatur, Ga., Brooklynite.</t>
  </si>
  <si>
    <t>Business and Finance</t>
  </si>
  <si>
    <t>RT @ajc: Four Atlantans, including one Georgia Bulldog, make U.S. women’s Olympic soccer team https://t.co/udvnXwmvsr</t>
  </si>
  <si>
    <t>Atlanta United’s Homegrown signees excited for rare chance to see U.S. men play #ATLUTD #USMNT #USSF #COPAAMERICA2024  https://t.co/up4WqFrRaV</t>
  </si>
  <si>
    <t>Simon says MLS? 
Mayor says #Pacers owner would "be a wonderful addition" to potential Indy expansion group. 
via @hayleighcolombo:
https://t.co/Q6L3VwI0Mt</t>
  </si>
  <si>
    <t>Herb Simon as MLS owner? 'He'd be a wonderful addition,' Indy mayor says https://t.co/O7SdkdLWdR via @indystar @hayleighcolombo</t>
  </si>
  <si>
    <t>Will Saturday be Thiago Almada’s last home match with Atlanta United? https://t.co/iIWxXmx7aT 
#ATLUTD
#MLS 
A bid has been received.</t>
  </si>
  <si>
    <t>Southern Fried Soccer: What’s going on with Thiago Almada? #ATLUTD #MLS  https://t.co/RWeEo9j2WS</t>
  </si>
  <si>
    <t>Atlanta United enters an important week of training https://t.co/4QfZzPfxSf 
#ATLUTD #MLS</t>
  </si>
  <si>
    <t>RT @mirrorindy: Indy commits to full excavation of its portion of Greenlawn for Henry Street bridge project.
https://t.co/FTt1Nj1ZuX</t>
  </si>
  <si>
    <t>My colleague @indyemapolis has the latest on Greenlawn and new excavation efforts from the city/state.
Excavation of the cemetery is something that activists/community member have been asking for since the project was announced.
https://t.co/W1F5au9Dpq</t>
  </si>
  <si>
    <t>We got updates on the fate of Indy's Greenlawn Cemetery site, so I'm going to unpack that in a little 🧵.
First: Indy will archaeologically excavate its portion of the site before it begins construction on the eastern part of Henry Street bridge project.
https://t.co/RqDmKeELCe</t>
  </si>
  <si>
    <t>Now that intact graves have been found at the site, crews will proactively dig, a few inches at a time, wherever development requires ground disturbance.
More details about the process here: https://t.co/RqDmKeELCe</t>
  </si>
  <si>
    <t>Dan Arndt</t>
  </si>
  <si>
    <t>Journalist, Managing Editor and Entertainment Writer</t>
  </si>
  <si>
    <t>dan@thefandomentals.com</t>
  </si>
  <si>
    <t>DanArndtWrites</t>
  </si>
  <si>
    <t>Board Game and TTRPG Journalist. Managing Editor at @TheFandomentals.  Bylines at Polygon.  Writing and Goth Stuff. dan@thefandomentals.com 
He/Him</t>
  </si>
  <si>
    <t>Arts and Entertainment,U.S.</t>
  </si>
  <si>
    <t>The Fandomentals</t>
  </si>
  <si>
    <t>Michael Hicks</t>
  </si>
  <si>
    <t>Columnist, Director</t>
  </si>
  <si>
    <t>mhicks@bsu.edu</t>
  </si>
  <si>
    <t>HicksCBER</t>
  </si>
  <si>
    <t>Muncie, IN</t>
  </si>
  <si>
    <t>Father of 3 marvels. Lucky husband. Parent lottery winner. Ret’d infantryman. George &amp; Frances Ball Dist. Prof. of Econ, VMI '84, UT ‘98, personal account.</t>
  </si>
  <si>
    <t>⁦@humphreys_brad⁩ is right.  Taxpayer subsidies of an MLS stadium won’t meet the benefit-cost threshold for I day citizens. https://t.co/gtrd0e6eZt</t>
  </si>
  <si>
    <t>ECNL Champions League Playoffs – 07 Standouts from Saturday
@edrabello @cooperdick2026 @Dev_McElroy 
https://t.co/Lga2s2i9l3 https://t.co/zJMvIhZGQx</t>
  </si>
  <si>
    <t>Atlanta United earns steamy draw with St. Louis #ATLUTD #MLS  https://t.co/ymS9FUNPOF</t>
  </si>
  <si>
    <t>#USAvBOL is a match #USMNT should win and needs to win. How bad is Bolivia? It has lost its last 12 games in the Copa América dating back to 2015 and won just once in its last 30 games since a 2nd-place finish in 1997. #CA2024 https://t.co/zki9iVakev</t>
  </si>
  <si>
    <t>Southern Fried Soccer: Reviewing Atlanta United’s win Wednesday, previewing Saturday at St. Louis #ATLUTD #MLS  https://t.co/LIHUHDTR1J</t>
  </si>
  <si>
    <t>Info to know: Atlanta United at St. Louis https://t.co/ViqpxYeIti 
#ATLUTD #MLS</t>
  </si>
  <si>
    <t>Atlanta United has another chance to build momentum #atlutd #mls  https://t.co/HNPEJc1HVl</t>
  </si>
  <si>
    <t>Things learned in Atlanta United’s win over D.C. United #ATLUTD #MLS  https://t.co/M6V9GtPpT9</t>
  </si>
  <si>
    <t>Things learned in Atlanta United’s win over D.C. United https://t.co/LV76Q4EPpD</t>
  </si>
  <si>
    <t>ecrawford@wdrb.com</t>
  </si>
  <si>
    <t>ericcrawford</t>
  </si>
  <si>
    <t>Louisville, Ky., USA</t>
  </si>
  <si>
    <t>Sports journalist for WDRB. Opinions expressed here are my own. Occasionally, they will be wrong. But not on purpose.</t>
  </si>
  <si>
    <t>RUNNING AWAY | @loucityFC takes care of business for 1-0 win at Pittsburgh, opens 6-point lead over USL Eastern Conference. My column https://t.co/suQbkiGm50</t>
  </si>
  <si>
    <t>Thiago Almada thunderbolt lifts Atlanta United past D.C. United #ATLUTD  https://t.co/4qLmraBCF5</t>
  </si>
  <si>
    <t>#ATLUTD moves into 9th place, above the playoff line, in the #MLS East with a win against DC
https://t.co/4qLmraB4Px</t>
  </si>
  <si>
    <t>Southern Fried Soccer: Previewing Copa America #ajc #copaamerica  https://t.co/IA9PRS8ljL</t>
  </si>
  <si>
    <t>Southern Fried Soccer: Previewing Copa America https://t.co/ahJbS4cQDy 
#ATLANTA</t>
  </si>
  <si>
    <t>Southern Fried Soccer: Previewing Copa America with @Longshoe
https://t.co/ahJbS4cQDy</t>
  </si>
  <si>
    <t>In this episode of the podcast “Southern Fried Soccer,” host Doug Roberson of the Atlanta Journal-Constitution and guest Jason Longshore preview Copa America, which starts on Thursday with Argentina hosting Canada at a sold-out Mercedes-Benz Stadium https://t.co/gIHXnTpXTm</t>
  </si>
  <si>
    <t>Argentinians in #Atlanta explain why Lionel Messi is more than a great soccer player #copaamerica #messi  https://t.co/2RopPn9Hms</t>
  </si>
  <si>
    <t>Ken Sugiura</t>
  </si>
  <si>
    <t>ksugiura@ajc.com</t>
  </si>
  <si>
    <t>ksugiuraajc</t>
  </si>
  <si>
    <t>Sports columnist for the AJC, carpool dad. Not as intimidating as I might seem. E-mail - ksugiura at ajc.com. To subscribe - www.ajc.com/start/.</t>
  </si>
  <si>
    <t>Argentines living in Atlanta explained to @DougRobersonAJC why Lionel Messi, beyond his soccer greatness, is so special to their country. Argentina plays Canada Thursday at MBS in Copa America. Really interesting.
https://t.co/O5Nsk1Dzug</t>
  </si>
  <si>
    <t>Breaking News: Tim Howard is stepping down as Memphis 901 FC Sporting Director.  Story for @BluffCity_Media 
https://t.co/Kd8cwBGU7O</t>
  </si>
  <si>
    <t>Info to know: Atlanta United at D.C. United #ATLUTD #MLS  https://t.co/Xk1Tr47652</t>
  </si>
  <si>
    <t>At the MLS midpoint, a look inside Atlanta United’s season #ATLUTD #MLS  https://t.co/orZ2OF3Btf</t>
  </si>
  <si>
    <t>Detroit City FC sells forward Ali Coote to Shelbourne FC
https://t.co/U31xjRsfyu</t>
  </si>
  <si>
    <t>Atlanta United’s Edwin Mosquera out at least three weeks #ATLUTD  https://t.co/KQ41lhf86x</t>
  </si>
  <si>
    <t>stephen.whitaker@theeagle.com</t>
  </si>
  <si>
    <t>StephenWhit89</t>
  </si>
  <si>
    <t>Bryan-College Station, Texas</t>
  </si>
  <si>
    <t>Houston born, Lufkin raised, writer for @theeagle and @UTSARivals. Member of @TheFWAA. @UTSA 2013 grad. @ThePaisano Alum. former: @expressnews and @mySA sports.</t>
  </si>
  <si>
    <t>San Antonio Express-News,MYSA</t>
  </si>
  <si>
    <t>San Antonio FC closes out the three game road trip in Birmingham on Wednesday looking to snap a three game losing streak.  https://t.co/ubiZmyaC2J</t>
  </si>
  <si>
    <t>Southern Fried Soccer: Reviewing Houston, previewing Atlanta United at D.C. United https://t.co/HO7OLpaI1Z 
#ATLUTD #MLS</t>
  </si>
  <si>
    <t>Sean McAuley talks with SA's @ArloMBloom about what the @OpenCup run has meant to @IndyEleven and its quarterfinal matchup. https://t.co/mSqrmnt5U9</t>
  </si>
  <si>
    <t>Missed opportunities and bad luck doom San Antonio FC in Indy on Saturday night.
Click for more:
https://t.co/ACH04sPBFA</t>
  </si>
  <si>
    <t>Atlanta United gives up late goal, draws with Houston in Rob Valentino’s debut as manager #ATLUTD #MLS  https://t.co/kOuM74LKqB</t>
  </si>
  <si>
    <t>#ATLUTD gives up late goal to draw Houston, updated with quotes and context
https://t.co/kOuM74LKqB</t>
  </si>
  <si>
    <t>RT @AJCsports: Atlanta United gives up late goal, draws with Houston in Rob Valentino’s debut as manager https://t.co/nU1yt0t0lR</t>
  </si>
  <si>
    <t>Deputy Editor and Lead Ohio State Football Beat Writer</t>
  </si>
  <si>
    <t>dan@elevenwarriors.com</t>
  </si>
  <si>
    <t>Dan_Hope</t>
  </si>
  <si>
    <t>Columbus, OH</t>
  </si>
  <si>
    <t>Deputy editor and lead Ohio State football beat writer @11W.
Email: dan@elevenwarriors.com</t>
  </si>
  <si>
    <t>With Ohio State’s 2023-24 in sports now complete, I took a look at OSU’s top 36 athletes of the year across its 36 varsity sports: https://t.co/BF0GhdBvN0</t>
  </si>
  <si>
    <t>TV and Streaming Viewing Picks for June 15, 2024: how to watch Panthers-Oilers, Game 4 https://t.co/BiM4OxX5Hu https://t.co/6vjcsDb3aJ</t>
  </si>
  <si>
    <t>#AmericanSoccerWeekend: @ATLUTD &amp; @FCDallas return to MLS action under new coaches ... @WashSpirit expects a sellout for its NWSL game against San Diego ... Red-hot @IndyEleven  makes a move to bolster its attack. https://t.co/68Rs86y8UI</t>
  </si>
  <si>
    <t>Jake Fenner</t>
  </si>
  <si>
    <t>jake.fenner@mailonline.com</t>
  </si>
  <si>
    <t>jakefenner_</t>
  </si>
  <si>
    <t>Mentally Elsewhere</t>
  </si>
  <si>
    <t>New Englander. CBB, Soccer + more @MailSport. Former award-winning Bundesliga Podcaster. @NewhouseSU alum🍊. (He/Him)❤️&amp; RT≠endorsement. Views=mine.</t>
  </si>
  <si>
    <t>RT @hfdathletic: Welcome Back Younes! 🟢🔵
Read more about Younes' return ➡️ https://t.co/s53Wpgc6Q2 https://t.co/2uaQnGTGVj</t>
  </si>
  <si>
    <t>San Antonio FC is visiting Indy Eleven tonight with a chance to snap a losing streak but still dealing with injuries in the lineup 
Click for more. https://t.co/Q9QiBZKceZ</t>
  </si>
  <si>
    <t>Atlanta United working to improve mental side early under Rob Valentino #ATLUTD #MLS  https://t.co/R7sLP6thzf</t>
  </si>
  <si>
    <t>.@IndyEleven head coach Sean McAuley is the @USLChampionship's Coach of the Month. ⚽️ --&gt; https://t.co/Vg15DiatZa
@WISHNews8 | @The_BYB https://t.co/LaAjgI3NQN</t>
  </si>
  <si>
    <t>RT @ADChernoff: .@IndyEleven head coach Sean McAuley is the @USLChampionship's Coach of the Month. ⚽️ --&gt; https://t.co/Vg15DiatZa
@WISHNew…</t>
  </si>
  <si>
    <t>@bvbman09 Thanks RBO. We wrote about it yesterday on our website. We don't tweet every story we publish 👍🏻
https://t.co/Z4mKxKOlwv</t>
  </si>
  <si>
    <t>News Reporter and Anchor</t>
  </si>
  <si>
    <t>kurt.darling@radio-one.com</t>
  </si>
  <si>
    <t>KurtDarling_PBP</t>
  </si>
  <si>
    <t>Fishers, Indiana</t>
  </si>
  <si>
    <t>Sports Director at Woof Boom Radio. TV Voice of @TheSIFC. @IndyCar beat writer @1075TheFan. @IndianaState alum. Retired T&amp;F Athlete. Opinions are my own.</t>
  </si>
  <si>
    <t>RT @IndyEleven: A perfect month for the gaffer 💯
Sean McAuley is named the @USLChampionship Coach of the Month for May!
📰 https://t.co/SB…</t>
  </si>
  <si>
    <t>.@IndyEleven is up to third place in the @USLChampionship Eastern Conference standings. ⚽️
@AngelaMoryanTV caught… https://t.co/4UuGbOI7zT</t>
  </si>
  <si>
    <t>Local Government Reporter</t>
  </si>
  <si>
    <t>peter.blanchard@mirrorindy.org</t>
  </si>
  <si>
    <t>peterlblanchard</t>
  </si>
  <si>
    <t>Journalist keeping an 👁️ on Indianapolis @mirrorindy | 📧:peter.blanchard@mirrorindy.org | Signal: 317-605-4836</t>
  </si>
  <si>
    <t>Politics</t>
  </si>
  <si>
    <t>This is a first: A reader compares Indy Mayor Joe Hogsett’s pursuit of @MLS to Vladimir Putin’s pursuit of Ukraine… https://t.co/II5E1bVeUC</t>
  </si>
  <si>
    <t>NEW: World Soccer Talk proudly presents a preview episode of Inside Euro 2024, the new daily #Euro2024 pod featurin… https://t.co/yd1OWfRbrw</t>
  </si>
  <si>
    <t>Battery host Pittsburgh in clash of '90s clubs on Saturday https://t.co/chDTFX11TF @Chas_Battery</t>
  </si>
  <si>
    <t>Battery host Pittsburgh in clash of '90s clubs Tonight https://t.co/chDTFX1zJd</t>
  </si>
  <si>
    <t>Jeff Hartsell</t>
  </si>
  <si>
    <t>jhartsell@postandcourier.com</t>
  </si>
  <si>
    <t>FromtheJeff</t>
  </si>
  <si>
    <t>Charleston Battery matches air on national television,unprecedented exposure from ⁦@APMILLER_PandC⁩  https://t.co/7IOhmdsMJj</t>
  </si>
  <si>
    <t>Rob Gantt</t>
  </si>
  <si>
    <t>rgantt@ourgazette.com</t>
  </si>
  <si>
    <t>GanttRob</t>
  </si>
  <si>
    <t>RT @Jeff_fromthePC: Charleston Battery matches air on national television,unprecedented exposure from ⁦@APMILLER_PandC⁩  https://t.co/7IOhm…</t>
  </si>
  <si>
    <t>apmiller@postandcourier.com</t>
  </si>
  <si>
    <t>APMILLER_PandC</t>
  </si>
  <si>
    <t xml:space="preserve">Charleston, S.C. </t>
  </si>
  <si>
    <t>The Great One! The other guy is Wayne Gretzky. Reporter for The Charleston Post and Courier. Covering The Citadel, CofC, Stingrays, Battery, etc.</t>
  </si>
  <si>
    <t>Sports,World</t>
  </si>
  <si>
    <t>RT @postandcourier: Charleston Battery matches air on national television, providing unprecedented exposure https://t.co/XEP3iuDtuk</t>
  </si>
  <si>
    <t>San Antonio FC hits the road tomorrow to face Tulsa FC.
The club is just trying to keep going with a number of pla… https://t.co/IIUknp7BJw</t>
  </si>
  <si>
    <t>Damin Esper</t>
  </si>
  <si>
    <t>Freelance Writer, Sports and Crime Reporter</t>
  </si>
  <si>
    <t>desper@piedmontexedra.com</t>
  </si>
  <si>
    <t>DaminEsper</t>
  </si>
  <si>
    <t>Journalist, musician, broadcaster, media critic or red-headed, lumpy and with a loud voice - Hey, I'm Menelaus! Mr. Rogers was on Letterman on my 16th birthday.</t>
  </si>
  <si>
    <t>Crime and Justice,Sports</t>
  </si>
  <si>
    <t>Piedmont Exedra,Freelance</t>
  </si>
  <si>
    <t>RT @fieldofschemes: "Leaders say" spending $650m on a Panthers stadium is necessary, if by "leaders" you mean the Charlotte Regional Busine…</t>
  </si>
  <si>
    <t>News Director and Multimedia Content Producer</t>
  </si>
  <si>
    <t>john.herrick@radio-one.com</t>
  </si>
  <si>
    <t>johnherrick10</t>
  </si>
  <si>
    <t>Greenwood, IN</t>
  </si>
  <si>
    <t>News Director for WIBC/Network Indiana. Sportscaster on IU Radio Network and ISC Sports Network. Tweets are my own.</t>
  </si>
  <si>
    <t>Here was the first half hour of @IndSportsTalk last night. I spent the majority of the time talking to my friend… https://t.co/tbEAHZIypi</t>
  </si>
  <si>
    <t>Ed Thompson</t>
  </si>
  <si>
    <t>Multimedia Photojournalist</t>
  </si>
  <si>
    <t>tjcoached12@gmail.com</t>
  </si>
  <si>
    <t>ThompsonFoto12</t>
  </si>
  <si>
    <t>Multimedia Photojournalist @PghSteelersNow 📸@PghSportsNow @HSSports01 @ZUMAPress Member @NPPA @PFWAwriters Retired FF/Paramedic</t>
  </si>
  <si>
    <t>Metro Pittsburgh</t>
  </si>
  <si>
    <t>Steelers Now,Freelance</t>
  </si>
  <si>
    <t>RT @pghsoccernow: In the latest Riverhounds Notebook, @JohnKrysinsky takes a deeper look to see if there are any adjustments or roster move…</t>
  </si>
  <si>
    <t>RT @WFYINews: City seeks public input on historic Greenlawn Cemetery site | via @JillASheridan https://t.co/yz8OYkBLR7</t>
  </si>
  <si>
    <t>John Varlas</t>
  </si>
  <si>
    <t>jvarlas@dailymemphian.com</t>
  </si>
  <si>
    <t>johnvarlas</t>
  </si>
  <si>
    <t>Somewhere grinding hard.</t>
  </si>
  <si>
    <t>HS sports/901 FC/Liberty Bowl for the Daily Memphian. E-mail ideas and/or tips to jvarlas@dailymemphian.com. Memphis' most interactive media person.</t>
  </si>
  <si>
    <t>The Daily Memphian</t>
  </si>
  <si>
    <t>RT @Memphis901FC: Only one answer here folks. Vote NOW!!! 🔽🔽
🗳️https://t.co/iYdVmEAOOA https://t.co/5M5hJwbVXV</t>
  </si>
  <si>
    <t>kbarnes.pg@gmail.com</t>
  </si>
  <si>
    <t>KBarnes_PG</t>
  </si>
  <si>
    <t>High School Sports/Riverhounds Writer for @PIttsburghPG &amp; @PGSportsNow
@HarvardEXT MA Journalism 2018
@PointParkU alumnus
412 born</t>
  </si>
  <si>
    <t>Metro Pittsburgh,Sports</t>
  </si>
  <si>
    <t>My story for @PGSportsNow on @FxCAthletics junior Pablo Linzoain as he takes his first foray into professional socc… https://t.co/N8KuXY9tpr</t>
  </si>
  <si>
    <t>RT @93wibc: NEWS: An opinion from Attorney General Todd Rokita says that Indy's plans for a tax district for an MLS soccer stadium may viol…</t>
  </si>
  <si>
    <t>GOOOOOOOOOOOOAL! @JamesEBriggs scores with a header: Indy Eleven's loudest voices prove nothing about MLS support… https://t.co/O4zW3c2Ylb</t>
  </si>
  <si>
    <t>San Antonio FC welcomes El Paso to town on Wednesday. The whole country will be able to watch it.  https://t.co/vG9m6OgO8e</t>
  </si>
  <si>
    <t>RT @mirrorindy: Mayor Joe Hogsett's MLS-or-bust plan to help finance a Major League Soccer stadium near the downtown Indianapolis heliport…</t>
  </si>
  <si>
    <t>Briggs: Here comes MLS? 5 takeaways on the Indianapolis council's stadium vote https://t.co/ZsQVWnC3Rx via @indystar</t>
  </si>
  <si>
    <t>RT @JamesEBriggs: Prediction! I think Indianapolis is getting an MLS club. https://t.co/HIhMm5HFSb</t>
  </si>
  <si>
    <t>State lawmaker explains legislation city will use to fund new stadium from @AllyBurris  Mishler: 2019 funding bill… https://t.co/O9pUl40EIy</t>
  </si>
  <si>
    <t>Mishler: 2019 funding bill to help with stadium never tied to an individual, group or site https://t.co/2DSAGcMCTQ via @indystar</t>
  </si>
  <si>
    <t>Rob Kendall</t>
  </si>
  <si>
    <t>Co-Host, Kendall and Casey Show</t>
  </si>
  <si>
    <t>Rob@wibc.com</t>
  </si>
  <si>
    <t>RobMKendall</t>
  </si>
  <si>
    <t>Co host of Kendall &amp; Casey 9-12 @93wibc and @DegenNxtDoorPod</t>
  </si>
  <si>
    <t>State Legislature vs Rokita. This should be interesting. Also, the state is doing the exact thing here they gutted… https://t.co/e9F2XlHw4P</t>
  </si>
  <si>
    <t>Rich Nye</t>
  </si>
  <si>
    <t>rnye@Wthr.com</t>
  </si>
  <si>
    <t>RichNye13</t>
  </si>
  <si>
    <t>MSJ Reporter for @WTHRcom 13 News, the @TEGNA owned @NBC affiliate in Indianapolis. I tell stories to inform, enrich, and engage lives in central Indiana.</t>
  </si>
  <si>
    <t>RT @WTHRcom: The Indianapolis City-County Council approved a motion Monday night that would create a new tax district to fund Mayor Hogsett…</t>
  </si>
  <si>
    <t>Cierra Putman</t>
  </si>
  <si>
    <t>Cierra.Putman@wthr.com</t>
  </si>
  <si>
    <t>CierraReporter</t>
  </si>
  <si>
    <t>@WTHRcom 13 Investigates Reporter. @GreatLakesEmmys @IndianaProSPJ @thegracies awards. @SNEABJ co-Founder. #Kitty mom #MIZZOU grad! Cierra.Putman@wthr.com</t>
  </si>
  <si>
    <t>Crime and Justice,U.S. Regional</t>
  </si>
  <si>
    <t>danielle.zulkosky@WISHTV.com</t>
  </si>
  <si>
    <t>DZulkosky</t>
  </si>
  <si>
    <t>Emmy nominated reporter @WISHNews8 • Formerly @WFRVLocal5 • @HofstraU alum • She/Her • danielle.zulkosky@wishtv.com</t>
  </si>
  <si>
    <t>RT @WISHNews8: The Indianapolis City-County Council on Monday night voted to pass a Professional Sports Development Area to help fund a pro…</t>
  </si>
  <si>
    <t>Sydney Simone</t>
  </si>
  <si>
    <t>Anchor and Multimedia Journalist</t>
  </si>
  <si>
    <t>ssimone@brproud.com</t>
  </si>
  <si>
    <t>SydneySimone1</t>
  </si>
  <si>
    <t>DET | CHI | ATL | HTX | BR📍</t>
  </si>
  <si>
    <t>Award-Winning Journalist 🏆 TV Anchor/ Reporter @LAFirstNews| Creator + Host @collegeplayshow| @NABJ Member| Purdue 🚂 ΔΣΘ | Track &amp; #WBB Advocate | God's plan✨</t>
  </si>
  <si>
    <t>BRProud,WBRL-TV (Baton Rouge, LA)</t>
  </si>
  <si>
    <t>Mike Chappell</t>
  </si>
  <si>
    <t>Co-Host, Reporter</t>
  </si>
  <si>
    <t>mchappell@fox59.com</t>
  </si>
  <si>
    <t>mchappell51</t>
  </si>
  <si>
    <t>Been covering the Colts since they came to Indy '84. Now doing it with FOX59/CBS4 Sports. Member of the Pro Football Hall of Fame Selection Committee.</t>
  </si>
  <si>
    <t>Colts Blue Zone Podcast,WTTV-TV (Indianapolis, IN),WXIN-TV (Indianapolis, IN)</t>
  </si>
  <si>
    <t>RT @FOX59: The Indianapolis City-County Council approved a proposal Monday night to create a special taxing district and take another step…</t>
  </si>
  <si>
    <t>Justin Powell</t>
  </si>
  <si>
    <t>News Producer</t>
  </si>
  <si>
    <t>jpowell@fox59.com</t>
  </si>
  <si>
    <t>justin_powell24</t>
  </si>
  <si>
    <t>News Producer @fox59/@cbs4indy| Former: @IndyStarSports, Shelbyville News| IUPUI’21| Story Idea? jpowell@fox59.com</t>
  </si>
  <si>
    <t>The Indianapolis City-County Council approved a proposal Monday night to create a special taxing district and take… https://t.co/Ke8vxHQkck</t>
  </si>
  <si>
    <t>Dan Spehler</t>
  </si>
  <si>
    <t>News Anchor and Host</t>
  </si>
  <si>
    <t>dspehler@fox59.com</t>
  </si>
  <si>
    <t>DanSpehler</t>
  </si>
  <si>
    <t>Proud father, husband, sports fan. PM news anchor, host of @INfocusIndiana on @FOX59 @CBS4Indy, winner of 7 regional Emmys, covering news from IN/OH for 25 yrs</t>
  </si>
  <si>
    <t>Lindsey Erdody</t>
  </si>
  <si>
    <t>Editor, Local</t>
  </si>
  <si>
    <t>lindsey.erdody@axios.com</t>
  </si>
  <si>
    <t>lerdody</t>
  </si>
  <si>
    <t>Editor for @Axios Local. Formerly @IBJnews, @WFYI. @IUBloomington journalism grad. Dog mom to Dasher. 2x marathon runner.</t>
  </si>
  <si>
    <t>Education,Health,U.S. Regional</t>
  </si>
  <si>
    <t>One more step forward for the new soccer stadium plan: https://t.co/zAcEiBVbCd</t>
  </si>
  <si>
    <t>RT @socceramerica: Of the 80 players called in to the U-14 women's talent ID program at the Chula Vista Elite Athlete Training Center, two…</t>
  </si>
  <si>
    <t>NEW: Indiana AG Todd Rokita is wading into the debate on Indianapolis’s MLS efforts, telling a lawmaker in a memo l… https://t.co/wVV3kxUJb6</t>
  </si>
  <si>
    <t>RT @MickeyShuey: NEW: Indiana AG Todd Rokita is wading into the debate on Indianapolis’s MLS efforts, telling a lawmaker in a memo late las…</t>
  </si>
  <si>
    <t>Cate Charron</t>
  </si>
  <si>
    <t>repcatcharr@gmail.com</t>
  </si>
  <si>
    <t>catecharron</t>
  </si>
  <si>
    <t>First Amendment reporter @indystar | beep me: ccharron@indystar.com | Signal: cate.charron.28</t>
  </si>
  <si>
    <t>Business and Finance,Politics,U.S. Regional</t>
  </si>
  <si>
    <t>Gerry Dick</t>
  </si>
  <si>
    <t>Host, President</t>
  </si>
  <si>
    <t>gdick@iibnews.com</t>
  </si>
  <si>
    <t>GerryDick</t>
  </si>
  <si>
    <t>Emmy Award-winning journalist, entrepreneur, husband, father, native Hoosier, sports fanatic.</t>
  </si>
  <si>
    <t>Inside INdiana Business,Ag+Bio+Science</t>
  </si>
  <si>
    <t>Zach Osterman</t>
  </si>
  <si>
    <t>Indiana University Athletics and College Sports Reporter</t>
  </si>
  <si>
    <t>zach.osterman@indystar.com</t>
  </si>
  <si>
    <t>ZachOsterman</t>
  </si>
  <si>
    <t>ÜT: 39.778913,-85.991226</t>
  </si>
  <si>
    <t>Cover IU athletics, college sports for @indystar. Satellite Scouser. Publix ultra. Forever I love Atlanta. zach.osterman@indystar.com</t>
  </si>
  <si>
    <t>RT @indystar: Briggs: Indianapolis council's MLS vote will nuke an unwritten rule https://t.co/Jh05wnyNHZ</t>
  </si>
  <si>
    <t>RT @JamesEBriggs: It's gratifying to write about something I find interesting, like an obscure @IndyCouncil protocol, and see people readin…</t>
  </si>
  <si>
    <t>Joel A. Erickson</t>
  </si>
  <si>
    <t>Co-Host, Colts Insider Reporter</t>
  </si>
  <si>
    <t>jerickson@indystar.com</t>
  </si>
  <si>
    <t>JoelAErickson</t>
  </si>
  <si>
    <t>Colts insider for @IndyStar. FOX59/CBS4 analyst. Husband, father, goldendoodle owner, Mizzou &amp; SJI alum. Psalms 73:26</t>
  </si>
  <si>
    <t>IndyStar,Colts Cover 2 Podcast</t>
  </si>
  <si>
    <t>Rules are made to be broken IMHO. @JamesEBriggs: Indianapolis council's MLS vote will nuke an unwritten rule… https://t.co/eYGloluUFD</t>
  </si>
  <si>
    <t>RT @JamesEBriggs: When the @IndyCouncil passes Mayor Joe Hogsett's MLS plan tonight — and that's what's going to happen, barring a crazy un…</t>
  </si>
  <si>
    <t>RT @PghSteelersNow: Daily News &amp; Links: Kwon Alexander Rap Song Featuring #Steelers CB; Justin Fields Photoshoot https://t.co/JOLx9DTP7j</t>
  </si>
  <si>
    <t>Nick Farabaugh</t>
  </si>
  <si>
    <t>Steelers Beat Writer</t>
  </si>
  <si>
    <t>nfarabaugh@pennlive.com</t>
  </si>
  <si>
    <t>FarabaughFB</t>
  </si>
  <si>
    <t>Steelers beat reporter @PennLive / Host of Steelers Breakdown / Offensive Line Enthusiast / PFWA Member / Email/Inquiries: nfara2000@gmail.com</t>
  </si>
  <si>
    <t>The Patriot-News</t>
  </si>
  <si>
    <t>RT @PghSteelersNow: Daily News &amp; Links: Hines Ward Selling House; #Steelers Defensive Triplets Ranking https://t.co/A9rb41pNhs</t>
  </si>
  <si>
    <t>San Antonio FC beat Memphis 1-0 to open the month of June on Saturday night. It was the club's first win at home si… https://t.co/mfZdUnbT59</t>
  </si>
  <si>
    <t>@RiverhoundsSC extend winless streak to five in 2-1 loss to Indy Eleven. 
My recap for @PGSportsNow 
https://t.co/9neIMTUfpS</t>
  </si>
  <si>
    <t>RT @soccer_rabbi: Riverhounds lose to Indy Eleven 2-1 at home
My report for @pghsoccernow  
cc: @cjcoreschi 
https://t.co/2YNXsfxBTR</t>
  </si>
  <si>
    <t>RT @pghsoccernow: Hounds Lose Again!
@RiverhoundsSC can’t overcome deficit as they fall victim to red-hot @IndyEleven, 2-1 — and drop to 3…</t>
  </si>
  <si>
    <t>Here's my preview of tonight's Memphis 901 FC game @ San Antonio FC for @BluffCity_Media
https://t.co/Rk2V8EJkfa</t>
  </si>
  <si>
    <t>RT @901SoccerPod: Here's @ldock93's preview of Memphis 901 FC @ San Antonio FC for @BluffCity_Media 
https://t.co/ZbAhhhYSFN</t>
  </si>
  <si>
    <t>NEW: @INDairport has confirmed it is moving ahead with plans to decommission the Indianapolis Downtown Heliport—a k… https://t.co/etYRHTdGwj</t>
  </si>
  <si>
    <t>RT @MickeyShuey: NEW: @INDairport has confirmed it is moving ahead with plans to decommission the Indianapolis Downtown Heliport—a key step…</t>
  </si>
  <si>
    <t>Dave Lindquist</t>
  </si>
  <si>
    <t>Host, The Beat with Dave Lindquist, Reporter</t>
  </si>
  <si>
    <t>dlindquist@ibj.com</t>
  </si>
  <si>
    <t>317lindquist</t>
  </si>
  <si>
    <t>Indianapolis Business Journal reporter, @ibjnews. / Host of "The Beat with Dave Lindquist" 7p Mondays on @wttsfm. / Click below for current playlist.</t>
  </si>
  <si>
    <t>Arts and Entertainment,Business and Finance,Food and Dining,U.S. Regional</t>
  </si>
  <si>
    <t>Indianapolis Business Journal,WTTS-FM (Trafalgar, IN)</t>
  </si>
  <si>
    <t>Derek Schultz</t>
  </si>
  <si>
    <t>Co-host, Contributor, Podcast Co-Host</t>
  </si>
  <si>
    <t>derek@queryandschultz.com</t>
  </si>
  <si>
    <t>Schultz975</t>
  </si>
  <si>
    <t>Indianapolis⬅️via Connecticut</t>
  </si>
  <si>
    <t>Professional talker guy | 💼Media Relations @LifeAtPurdue | 📺Query &amp; Schultz @iscsportsnet | ✍️@IBJnews &amp; @indymonthly | 🎧@goldandblackcom | #Midtown resident</t>
  </si>
  <si>
    <t>Query &amp; Schultz Podcast,Query &amp; Schultz,Freelance</t>
  </si>
  <si>
    <t>RT @93wibc: Why are so many people so incurious about Joe Hogsett going rogue? via @tonykatz https://t.co/zgt6zAaqiS</t>
  </si>
  <si>
    <t>'In a state of shock and sorrow:' Popular and beloved Indy sports emcee Scott Alan dies https://t.co/JPwnjtEoPw via @indystar</t>
  </si>
  <si>
    <t>RT @DanaBenbow: 'In a state of shock and sorrow:' Popular and beloved Indy sports emcee Scott Alan dies https://t.co/JPwnjtEoPw via @indyst…</t>
  </si>
  <si>
    <t>From last night: Joe Hogsett is giving councilors an ultimatum for soccer in Indianapolis. They can support his pla… https://t.co/KpGJ4DmZhI</t>
  </si>
  <si>
    <t>RT @Ty_Fenwick: From last night: Joe Hogsett is giving councilors an ultimatum for soccer in Indianapolis. They can support his plan, or th…</t>
  </si>
  <si>
    <t>carley.lanich@mirrorindy.org</t>
  </si>
  <si>
    <t>carleylanich</t>
  </si>
  <si>
    <t>Writing about all things education for @mirrorindy. Formerly @IIB, @SBTribune, @nwi. IU/@idsnews alumna. Story tips? Let’s chat: carley.lanich@mirrorindy.org.</t>
  </si>
  <si>
    <t>Business and Finance,U.S.</t>
  </si>
  <si>
    <t>Briggs: Joe Hogsett's MLS plan is happening https://t.co/u8wbeKj2AT via @indystar</t>
  </si>
  <si>
    <t>RT @starwatchtim: Briggs: Joe Hogsett's MLS plan is happening https://t.co/u8wbeKj2AT via @indystar</t>
  </si>
  <si>
    <t>There's one question that matters: Do you think an #MLS team would be good for Indianapolis? If yes, then Mayor Hog… https://t.co/mQX5WNr4IV</t>
  </si>
  <si>
    <t>RT @MattGlenesk: There's one question that matters: Do you think an #MLS team would be good for Indianapolis? If yes, then Mayor Hogsett's…</t>
  </si>
  <si>
    <t>Dustin Dopirak</t>
  </si>
  <si>
    <t>Indiana Pacers Beat Writer</t>
  </si>
  <si>
    <t>DDopirak@gannett.com</t>
  </si>
  <si>
    <t>DustinDopirak</t>
  </si>
  <si>
    <t>Indiana Pacers beat writer at the Indianapolis Star.</t>
  </si>
  <si>
    <t>Tributes pour in for Scott Alan after longtime Indianapolis sports emcee passes away at 59 https://t.co/CMauc6wIF5</t>
  </si>
  <si>
    <t>Sam Neumann</t>
  </si>
  <si>
    <t>samhneumann@gmail.com</t>
  </si>
  <si>
    <t>Sam_Neumann_</t>
  </si>
  <si>
    <t>📍Greenville, SC</t>
  </si>
  <si>
    <t>senior writer/editor @awfulannouncing | #TempleMade</t>
  </si>
  <si>
    <t>The Comeback,Awful Announcing</t>
  </si>
  <si>
    <t>RT @awfulannouncing: Tributes pour in for Scott Alan after longtime Indianapolis sports emcee passes away at 59 https://t.co/14y4qpxPZh</t>
  </si>
  <si>
    <t>John Rooke</t>
  </si>
  <si>
    <t>Host, Sports Columnist</t>
  </si>
  <si>
    <t>john.rooke@comcast.net</t>
  </si>
  <si>
    <t>JRbroadcaster</t>
  </si>
  <si>
    <t>ÜT: 41.809634,-71.339736</t>
  </si>
  <si>
    <t>Friars radio | NE Patriots vox |
Big East | Learfield | projo.com |
Patriots.com | www.Dean.edu | rirtvhof.com</t>
  </si>
  <si>
    <t>Patriots Player &amp; Coach Audio,WEEI-FM (Brighton, MA),NFL Network,friars.com</t>
  </si>
  <si>
    <t>RT @RhodeIslandFC: NATIONAL NETWORK BROADCAST! 📺
Our match at Detroit City FC is hitting the national spotlight on @CBS for the first time…</t>
  </si>
  <si>
    <t>Co-Lead Anchor</t>
  </si>
  <si>
    <t>hanna.mordoh@wishtv.com</t>
  </si>
  <si>
    <t>HannaMordoh</t>
  </si>
  <si>
    <t>@WISH_TV News 8 Anchor * Journalist * Proud mom * @IUBloomington alum * Tweets = my own * Retweets are not endorsements</t>
  </si>
  <si>
    <t>Scott Alan, announcer for Indy Fuel and Indy Eleven dies in a crash...
https://t.co/iOnsAVtmDK</t>
  </si>
  <si>
    <t>Nicole Griffin</t>
  </si>
  <si>
    <t>News Anchor and Reporter</t>
  </si>
  <si>
    <t>nicole.griffin@wrtv.com</t>
  </si>
  <si>
    <t>NicoleGriffinTV</t>
  </si>
  <si>
    <t>Emmy Award Winning Anchor at @WRTV in Indianapolis @BallState &amp; @BenDavisHS Alumni</t>
  </si>
  <si>
    <t>RT @wrtv: Scott Alan, a long-time emcee for the Indy Fuel and announcer for Indy Eleven, died in a car crash on Monday, Indy Fuel announced…</t>
  </si>
  <si>
    <t>Tim Bath</t>
  </si>
  <si>
    <t>Photo Editor</t>
  </si>
  <si>
    <t>tim.bath@kokomotribune.com</t>
  </si>
  <si>
    <t>TimBathKT</t>
  </si>
  <si>
    <t>Indianapolis council committee passes stadium proposal with 6-4 vote https://t.co/GrxDeJ3i3w via @indystar</t>
  </si>
  <si>
    <t>RT @srudavsky: Latest development in Indy's path towards MLS stadium by @AllyBurris  https://t.co/VINUaC09rs via @indystar</t>
  </si>
  <si>
    <t>Latest development in Indy's path towards MLS stadium by @AllyBurris  https://t.co/VINUaC09rs via @indystar</t>
  </si>
  <si>
    <t>Domenica Bongiovanni</t>
  </si>
  <si>
    <t>Arts and Creativity Reporter</t>
  </si>
  <si>
    <t>d.bongiovanni@indystar.com</t>
  </si>
  <si>
    <t>DomenicaReports</t>
  </si>
  <si>
    <t>Arts &amp; creativity reporter @indystar. Fascinated by ways the arts change how and where you live. I love to gawk at historic buildings and eat too many olives.</t>
  </si>
  <si>
    <t>Arts and Entertainment,U.S. Regional</t>
  </si>
  <si>
    <t>RT @FOX59: Indy Fuel emcee and Indy Eleven PA announcer Scott Alan has died. The Fuel announced Alan's sudden passing on Tuesday.
https://t…</t>
  </si>
  <si>
    <t>RT @93wibc: NEWS: An @IndyCouncil committee gave initial approval to @IndyMayorJoe's proposal for an MLS soccer stadium Tuesday evening.
ht…</t>
  </si>
  <si>
    <t>griffin.gonzalez@wrtv.com</t>
  </si>
  <si>
    <t>grifgonzo</t>
  </si>
  <si>
    <t>Reporter @wrtv || @IUHoosiers In-stadium emcee || Indiana University Alum || Previously: WDRB News, @Pacers || Story tips: griffin.gonzalez@wrtv.com</t>
  </si>
  <si>
    <t>RT @wrtv: Tuesday, The Rules and Policy Committee gave a do-pass recommendation for a new professional sports development area.
It's the f…</t>
  </si>
  <si>
    <t>Sean Ash</t>
  </si>
  <si>
    <t>Meteorologist</t>
  </si>
  <si>
    <t>sash@wthr.com</t>
  </si>
  <si>
    <t>SeanAshWX</t>
  </si>
  <si>
    <t>39° 44' N 86° 17' W</t>
  </si>
  <si>
    <t>Meteorologist | #BlameSean | #Indy 🏠 | chocoholic | ❤️ B&amp;G | father of 3 | husband | @WKU @WKUWeather Grad | Lifelong @UofL #WhoDey @Reds Fan</t>
  </si>
  <si>
    <t>Science,U.S. Regional,Weather</t>
  </si>
  <si>
    <t>RT @WTHRcom: Scott Alan, the popular emcee at Indy Fuel games and PA announcer for the Indy Eleven, died in a car crash on Monday, the Fuel…</t>
  </si>
  <si>
    <t>Dustin Grove</t>
  </si>
  <si>
    <t>News Anchor</t>
  </si>
  <si>
    <t>dustin.grove@wthr.com</t>
  </si>
  <si>
    <t>DustinGroveTV</t>
  </si>
  <si>
    <t>Indiana</t>
  </si>
  <si>
    <t>Storyteller| Educator | Native Hoosier | Lover of good conversation, coffee and craft beer | @wthrcom @tegna @WISH_TV @wlfi @wsbt @ballstate @lifeatpurdue</t>
  </si>
  <si>
    <t>RT @IBJnews: Indianapolis Mayor Joe Hogsett’s effort to cement a taxing district framework to help pay for a Major League Soccer stadium do…</t>
  </si>
  <si>
    <t>Want to get caught up on where things stand on the Hogsett administration's effort to secure funding for a new Majo… https://t.co/YmvswAVQdb</t>
  </si>
  <si>
    <t>RT @MickeyShuey: Want to get caught up on where things stand on the Hogsett administration's effort to secure funding for a new Major Leagu…</t>
  </si>
  <si>
    <t>Jeff Carlisle</t>
  </si>
  <si>
    <t>Soccer Reporter</t>
  </si>
  <si>
    <t>jeff.carlisle@espn.com</t>
  </si>
  <si>
    <t>JeffreyCarlisle</t>
  </si>
  <si>
    <t>Soccer reporter for ESPN.</t>
  </si>
  <si>
    <t>RT @socceramerica: What We're Reading Tuesday
1. Spanish court rules in favor of Super League creators (BBC Sport)
2. 2024 Copa América to…</t>
  </si>
  <si>
    <t>Brittani Howell</t>
  </si>
  <si>
    <t>Community Engagement Specialist</t>
  </si>
  <si>
    <t>_BrittaniHowell</t>
  </si>
  <si>
    <t>Community engagement trainer for @A_Amplified She/her. Dog pictures and book recommendations welcome. |  bhowell@wfyi.org</t>
  </si>
  <si>
    <t>Side Effects Public Media</t>
  </si>
  <si>
    <t>RT @WFYINews: Newgarden goes back-to-back at Indy 500 to give Roger Penske record-extending 20th win | via @AP https://t.co/mu4kkTYA9Y</t>
  </si>
  <si>
    <t>RT @SoccerDownHere: ANOTHER SATURDAY AT THE BENZ!! 
@MadisonCrews7 previews Atlanta United’s match today versus LAFC at home! 
#ATLUTD | #…</t>
  </si>
  <si>
    <t>A grave concern. 87 burials have been uncovered from the Indianapolis soccer stadium site https://t.co/sJNmcDhnqQ</t>
  </si>
  <si>
    <t>RT @IBJnews: Gov. Eric Holcomb says he has no plans to jump into a dispute between the Hogsett administration and Keystone Group about the…</t>
  </si>
  <si>
    <t>NEW: While a new soccer stadium—and MLS—are far from guaranteed for Indianapolis, there are plenty of things the ci… https://t.co/Cp3YLLKIW7</t>
  </si>
  <si>
    <t>Really loved @heyEnriqueSaenz's article about westside veterans in today's @mirrorindy newsletter. https://t.co/k7NSL4rBZW</t>
  </si>
  <si>
    <t>33 things to know about this year’s #Indy500. Very interesting information compiled by @WTHRcom. https://t.co/4pDpiBtqI3</t>
  </si>
  <si>
    <t>RT @RichNye13: 33 things to know about this year’s #Indy500. Very interesting information compiled by @WTHRcom. https://t.co/4pDpiBtqI3</t>
  </si>
  <si>
    <t>Live Team Reporter, Managing Editor and Writer</t>
  </si>
  <si>
    <t>lhenry1919@gmail.com</t>
  </si>
  <si>
    <t>lhenry019</t>
  </si>
  <si>
    <t>Huntingdon Valley, PA</t>
  </si>
  <si>
    <t>Live Team Reporter at @TheAthletic, @TheAthleticFC. 
Managing Editor/USMNT Insider at @SBIsoccer. 
Part-Owner: @ChesterFC! Maple Shade and Rowan U Grad.</t>
  </si>
  <si>
    <t>SBI Soccer,The Athletic</t>
  </si>
  <si>
    <t>RT @SBISoccer: Sporting KC - FC Dallas headlines the U.S. Open Cup quarterfinal draw. #USOC https://t.co/vEW4ElupU0</t>
  </si>
  <si>
    <t>Atlanta United vs. Indy Eleven scheduled for July 9 #ATLUTD  https://t.co/CHFzE6K3KM</t>
  </si>
  <si>
    <t>Chris Sikich</t>
  </si>
  <si>
    <t>chris.sikich@mirrorindy.org</t>
  </si>
  <si>
    <t>ChrisSikich</t>
  </si>
  <si>
    <t>Managing editor @mirrorindy. Alum of The Indianapolis Star and Ball State. Fan of craft beer and bourbon. Swimmer. Triathlete. Husband. Girl dad.</t>
  </si>
  <si>
    <t>Hogsett suggests memorial or park at former Greenlawn Cemetery https://t.co/TcII64Jadb via @mirrorindy</t>
  </si>
  <si>
    <t>Hogsett suggests memorial or park at former Greenlawn Cemetery https://t.co/Dhux7MUL6r via @mirrorindy with @peterlblanchard</t>
  </si>
  <si>
    <t>New: Mayor Joe Hogsett on Thursday suggested that the Eleven Park site could be turned into a memorial or park to h… https://t.co/oc7ypqypC8</t>
  </si>
  <si>
    <t>RT @Ty_Fenwick: Hogsett suggests memorial or park at former Greenlawn Cemetery https://t.co/Dhux7MUL6r via @mirrorindy with @peterlblanchard</t>
  </si>
  <si>
    <t>RT @peterlblanchard: New: Mayor Joe Hogsett on Thursday suggested that the Eleven Park site could be turned into a memorial or park to hono…</t>
  </si>
  <si>
    <t>RT @mirrorindy: But the possibility of human remains might not be the only reason why negotiations broke down between Keystone Group and th…</t>
  </si>
  <si>
    <t>RT @opencup: 2024 Open Cup Quarters, Semis &amp; Final to Stream FREE on @MLS Season Pass on @AppleTV 
#USOC2024 » https://t.co/0KaS80wJDx htt…</t>
  </si>
  <si>
    <t>Stakes for the Open Cup quarterfinal just got a bit bigger: US Soccer confirms the winner of the Sounders-Republic… https://t.co/lUkwgH8MV8</t>
  </si>
  <si>
    <t>Sammy Sadovnik</t>
  </si>
  <si>
    <t>Play by Play and Sports Anchor</t>
  </si>
  <si>
    <t>sadovnik1965</t>
  </si>
  <si>
    <t>Miami, Florida</t>
  </si>
  <si>
    <t>Emmy Award Winner. Periodista Deportivo &amp; Relator de Fútbol @fdpradio. Lead Play by Play  #MLSseasonpass @AppleTV. Viajero, Cinéfilo &amp; Amante de la Gastronomía.</t>
  </si>
  <si>
    <t>Fútbol de Primera Radio</t>
  </si>
  <si>
    <t>RT @IndyEleven: The matchup is set 📆
Indy will face @ATLUTD on Tuesday, July 9 at Fifth Third Bank Stadium in Kennesaw, GA. Fans can watch…</t>
  </si>
  <si>
    <t>RT @JamesEBriggs: The war over professional soccer's future in Indianapolis comes down to this: a lot of overconfident men making moves aga…</t>
  </si>
  <si>
    <t>RT @JamesEBriggs: It's like the old political adage says: When you're explaining body counts, you're losing. https://t.co/Nu0i8VQGsl</t>
  </si>
  <si>
    <t>OP-ED: @JamesEBriggs says "if you're explaining body counts on the site of your proposed future soccer stadium, you… https://t.co/MkSSrG6NIo</t>
  </si>
  <si>
    <t>RT @starwatchtim: OP-ED: @JamesEBriggs says "if you're explaining body counts on the site of your proposed future soccer stadium, you're lo…</t>
  </si>
  <si>
    <t>Pat Garofalo</t>
  </si>
  <si>
    <t>Contributor, Freelance Writer and Reporter</t>
  </si>
  <si>
    <t>patg14@gmail.com</t>
  </si>
  <si>
    <t>Pat_Garofalo</t>
  </si>
  <si>
    <t>Washington, D.C.</t>
  </si>
  <si>
    <t>Director of state and local policy at @econliberties. Author: "The Billionaire Boondoggle" and Boondoggle newsletter. DC via NJ. #COYS</t>
  </si>
  <si>
    <t>Metro D.C.,Politics,U.S.</t>
  </si>
  <si>
    <t>Boondoggle,Freelance</t>
  </si>
  <si>
    <t>"Indianapolis' MLS thirst is starting to head down the abandoned road of HQ2, the cursed Amazon sweepstakes that wh… https://t.co/u58ePWfFZC</t>
  </si>
  <si>
    <t>Trending Sports Reporter</t>
  </si>
  <si>
    <t>jramsey@gannett.com</t>
  </si>
  <si>
    <t>jared_ramsey22</t>
  </si>
  <si>
    <t>Trending sports coverage for the Detroit Free Press | MSU and Northwestern Alum</t>
  </si>
  <si>
    <t>Indy Eleven's 3-goal first half knocks Detroit City FC out of U.S. Open Cup in Round of 16 https://t.co/n4JYrvD6yD via @freep</t>
  </si>
  <si>
    <t>RT @93wibc: Hogsett and the City of Indianapolis Want to Buy Former Diamond Chain Site because of the human remains being found there? No…t…</t>
  </si>
  <si>
    <t>RT @KarlShowbiz: Hogsett and the City of Indianapolis Want to Buy Former Diamond Chain Site because of the human remains being found there?…</t>
  </si>
  <si>
    <t>This is a ruse. And everyone knows it - https://t.co/Q7s2Vi9zib
@indycouncil should not fall for this. They should… https://t.co/Szwvbl2eDP</t>
  </si>
  <si>
    <t>City offers to buy Eleven Park site citing concerns about historical cemetery https://t.co/dqfUPDiXLb</t>
  </si>
  <si>
    <t>In addition to all the Greenlawn/Indy Eleven stuff in today's @mirrorindy newsletter, don't miss the update about K… https://t.co/OP7fhjrkX9</t>
  </si>
  <si>
    <t>RT @ryanmartin: In addition to all the Greenlawn/Indy Eleven stuff in today's @mirrorindy newsletter, don't miss the update about Kuntz sta…</t>
  </si>
  <si>
    <t>INTO THE QUARTERFINALS: #FCDallas, #Sounders, #IndyEleven advance in #OpenCup - https://t.co/tDy85fc5W3  #USOC2024… https://t.co/T4dxSRKiF1</t>
  </si>
  <si>
    <t>RT @Soccerwriter: INTO THE QUARTERFINALS: #FCDallas, #Sounders, #IndyEleven advance in #OpenCup - https://t.co/tDy85fc5W3  #USOC2024 #USOC</t>
  </si>
  <si>
    <t>Kevin Baxter</t>
  </si>
  <si>
    <t>Sportswriter</t>
  </si>
  <si>
    <t>kevin.baxter@latimes.com</t>
  </si>
  <si>
    <t>kbaxter11</t>
  </si>
  <si>
    <t>Valencia, CA</t>
  </si>
  <si>
    <t>L.A. Times sportswriter. Write mostly about soccer. Have a cool dog. Luddite ✊🏻. Majored in Lesbian Dance Theory. Political views my own and generally correct.</t>
  </si>
  <si>
    <t>Metro Los Angeles,Sports</t>
  </si>
  <si>
    <t>Los Angeles Times</t>
  </si>
  <si>
    <t>RT @socceramerica: What We're Reading Thursday
1. MLS reviewing Reynoso video: @FelipeCar (The Athletic)
2. Angel City &amp; Wave are rivals on…</t>
  </si>
  <si>
    <t>fcardenas@theathletic.com</t>
  </si>
  <si>
    <t>FelipeCar</t>
  </si>
  <si>
    <t>Senior Writer @TheAthletic | @TheAthleticFC | @TheAthleticSCCR | @CBSSportsGolazo Correspondent | IG: felipe_cardenas_sccr | felipecardenas.bsky.social</t>
  </si>
  <si>
    <t>For the first time since 2012, its second season, @USLChampionship will be represented by three teams in @OpenCup q… https://t.co/Bs9etuftSK</t>
  </si>
  <si>
    <t>asilverman@sportsbusinessjournal.com</t>
  </si>
  <si>
    <t>AlexMSilverman</t>
  </si>
  <si>
    <t>Charlotte, NC</t>
  </si>
  <si>
    <t>#SportsBiz reporter at @SBJ for hockey and soccer. @Mizzou alum. Seinfeld is my religion. Email: asilverman@sportsbusinessjournal.com</t>
  </si>
  <si>
    <t>New at @SBJ: @USSoccer and @AppleTV have agreed to stream the three remaining rounds of the 2024 U.S. Open Cup on… https://t.co/aUOflZ4NEk</t>
  </si>
  <si>
    <t>NEW: The 2024 Lamar Hunt #usoc2024 quarterfinal, semifinal, and final will be streamed (free) on MLS Season Pass.… https://t.co/Mt63YS7ZgR</t>
  </si>
  <si>
    <t>Alexander Abnos</t>
  </si>
  <si>
    <t>Senior Editor, Sports</t>
  </si>
  <si>
    <t>alexander.abnos@theguardian.com</t>
  </si>
  <si>
    <t>AnAbnos</t>
  </si>
  <si>
    <t>Brooklyn via Kansas City &amp; DC</t>
  </si>
  <si>
    <t>Mostly here: bsky.app/profile/anabnos.com | Soccer editor at The Guardian US. Formerly The Athletic Soccer managing editor &amp; Sports Illustrated producer.</t>
  </si>
  <si>
    <t>Guardian US</t>
  </si>
  <si>
    <t>RT @jeffrueter: NEW: The 2024 Lamar Hunt #usoc2024 quarterfinal, semifinal, and final will be streamed (free) on MLS Season Pass.
Details…</t>
  </si>
  <si>
    <t>Bruce McGuire</t>
  </si>
  <si>
    <t>bruce@dunordfutbol.com</t>
  </si>
  <si>
    <t>dunord</t>
  </si>
  <si>
    <t>Minneapolis Mni Sota</t>
  </si>
  <si>
    <t>Iommic Life - Sonic Life - Sonic Death - Dethloon</t>
  </si>
  <si>
    <t>KSTP-AM (Minneapolis, MN)</t>
  </si>
  <si>
    <t>Lauren Kostiuk</t>
  </si>
  <si>
    <t>lkostiuk@wdiv.com</t>
  </si>
  <si>
    <t>laurenkostiuk_</t>
  </si>
  <si>
    <t>Reporter @Local4News | Detroit Native ✋🏼| Adopted Hoosier ❤️ Dog Mom to Milo &amp; Murph</t>
  </si>
  <si>
    <t>Media,U.S. Regional</t>
  </si>
  <si>
    <t>RT @WTHRcom: The City of Indianapolis now says it wants to purchase the land away from the Eleven Park developers over concerns about remai…</t>
  </si>
  <si>
    <t>RT @wrtv: JUST IN | In a letter to Keystone, the city says as many as 650 remains are still possibly located on one acre of the site from t…</t>
  </si>
  <si>
    <t>BREAKING: The City of Indianapolis has offered to buy the Diamond Chain site from Keystone Group. The price the cit… https://t.co/YlggbQ5GEq</t>
  </si>
  <si>
    <t>RT @MickeyShuey: BREAKING: The City of Indianapolis has offered to buy the Diamond Chain site from Keystone Group. The price the city would…</t>
  </si>
  <si>
    <t>City offers to buy Indy Eleven site, estimates 100s of remains exist https://t.co/tOjC8gAn5U via @Ty_Fenwick and… https://t.co/VareSZdElP</t>
  </si>
  <si>
    <t>RT @ChrisSikich: City offers to buy Indy Eleven site, estimates 100s of remains exist https://t.co/tOjC8gAn5U via @Ty_Fenwick and @peterlbl…</t>
  </si>
  <si>
    <t>RT @mirrorindy: City offers to buy Indy Eleven site, estimates 100s of remains exist
https://t.co/3IaPiapgC6</t>
  </si>
  <si>
    <t>RT @ryanmartin: Latest update contains statements from city and Keystone, reaction from two prominent community advocates and a copy of the…</t>
  </si>
  <si>
    <t>His comments come one day after his office sent a letter to Ersal Ozdemir, the CEO of Keystone Groupand owner of In… https://t.co/yiXfPWryqv</t>
  </si>
  <si>
    <t>@mirrorindy New: So as Mayor Joe Hogsett works to attract a Major League Soccer franchise to an alternative stadium… https://t.co/1WR9mvGV4k</t>
  </si>
  <si>
    <t>Latest update contains statements from city and Keystone, reaction from two prominent community advocates and a cop… https://t.co/wIWSTgbaa6</t>
  </si>
  <si>
    <t>RT @peterlblanchard: His comments come one day after his office sent a letter to Ersal Ozdemir, the CEO of Keystone Groupand owner of Indy…</t>
  </si>
  <si>
    <t>Lots of stuff happening on my new beat: soccer stadiums. The city is offering to purchase the Eleven Park site from… https://t.co/lpsbY8R81C</t>
  </si>
  <si>
    <t>Chris Spangle</t>
  </si>
  <si>
    <t>Digital Content Director, Host</t>
  </si>
  <si>
    <t>cspangle@ibj.com</t>
  </si>
  <si>
    <t>chrisspangle</t>
  </si>
  <si>
    <t>Host of The Chris Spangle Show. Christian, libertarian, liberal democratic capitalism is best. All opinions are my own and are not that of any organization.</t>
  </si>
  <si>
    <t>Politics,U.S.</t>
  </si>
  <si>
    <t>Indianapolis Business Journal,The Chris Spangle Show</t>
  </si>
  <si>
    <t>Greenlawn cemetery was the first cemetery in Indy. More than 650 people are still buried there. The city was willin… https://t.co/Pzmo3UPHGF</t>
  </si>
  <si>
    <t>Ozdemir turns up Eleven Park heat with ad during Pacers game https://t.co/inD4hQepoe via @mirrorindy</t>
  </si>
  <si>
    <t>RT @Ty_Fenwick: Ozdemir turns up Eleven Park heat with ad during Pacers game https://t.co/inD4hQepoe via @mirrorindy</t>
  </si>
  <si>
    <t>RT @mirrorindy: This offer comes the day after Keystone Group amped up its pressure campaign on Hogsett and other public officials with a T…</t>
  </si>
  <si>
    <t>🎙️ NEW POD 🎶
In the latest episode, we discuss:
✅ How playoffs don't work in American soccer
✅ The reason why MLS… https://t.co/RqDpCDLOZE</t>
  </si>
  <si>
    <t>RT @worldsoccertalk: 🎙️ NEW POD 🎶
In the latest episode, we discuss:
✅ How playoffs don't work in American soccer
✅ The reason why MLS in…</t>
  </si>
  <si>
    <t>Editor-at-Large</t>
  </si>
  <si>
    <t>Kartik.Krishnaiyer@beyondthe90.net</t>
  </si>
  <si>
    <t>kkfla737</t>
  </si>
  <si>
    <t>Florida 🍊🐊</t>
  </si>
  <si>
    <t>Editor-at-large @bocatribune Cat dad. Author of lots of pods &amp; books about Florida. DMs open. Beyondthe90.net</t>
  </si>
  <si>
    <t>The Boca Raton Tribune</t>
  </si>
  <si>
    <t>Adam Grinwis Selected to USLC Week 11 Team of the Week https://t.co/f7kgKWbuxi @Chas_Battery</t>
  </si>
  <si>
    <t>Adam Grinwis Selected to USLC Week 11 Team of the Week https://t.co/f7kgKWc2mQ @Chas_Battery #chs</t>
  </si>
  <si>
    <t>RT @edfujawa: Lots of soccer talk of late, but what about when Indianapolis took a shot at bringing Major League Baseball to the city. (1/2…</t>
  </si>
  <si>
    <t>Lou Monaco</t>
  </si>
  <si>
    <t>Journalist, Writer</t>
  </si>
  <si>
    <t>lmonaco@aol.com</t>
  </si>
  <si>
    <t>loumonaco</t>
  </si>
  <si>
    <t>Springfield, NJ</t>
  </si>
  <si>
    <t>Betting Analyst, Journalist | Freelance Contributor, Covers.com, Gambling.com, Comped.Com | HS Golf Writer, NJ.com | lmonaco2012@gmail.com</t>
  </si>
  <si>
    <t>Media,Sports,U.S.</t>
  </si>
  <si>
    <t>Gambling.com,Freelance</t>
  </si>
  <si>
    <t>RT @usopencup: The #USOC2024 Round of 16 begins today! The eight games across Tuesday &amp; Wednesday feature five Major League Soccer vs USL C…</t>
  </si>
  <si>
    <t>Emma Hayes coaches @Chelsea for the last time. The Blues will send her off to #USWNT with a fifth straight WLS titl… https://t.co/PRTuvBBBFn</t>
  </si>
  <si>
    <t>The best of Saturday's @MLS rivalry games will be @newyorkcityfc  vs. @NewYorkRedBulls at Citi Field. It's a first… https://t.co/KAa5dphx7n</t>
  </si>
  <si>
    <t>Unknown Rumba Munthali will coach @NashvilleSC for the first time when it hosts @ATLUTD. Munthali (@UAB_MSOC in col… https://t.co/tQAYUWjA0W</t>
  </si>
  <si>
    <t>After starting out with 3 straight losses and scoring just 1 goal in their first 5 games, @RiverhoundsSC have found… https://t.co/p0aUlsKpJN</t>
  </si>
  <si>
    <t>Much has been made of @thekccurrent attack, but its defense has improved in recent weeks. Gabrielle Robinson has em… https://t.co/7rqbX2nmYw</t>
  </si>
  <si>
    <t>RT @pkedit: Unknown Rumba Munthali will coach @NashvilleSC for the first time when it hosts @ATLUTD. Munthali (@UAB_MSOC in college) coache…</t>
  </si>
  <si>
    <t>It's a much-needed bye week for San Antonio FC. There might not be a game this weekend but the club is still workin… https://t.co/r74TMKV2Pd</t>
  </si>
  <si>
    <t>RT @pghsoccernow: In this week's edition of Riverhounds Notebook @JohnKrysinsky takes a look at who is the biggest nemesis' in club history…</t>
  </si>
  <si>
    <t>Briggs' mailbag: Indiana keeps voting for men over women https://t.co/rF1C9sPqto via @indystar</t>
  </si>
  <si>
    <t>I was nodding along about some good points in one answer to a question and then lo and behold, there was my name an… https://t.co/5O2iJ6jNSk</t>
  </si>
  <si>
    <t>Mayor’s soccer stadium tax district plan introduced to Indy City-County Council
But minority leader Brian Mowery sa… https://t.co/0y4AXpmasJ</t>
  </si>
  <si>
    <t>RT @DustinGroveTV: Mayor’s soccer stadium tax district plan introduced to Indy City-County Council
But minority leader Brian Mowery says tr…</t>
  </si>
  <si>
    <t>RT @WISH_TV: The Indianapolis City-County Council has told one of its committees to review a proposal to create boundaries for a tax distri…</t>
  </si>
  <si>
    <t>RT @wrtv: Monday night, the city will take the next big step towards the Mayor’s plan as the City County council will hear the Mayor’s Prof…</t>
  </si>
  <si>
    <t>ICYMI:
“Based on financing, (the Eleven Park project) was for a @USLChampionship stadium, not an @MLS stadium.”
M… https://t.co/AgMD22QFDr</t>
  </si>
  <si>
    <t>RT @grifgonzo: ICYMI:
“Based on financing, (the Eleven Park project) was for a @USLChampionship stadium, not an @MLS stadium.”
Monday nig…</t>
  </si>
  <si>
    <t>The full City County Council will make there final vote on Mayor Hogsett’s PSDA proposal on Monday June 3rd. 
You… https://t.co/h04d3pU3Ha</t>
  </si>
  <si>
    <t>RT @KarlShowbiz: Never miss another @TonyKatz Show again!
PLEASE SUBSCRIBE TO THE PODCAST  
https://t.co/0DIOGCvqvO
https://t.co/FenVPfFG…</t>
  </si>
  <si>
    <t>RT @93wibc: Never miss another @TonyKatz Show again!
PLEASE SUBSCRIBE TO THE PODCAST  
https://t.co/iP3prwPBOx
https://t.co/s1b02wjza4
h…</t>
  </si>
  <si>
    <t>RT @93wibc: Never miss another @TonyKatz Show again!
PLEASE SUBSCRIBE TO THE PODCAST  
https://t.co/iP3prwQ9E5
https://t.co/s1b02wk6ZC
h…</t>
  </si>
  <si>
    <t>Here's my preview of tonight's Memphis 901 FC game @ Monterey Bay for @BluffCity_Media
https://t.co/BnSmRNroRD</t>
  </si>
  <si>
    <t>RT @901SoccerPod: Here's @ldock93 previewing tonight's game away to Monterey Bay for @BluffCity_Media
https://t.co/1XA8tZZB7Z</t>
  </si>
  <si>
    <t>How ⁦@DetroitCityFC⁩ achieved 'storybook ending' in historic U.S. Open Cup win over Houston Dynamo 
https://t.co/SNbLNRckCA via @freep</t>
  </si>
  <si>
    <t>Mark Jaworski</t>
  </si>
  <si>
    <t>mjaworski@jg.net</t>
  </si>
  <si>
    <t>jawsfort</t>
  </si>
  <si>
    <t>Fort Wayne, IN</t>
  </si>
  <si>
    <t>Sports Editor of the The Journal Gazette. Northeastern University. Northeast Indiana sports. Boston raised.</t>
  </si>
  <si>
    <t>'I like great things in Indiana': Why Fort Wayne's Chuck Surack joined Indy Eleven ownership as it pursues MLS team… https://t.co/0fffxaKcW8</t>
  </si>
  <si>
    <t>Maya Wilkins</t>
  </si>
  <si>
    <t>mwilkins@chicagotribune.com</t>
  </si>
  <si>
    <t>mayawilkinss</t>
  </si>
  <si>
    <t>Chicagoland</t>
  </si>
  <si>
    <t>Reporter @PostTrib, @chicagotribune • @bsu_sjsc, @bsudailynews alumna • Past: @JGfortwayne • mwilkins@chicagotribune.com • Reality tv, @taylorswift13 fanatic</t>
  </si>
  <si>
    <t>Chicago Tribune,Post Tribune</t>
  </si>
  <si>
    <t>RT @SportsiCohn: 'I like great things in Indiana': Why Fort Wayne's Chuck Surack joined Indy Eleven ownership as it pursues MLS team https:…</t>
  </si>
  <si>
    <t>Lisa Green</t>
  </si>
  <si>
    <t>lisagreen@jg.net</t>
  </si>
  <si>
    <t>LisaRGreen</t>
  </si>
  <si>
    <t>Journalist. Editor. Columnist. Blogger. The Journal Gazette 20+ years. Christian. Wife: TeamKelsaw2018. Ocean girl, but Midwest native. My account = My views.</t>
  </si>
  <si>
    <t>New from @woo_times_ten: The Hogsett administration’s effort to create a new taxing district for a proposed soccer… https://t.co/vFTOBpEksD</t>
  </si>
  <si>
    <t>Tomorrow night San Antonio FC closes out a run of three games in eight days.
It's also their last game until May 2… https://t.co/GX6N4wXFNE</t>
  </si>
  <si>
    <t>RT @USLWLeague: One home to watch all of your pre-professional soccer 📺
USL W League is now streaming on SportsEngine Play.
➡️ https://t.…</t>
  </si>
  <si>
    <t>As Indy Eleven fans hope to join Major League Soccer discussion, Brickyard Battalion president weighs in https://t.co/zwdOeGwcyl</t>
  </si>
  <si>
    <t>RT @davidjziemba: Thanks to @wfyi and Jill Sheridan for the opportunity to speak about @The_BYB and the ongoing situation here in Indy. Loo…</t>
  </si>
  <si>
    <t>Kennedy Broadwell</t>
  </si>
  <si>
    <t>Digital Managing Editor</t>
  </si>
  <si>
    <t>kennedy.broadwell@townsquaremedia.com</t>
  </si>
  <si>
    <t>BroadwellK</t>
  </si>
  <si>
    <t>Michigan, USA</t>
  </si>
  <si>
    <t>@flintfirebirds In-Game Host 🎤  | Detroit Sports &amp; Tim Tebow Defender🤺 | product of @ButlerCCOM | Horse girls are cool</t>
  </si>
  <si>
    <t>Townsquare Media</t>
  </si>
  <si>
    <t>Jon Glaser stopped by @FallonTonight rocking all @DetroitCityFC gear 🤩 Great promo for the growing sport here in MI… https://t.co/LMMQdUv6JM</t>
  </si>
  <si>
    <t>RT @SBISoccer: The Seattle Sounders, LAFC, and Atlanta United headline the U.S. Open Cup Round of 16 field. https://t.co/Z1JeUONTDV</t>
  </si>
  <si>
    <t>Tom Leiss</t>
  </si>
  <si>
    <t>Freelance Journalist, Sports Assistant Writer</t>
  </si>
  <si>
    <t>tleiss@freelancestar.com</t>
  </si>
  <si>
    <t>TomLeiss</t>
  </si>
  <si>
    <t>Fredericksburg, Va.</t>
  </si>
  <si>
    <t>Sports Asst./writer @ The Free Lance-Star, freelancer. IG: @tomleiss Email: soccertom1212@gmail. Mi corazón es el fútbol y sangra negro y rojo.</t>
  </si>
  <si>
    <t>The Free Lance-Star,Freelance</t>
  </si>
  <si>
    <t>RT @opencup: Round of 16 Schedule Set » https://t.co/QIxOCnKdY1
#USOC2024 | @OpenCup 🏆 https://t.co/3TNjc1sQ9O</t>
  </si>
  <si>
    <t>Briggs: Human remains and helicopters cloud Indianapolis' MLS pursuit https://t.co/M5KJkF9hfq via @indystar</t>
  </si>
  <si>
    <t>RT @JamesEBriggs: A wide range of knowledgeable sources are expressing very high confidence to me that Indianapolis will get an MLS team if…</t>
  </si>
  <si>
    <t>RT @JamesEBriggs: Money is one breaking point between the city and Indy Eleven. An even more prohibitive issue has emerged: human remains.…</t>
  </si>
  <si>
    <t>Latest episode of "As Indy's MLS bid Turns":
"Money is one breaking point between the city and Indy Eleven. An eve… https://t.co/lBpedP7sYL</t>
  </si>
  <si>
    <t>National Politics Correspondent, Writer</t>
  </si>
  <si>
    <t>awren@politico.com</t>
  </si>
  <si>
    <t>adamwren</t>
  </si>
  <si>
    <t>Senior national politics correspondent @POLITICO.  Contributing author, @playbookdc. awren@politico.com</t>
  </si>
  <si>
    <t>POLITICO Magazine,Importantville,POLITICO</t>
  </si>
  <si>
    <t>Phil Friend</t>
  </si>
  <si>
    <t>Digital Producer, Digital Producer, Michigan</t>
  </si>
  <si>
    <t>pfriend@gannett.com</t>
  </si>
  <si>
    <t>Phil_Friend</t>
  </si>
  <si>
    <t>Audience Manager, Sports, @USATODAY. Previous stops @lsjnews, @indystar, others. Ball State graduate. A lot of Spurs tweets.</t>
  </si>
  <si>
    <t>USA Today,Gannett</t>
  </si>
  <si>
    <t>Nate Atkins</t>
  </si>
  <si>
    <t>Co-Host, Indianapolis Colts Beat Writer</t>
  </si>
  <si>
    <t>natkins@indystar.com</t>
  </si>
  <si>
    <t>NateAtkins_</t>
  </si>
  <si>
    <t>Cover the Colts and the NFL for @IndyStar | 🎙️: Cover 2 | Hebrews 11:1 | Adjunct professor @ButlerU</t>
  </si>
  <si>
    <t>Briggs: Human remains and helicopters cloud Indianapolis' MLS pursuit https://t.co/KCesXQPNTQ via @indystar</t>
  </si>
  <si>
    <t>OPEN CUP DRAMA: Extra time, penalty kicks dominate Round of 32 - https://t.co/wPVz4LS6B9 #OpenCup #USOC2024… https://t.co/svEfO4dAa4</t>
  </si>
  <si>
    <t>RT @Soccerwriter: OPEN CUP DRAMA: Extra time, penalty kicks dominate Round of 32 - https://t.co/wPVz4LS6B9 #OpenCup #USOC2024 #OpenCup24</t>
  </si>
  <si>
    <t>San Antonio FC entered the U.S. Open Cup in the fourth round on Wednesday night.
They didn't stay in the tournamen… https://t.co/AXRgrLgEWR</t>
  </si>
  <si>
    <t>RT @SportsiCohn: Fort Wayne's Chuck Surack joins Indy Eleven ownership group, as team jostles to join MLS https://t.co/0W1186Xix9 via @JGfo…</t>
  </si>
  <si>
    <t>Fort Wayne's Chuck Surack joins Indy Eleven ownership group, as team jostles to join MLS https://t.co/rsffaBhurG via @JGfortwayne</t>
  </si>
  <si>
    <t>taj.simmons@wrtv.com</t>
  </si>
  <si>
    <t>TajBSimmons</t>
  </si>
  <si>
    <t>@WRTV reporter | Oakland native | @DePaulU grad | Past: @WHO13News, @WSLS, @KTTCTV | Working hard &amp; striving for perfection; that’s the way I’m living.</t>
  </si>
  <si>
    <t>Will the Indy Eleven get to move up to the MLS and play in Eleven Park?
If they do, supporter group The Brickyard… https://t.co/c4pE6kXqna</t>
  </si>
  <si>
    <t>Charleston Battery's Ben Pirmann named USL Championship Coach of the Month for April https://t.co/0xkKfqtUOO @Chas_Battery</t>
  </si>
  <si>
    <t>Charleston Battery's Ben Pirmann named USL Championship Coach of the Month for April https://t.co/0xkKfqtUOO @Chas_Battery #chs</t>
  </si>
  <si>
    <t>Charleston Battery's Ben Pirmann named USL Championship Coach of the Month for April https://t.co/0xkKfqtmZg</t>
  </si>
  <si>
    <t>Jennie Runevitch</t>
  </si>
  <si>
    <t>jrunevitch@Wthr.com</t>
  </si>
  <si>
    <t>JennieWTHR</t>
  </si>
  <si>
    <t>Emmy award-winning Anchor/Reporter at @WTHRCom</t>
  </si>
  <si>
    <t>Well this is interesting.
An Indiana billionaire has joined the Indy Eleven ownership group, in a push to support… https://t.co/43etUtGORC</t>
  </si>
  <si>
    <t>WATCH📺: Indiana billionaire joins effort to revive Eleven Park soccer stadium project. https://t.co/FDyR5mb1sK</t>
  </si>
  <si>
    <t>Officials with the Indy Eleven and the Eleven Park Investment Group announced on Wednesday that Chuck Surack, a For… https://t.co/JelUsNB4ee</t>
  </si>
  <si>
    <t>CRASHING OUT: @DetroitCityFC  ousts defending champs @HoustonDynamo from @opencup - https://t.co/WzJeR7xRsX… https://t.co/DCk7xZ4i21</t>
  </si>
  <si>
    <t>RT @Soccerwriter: CRASHING OUT: @DetroitCityFC  ousts defending champs @HoustonDynamo from @opencup - https://t.co/WzJeR7xRsX #DetroitCityF…</t>
  </si>
  <si>
    <t>NEW: Indiana businessman Chuck Surack has joined the ranks of Indy Eleven owners—a move meant to bolster the team's… https://t.co/jEta3RdiGy</t>
  </si>
  <si>
    <t>RT @MickeyShuey: NEW: Indiana businessman Chuck Surack has joined the ranks of Indy Eleven owners—a move meant to bolster the team's financ…</t>
  </si>
  <si>
    <t>Samm Quinn</t>
  </si>
  <si>
    <t>squinn@ibj.com</t>
  </si>
  <si>
    <t>sammquinn13</t>
  </si>
  <si>
    <t>Managing Editor @IBJnews. Local news cheerleader. Iced coffee aficionado. Em dash enthusiast.</t>
  </si>
  <si>
    <t>Things heating up a bit in competing pushes to land MLS team for Indy, Fort Wayne billionaire joins Eleven Park inv… https://t.co/cn2h0Hnk5K</t>
  </si>
  <si>
    <t>Fort Wayne billionaire joins Eleven Park investor group. @AllyBurris has the story https://t.co/nYhSVoj0UR via @indystar</t>
  </si>
  <si>
    <t>Fort Wayne billionaire joins Eleven Park investor group pushing for new downtown stadium and MLS team to play there… https://t.co/KD76I6uhDX</t>
  </si>
  <si>
    <t>ICYMI yesterday from @AllyBurris, the inside-Indy fight for a MLS stadium/team is getting interesting: Fort Wayne b… https://t.co/DocYwk4gxs</t>
  </si>
  <si>
    <t>Eric Larsen</t>
  </si>
  <si>
    <t>elarsen2@gannett.com</t>
  </si>
  <si>
    <t>ericlarsen_news</t>
  </si>
  <si>
    <t>Executive editor at the amazing @IndyStar. Past @coloradoan, @twinfallstn. Husband and father of three. Plodding runner. @oregonstateuniv alumnus. #GoBeavs!</t>
  </si>
  <si>
    <t>Fort Wayne billionaire joins Eleven Park investor group for new stadium and MLS team https://t.co/yvFNOeJYQQ via @indystar</t>
  </si>
  <si>
    <t>RT @starwatchtim: Things heating up a bit in competing pushes to land MLS team for Indy, Fort Wayne billionaire joins Eleven Park investor…</t>
  </si>
  <si>
    <t>RT @indystar: Fort Wayne billionaire joins Eleven Park investor group https://t.co/12Q06sP3IF</t>
  </si>
  <si>
    <t>RT @starwatchtim: ICYMI yesterday from @AllyBurris, the inside-Indy fight for a MLS stadium/team is getting interesting: Fort Wayne billion…</t>
  </si>
  <si>
    <t>Looks like Indy Eleven is joining the effort to bring MLS to Indianapolis… https://t.co/4u5dHgwNOG</t>
  </si>
  <si>
    <t>Jimmy Mack</t>
  </si>
  <si>
    <t>jmack@olatheks.org</t>
  </si>
  <si>
    <t>jcmack03</t>
  </si>
  <si>
    <t>LA ➡️ KC | 🎙️#SportingKC &amp; #KCBaby w/ @NoOtherPod on @KCSportsNetwork | 📝 @KCSoccerJournal, @SBISoccer, @TotalMLS | @USCAnnenberg grad. #USC Trojan. ✌️ He/him</t>
  </si>
  <si>
    <t>No Other Pod - Sporting KC &amp; MLS</t>
  </si>
  <si>
    <t>RT @JeremiahOshan: Looks like Indy Eleven is joining the effort to bring MLS to Indianapolis… https://t.co/4u5dHgwNOG</t>
  </si>
  <si>
    <t>RT @freepsports: Detroit City FC's upset win in US Open Cup sets social media ablaze with celebration https://t.co/Fxp4JoAfUU</t>
  </si>
  <si>
    <t>M.L. Elrick</t>
  </si>
  <si>
    <t>Host, Reporter</t>
  </si>
  <si>
    <t>mlelrick@freepress.com</t>
  </si>
  <si>
    <t>elrick</t>
  </si>
  <si>
    <t>rock city</t>
  </si>
  <si>
    <t>investigative reporter, podcaster, former beer vendor, amateur hockey player.</t>
  </si>
  <si>
    <t>Metro Detroit</t>
  </si>
  <si>
    <t>Detroit Free Press,ML Soul of Detroit</t>
  </si>
  <si>
    <t>@FrankBrusco @marcfell @shawnwindsor @DrewAndMikeFans @DrewLaneShow Dude! @DetroitCityFC upset win in US Open Cup s… https://t.co/cHyfEnlBGs</t>
  </si>
  <si>
    <t>RT @SanAntonioFC: San Antonio FC Adds Five on USL Academy Agreements
📰 https://t.co/lSsnLbKK0F https://t.co/r3pkDLtP5N</t>
  </si>
  <si>
    <t>Women’s Football Writer</t>
  </si>
  <si>
    <t>emily.keogh@espn.com</t>
  </si>
  <si>
    <t>emilyskeogh</t>
  </si>
  <si>
    <t xml:space="preserve">St Albans </t>
  </si>
  <si>
    <t>Women’s football writer @ESPNFC | all opinions are my own |🧏‍♀️🌻</t>
  </si>
  <si>
    <t>The rise of Wrexham Women
- life in the top tier 
- BIG summer plans 
- what the future holds 
- it is more than j… https://t.co/gNpEsZdeRb</t>
  </si>
  <si>
    <t>RT @ESPNsoccer: Welcome to Wrexham Women: How Reynolds, McElhenney have changed everything
Hollywood actors Ryan Reynolds and Rob McElhenn…</t>
  </si>
  <si>
    <t>The dates for the WrexCoast tour are out! Here is how Wrexham Women have got to this point and what the future hold… https://t.co/JDlZ37gxJo</t>
  </si>
  <si>
    <t>James Tyler</t>
  </si>
  <si>
    <t>Deputy Editor</t>
  </si>
  <si>
    <t>james.tyler@espn.com</t>
  </si>
  <si>
    <t>JamesTylerESPN</t>
  </si>
  <si>
    <t>Amishlandia</t>
  </si>
  <si>
    <t>Deputy Editor, @ESPNFC. Jeopardy! champion, S39, CWC 2024. Team Shrug Emoji. President, Dirk Kuyt Fan Club. Views are my own unique burden.</t>
  </si>
  <si>
    <t>ESPN FC</t>
  </si>
  <si>
    <t>RT @emilyskeogh: The rise of Wrexham Women
- life in the top tier 
- BIG summer plans 
- what the future holds 
- it is more than just foo…</t>
  </si>
  <si>
    <t>Clay Sauertieg</t>
  </si>
  <si>
    <t>clay@brobible.com</t>
  </si>
  <si>
    <t>ByCSauertieg</t>
  </si>
  <si>
    <t>Lancaster, PA</t>
  </si>
  <si>
    <t>Now: @BroBible. Formerly: @HighlyClutch, @PennStateRivals, @GBT_Sports, @BSDtweet “An apex athlete.” - per @CoachDomB</t>
  </si>
  <si>
    <t>BroBible</t>
  </si>
  <si>
    <t>Women Soccer Writer</t>
  </si>
  <si>
    <t>sophie.lawson@espn.com</t>
  </si>
  <si>
    <t>lawson_sv</t>
  </si>
  <si>
    <t>London</t>
  </si>
  <si>
    <t>“The Attenborough of women's football" | Freelancer | opinions and typos galore</t>
  </si>
  <si>
    <t>olley@espn.com</t>
  </si>
  <si>
    <t>JamesOlley</t>
  </si>
  <si>
    <t>Senior Football Writer at ESPN. Views mine. Society of Editors &amp; SJA award winner. LFA panel member. Latest book: amzn.to/3cbwkdI</t>
  </si>
  <si>
    <t>Brighton last month posted a PL record profit of £122.8m. How did they do it &amp; is their model sustainable? Piece fe… https://t.co/ACfOU2nnPD</t>
  </si>
  <si>
    <t>Tony J. Mabert</t>
  </si>
  <si>
    <t>Senior Editor and Writer, ESPN FC</t>
  </si>
  <si>
    <t>tony.j.mabert@espn.com</t>
  </si>
  <si>
    <t>TonyMabertESPN</t>
  </si>
  <si>
    <t>London/Brighton</t>
  </si>
  <si>
    <t>Senior editor and writer for @ESPNFC. Views my own. Also not posting very much on Bluesky: bsky.app/profile/tonymabertespn.bsky.social</t>
  </si>
  <si>
    <t>RT @JamesOlley: Brighton last month posted a PL record profit of £122.8m. How did they do it &amp; is their model sustainable? Piece features i…</t>
  </si>
  <si>
    <t>Tom Hamilton</t>
  </si>
  <si>
    <t>tom.hamilton@espn.com</t>
  </si>
  <si>
    <t>tomhamiltonespn</t>
  </si>
  <si>
    <t>Senior Writer, ESPN. Covering #euro2024 Passionate about mental health and awareness.</t>
  </si>
  <si>
    <t>Great behind-the-scenes feature from @JamesOlley on Brighton's mastery of the transfer market and how they turned a… https://t.co/MgeNDT6yOT</t>
  </si>
  <si>
    <t>Vince Tuss</t>
  </si>
  <si>
    <t>Night Audience Editor</t>
  </si>
  <si>
    <t>vtuss@startribune.com</t>
  </si>
  <si>
    <t>vtuss</t>
  </si>
  <si>
    <t>Twin Cities</t>
  </si>
  <si>
    <t>@StarTribune audience editor. Ex-night owl who now wakes early, reader, sports fan, father of 3. Detroit born, now Mpls. “Irony can be pretty ironic sometimes”</t>
  </si>
  <si>
    <t>Crime and Justice,Metro Minneapolis–St. Paul</t>
  </si>
  <si>
    <t>RT @freep: History for Detroit City FC with road stunner vs. MLS team in https://t.co/mC2m61lE3t Cup penalties https://t.co/la4sLabQl9</t>
  </si>
  <si>
    <t>cesarhfutbol</t>
  </si>
  <si>
    <t>San Diego</t>
  </si>
  <si>
    <t>🇲🇽 fútbol, 🇺🇸 soccer, and more for @ESPNFC. Previous work: @TheAthleticSCCR, @guardian, @MLS, @VICEsports. 🎙 @mexsoccershow</t>
  </si>
  <si>
    <t>Currently at a crossroads, what's next for the historic U.S. Open Cup?
With perspectives ranging from front office… https://t.co/R4j3cSbdkF</t>
  </si>
  <si>
    <t>RT @cesarhfutbol: Currently at a crossroads, what's next for the historic U.S. Open Cup?
With perspectives ranging from front office execu…</t>
  </si>
  <si>
    <t>Briggs: Indy is killing Eleven Park so its MLS dream can live https://t.co/ThI6OOQup1 via @indystar</t>
  </si>
  <si>
    <t>RT @ryanmartin: https://t.co/DEJ5nWrVp5 https://t.co/pGNx6snHgS</t>
  </si>
  <si>
    <t>Ozdemir can't control the way this went down. He can only decide whether he responds by torching bridges or gracefu… https://t.co/Aeh0aRWjoj</t>
  </si>
  <si>
    <t>RT @MattGlenesk: "The city can't sacrifice its chance to bring another major league sports franchise to town in order to protect the feelin…</t>
  </si>
  <si>
    <t>RT @starwatchtim: Briggs: Indy is killing Eleven Park so its MLS dream can live https://t.co/ThI6OOQup1 via @indystar</t>
  </si>
  <si>
    <t>'The city has incentives to shower Ozdemir with consolation prizes, if he'll accept them, and there's likely a chan… https://t.co/Xq4nYcCXSF</t>
  </si>
  <si>
    <t>Abdul Hakim-Shabazz</t>
  </si>
  <si>
    <t>Editor and Publisher, Host, Talk Show Host, Emmis Communications</t>
  </si>
  <si>
    <t>abdul@indypolitics.org</t>
  </si>
  <si>
    <t>AttyAbdul</t>
  </si>
  <si>
    <t>Attorney. Credentialed Journalist. Political Writer/Radio/TV Commentator. Comedian, Teacher &amp; all-around super genius!</t>
  </si>
  <si>
    <t>WIBC-FM (Indianapolis, IN),Freelance,IndyPolitics.Org</t>
  </si>
  <si>
    <t>RT @adamwren: 'The city has incentives to shower Ozdemir with consolation prizes, if he'll accept them, and there's likely a chance to perp…</t>
  </si>
  <si>
    <t>https://t.co/DEJ5nWrVp5 https://t.co/pGNx6snHgS</t>
  </si>
  <si>
    <t>"The city can't sacrifice its chance to bring another major league sports franchise to town in order to protect the… https://t.co/GKok2K6vft</t>
  </si>
  <si>
    <t>Briggs: Indy is killing Eleven Park so its MLS dream can live https://t.co/he7vUvtgeY via @indystar @JamesEBriggs</t>
  </si>
  <si>
    <t>Introducing all our new @Beyondthe_90 writers and coverage plans. We’re aiming to be a one-stop shop for edgy, anal… https://t.co/KdrxiGDi3g</t>
  </si>
  <si>
    <t>RT @mirrorindy: Some Indy Eleven fans want all human remains removed from Eleven Park https://t.co/svNucgguqw</t>
  </si>
  <si>
    <t>Some Indy Eleven fans want all human remains removed from Eleven Park https://t.co/3S1fd3BXP9 via @mirrorindy</t>
  </si>
  <si>
    <t>RT @indyemapolis: Some Indy Eleven fans want all human remains removed from Eleven Park https://t.co/3S1fd3BXP9 via @mirrorindy</t>
  </si>
  <si>
    <t>Some Indy Eleven fans want human remains removed from Eleven Park https://t.co/GjdidjGKYj via @mirrorindy</t>
  </si>
  <si>
    <t>Joseph S. Pete</t>
  </si>
  <si>
    <t>joseph.pete@nwi.com</t>
  </si>
  <si>
    <t>nwi_jsp</t>
  </si>
  <si>
    <t>Business reporter for The Times of Northwest Indiana, won Chicago Headline Club's Lisagor Award for arts reporting for three straight years. Vet. Author.</t>
  </si>
  <si>
    <t>The Times of Northwest Indiana</t>
  </si>
  <si>
    <t>Haunted soccer field proposed for burial ground https://t.co/HycndLtsB4</t>
  </si>
  <si>
    <t>RT @Beyondthe_90: Here’s this week’s USL Championship and League One Power Rankings (Courtesy of @theuslway and @league1updater).
https://…</t>
  </si>
  <si>
    <t>RT @ESPNsoccer: MLS Power Rankings: Arango helps Salt Lake move up, Union disappoint
Chicho Arango shines and helps Real Salt Lake move up…</t>
  </si>
  <si>
    <t>Contributor, Writer</t>
  </si>
  <si>
    <t>megswanick@gmail.com</t>
  </si>
  <si>
    <t>Meg_Swanick</t>
  </si>
  <si>
    <t>Pennsylvania, USA</t>
  </si>
  <si>
    <t>✍🏻 Wandering Writer. Words seen @guardian_sport @espn @MenInBlazers @inquirer @brfootball &amp; more.</t>
  </si>
  <si>
    <t>Freelance,The Swan Dive with Meg Swanick</t>
  </si>
  <si>
    <t>Messi sets a new MLS record, Suarez joins him atop the golden boot race... Jack McGlynn left-footed golazo of the y… https://t.co/ka3UJlz2FU</t>
  </si>
  <si>
    <t>San Antonio FC and Indy Eleven meet in the fourth round of the Lamar Hunt U.S. Open Cup on Wednesday.
I look at ho… https://t.co/zuaf3E2Hnk</t>
  </si>
  <si>
    <t>Developer Keystone Group still fighting for new soccer stadium at Eleven Park despite Mayor Hogsett introducing alt… https://t.co/5nBlmhkprJ</t>
  </si>
  <si>
    <t>RT @93wibc: .@TonyKatz and the Morning News 3rd Hr 5/6/24: U.S. halts Ammunition to Israel, Madonna, Economics of the May Races, Status of…</t>
  </si>
  <si>
    <t>RT @KarlShowbiz: .@TonyKatz and the Morning News 3rd Hr 5/6/24: U.S. halts Ammunition to Israel, Madonna, Economics of the May Races, Statu…</t>
  </si>
  <si>
    <t>7 things from women's football: The WSL title race is back on! Barça, Bayern seal titles - via @ESPN App https://t.co/r1eNV2cI9V</t>
  </si>
  <si>
    <t>If Chelsea’s owners expected more than they’ve had from Pochettino, can anyone truly succeed at the new Chelsea? https://t.co/GeP1WAMMNC</t>
  </si>
  <si>
    <t>Journalist, Reporter</t>
  </si>
  <si>
    <t>arika.herron@axios.com</t>
  </si>
  <si>
    <t>ArikaHerron</t>
  </si>
  <si>
    <t>Writer, reporter, runner, professor. Hoosier by birth, Bulldog by choice and reporter for Axios Indianapolis (sign up👇). arika.herron@axios.com</t>
  </si>
  <si>
    <t>Education,Politics,U.S. Regional</t>
  </si>
  <si>
    <t>Axios,Axios Indianapolis</t>
  </si>
  <si>
    <t>RT @davidjziemba: Grateful to @ArikaHerron and @axiosnews for putting the fans at the top of their Monday morning AM news. 
The MLS/ USL c…</t>
  </si>
  <si>
    <t>Not much happened for a while in last nights game between San Antonio and Oakland.
Then a lot happened in the fina… https://t.co/SzEd1DNoAn</t>
  </si>
  <si>
    <t>jdevine@montereyherald.com</t>
  </si>
  <si>
    <t>JohnJDevine</t>
  </si>
  <si>
    <t>Monterey County, CA</t>
  </si>
  <si>
    <t>Sports columnist and 19 time award winner John Devine has in-depth analysis of the latest results and sports news in Monterey County</t>
  </si>
  <si>
    <t>Pro soccer: Late goal lifts Indy Eleven past Monterey Bay F.C. https://t.co/wah9zJTJ10</t>
  </si>
  <si>
    <t>Memphis 901 Fzc is back home at AutoZone Park today with a 3pm kickoff against the Tampa Bay Rowdies.  Here's my pr… https://t.co/p3NQIRUgnC</t>
  </si>
  <si>
    <t>RT @901SoccerPod: Here's @ldock93 for @BluffCity_Media previewing today's 3pm game against the Rowdies 
https://t.co/gOyJs0sRG4</t>
  </si>
  <si>
    <t>On Saturday, @ThornsFC host @WashSpirit with a chance to extend their winning streak to four games since they made… https://t.co/0WKefIdIjI</t>
  </si>
  <si>
    <t>How impressive has Nick Markanich’s start been for @Chas_Battery? He has scored 11 goals in 9 games, more goals tha… https://t.co/OnksqKfAsC</t>
  </si>
  <si>
    <t>Last week, Mayor Joe Hogsett announced Indianapolis would pursue a bid for an MLS club.
Two new stories from… https://t.co/aQHFMKmJ47</t>
  </si>
  <si>
    <t>sorr@ibj.com</t>
  </si>
  <si>
    <t>SusanOrr</t>
  </si>
  <si>
    <t>I cover technology and banking/finance for @ibjnews.</t>
  </si>
  <si>
    <t>Business and Finance,Technology,U.S. Regional</t>
  </si>
  <si>
    <t>RT @MickeyShuey: Last week, Mayor Joe Hogsett announced Indianapolis would pursue a bid for an MLS club.
Two new stories from @woo_times_t…</t>
  </si>
  <si>
    <t>NEW: The Indiana Economic Development Corp. is trying to find a buyer for its portion of the former GM stamping pla… https://t.co/SuSeJWJIt9</t>
  </si>
  <si>
    <t>RT @MickeyShuey: NEW: The Indiana Economic Development Corp. is trying to find a buyer for its portion of the former GM stamping plant site…</t>
  </si>
  <si>
    <t>After a month where they played three games out of four on the road, San Antonio FC is back home this weekend to ho… https://t.co/DCle3d5zjm</t>
  </si>
  <si>
    <t>Assistant News Editor</t>
  </si>
  <si>
    <t>shubi.arun@espn.co.uk</t>
  </si>
  <si>
    <t>loudspeaker19</t>
  </si>
  <si>
    <t xml:space="preserve">London </t>
  </si>
  <si>
    <t>Assistant News Editor @espnuk • @sportsja Academy Award winner 2023</t>
  </si>
  <si>
    <t>A deep-dive into @ArsenalWFC and their rise in profile. 
🔴What one-club mentality looks like
⚪️Strategy behind the… https://t.co/Hn1d8QDrZb</t>
  </si>
  <si>
    <t>RT @loudspeaker19: A deep-dive into @ArsenalWFC and their rise in profile. 
🔴What one-club mentality looks like
⚪️Strategy behind the sell…</t>
  </si>
  <si>
    <t>Arsenal’s win keeps the WSL title race open. Next year, they’ll hope to be in the running themselves.
They are set… https://t.co/tX8GwWrRjS</t>
  </si>
  <si>
    <t>🌭Ensuring hot-dogs don't sell out
👶Keeping tickets aside for infants
🦖More Gunnersaurus in the club-shop
Arsenal W… https://t.co/MJbCVOX7kE</t>
  </si>
  <si>
    <t>WATCH📺: Mayor Hogsett says the the Eleven Park stadium doesn’t make financial sense, negotiations “terminated”. Tod… https://t.co/ShlM2Ha2Bt</t>
  </si>
  <si>
    <t>Hogsett’s soccer stadium passes 1st vote, but doubts emerge https://t.co/Jr7DG6dETz via @Ty_Fenwick for Mirror Indy</t>
  </si>
  <si>
    <t>RT @mirrorindy: Why is the city walking away from Eleven Park?
“Based on the numbers … we didn’t think it was responsible to go forward wi…</t>
  </si>
  <si>
    <t>RT @peterlblanchard: Reporting w/ @Ty_Fenwick: @IndyMayorJoe wants an @MLS team, but it's unclear if he will get the 13 votes needed to get…</t>
  </si>
  <si>
    <t>RT @mirrorindy: For years, we have forgotten the dead beneath layers of cement. Are we about to again?
This is why a community of advocate…</t>
  </si>
  <si>
    <t>An Indianapolis company is planning to build a soccer stadium development atop the historic Greenlawn Cemetery. 
T… https://t.co/ak8zZYOFR7</t>
  </si>
  <si>
    <t>RT @smmills1960: NEW: Fascinating story from @indyemapolis of @mirrorindy about the loss that occurs when a cemetery is lost.
https://t.co…</t>
  </si>
  <si>
    <t>.@mirrorindy has previously asked Keystone Group how many human remains have been found as they work to redevelop t… https://t.co/kVkcOpYePY</t>
  </si>
  <si>
    <t>RT @ryanmartin: An Indianapolis company is planning to build a soccer stadium development atop the historic Greenlawn Cemetery. 
There's n…</t>
  </si>
  <si>
    <t>This is a must read today - tremendous reporting from @indyemapolis/ gorgeous visuals by @JennaRWatson &amp; Shaunt'e L… https://t.co/bKRU4oBmH8</t>
  </si>
  <si>
    <t>Wesley Wright</t>
  </si>
  <si>
    <t>Assistant Director of Student Media</t>
  </si>
  <si>
    <t>wwrigh21@fau.edu</t>
  </si>
  <si>
    <t>Wesley___Wright</t>
  </si>
  <si>
    <t>Asst. student media director @FloridaAtlantic, servant of Jesus Christ. I'm also on the @spj_tweets national board. Ask me about the ReNews Project.</t>
  </si>
  <si>
    <t>FAU Owl TV (Boca Raton, FL),University Press,FAU Owl Radio (Boca Raton, FL)</t>
  </si>
  <si>
    <t>The search for who’s buried at Greenlawn Cemetery, before it’s too late https://t.co/6j9GjqsPh1 via @indyemapolis for Mirror Indy</t>
  </si>
  <si>
    <t>Jayden Kennett</t>
  </si>
  <si>
    <t>jayden@jaydenkennett.com</t>
  </si>
  <si>
    <t>JournoJay</t>
  </si>
  <si>
    <t>Reporter @DailyJournalNet | @UIndy Alum | Covering education, small town government &amp; the environment | Say Hi! jkennett@dailyjournal.net</t>
  </si>
  <si>
    <t>Education,Environment</t>
  </si>
  <si>
    <t>Daily Journal (Franklin, IN),Freelance</t>
  </si>
  <si>
    <t>The search for who’s buried at Greenlawn Cemetery, before it’s too late https://t.co/l4KhBmGBjg via @mirrorindy</t>
  </si>
  <si>
    <t>NEW: The site of Greenlawn Cemetery is set to (maybe) become a multi-use development anchored by a 20,000-seat socc… https://t.co/G6COrHb9Bo</t>
  </si>
  <si>
    <t>RT @kayla_dwyer17: A tender portrait of a quest to figure out who's been forgotten before development takes over, by @indyemapolis  https:/…</t>
  </si>
  <si>
    <t>Back to the city officials: Their decision comes after a year of conversations with concerned community members, some of whom have been researching the history of the site and its significance to Indy.
/fin
https://t.co/l4KhBmGBjg</t>
  </si>
  <si>
    <t>Steve Mills</t>
  </si>
  <si>
    <t>Deputy Midwest Editor</t>
  </si>
  <si>
    <t>steve.mills@propublica.org</t>
  </si>
  <si>
    <t>smmills1960</t>
  </si>
  <si>
    <t>Chicago</t>
  </si>
  <si>
    <t>ProPublica Illinois deputy editor</t>
  </si>
  <si>
    <t>Crime and Justice,Metro Chicago</t>
  </si>
  <si>
    <t>ProPublica</t>
  </si>
  <si>
    <t>NEW: Fascinating story from @indyemapolis of @mirrorindy about the loss that occurs when a cemetery is lost.
https://t.co/WIsc1zbBzA</t>
  </si>
  <si>
    <t>Kayla Dwyer</t>
  </si>
  <si>
    <t>State Government and Politics Reporter</t>
  </si>
  <si>
    <t>kdwyer@indystar.com</t>
  </si>
  <si>
    <t>kayla_dwyer17</t>
  </si>
  <si>
    <t>State government &amp; politics reporter @IndyStar. 
Signal: 317-431-6992</t>
  </si>
  <si>
    <t>A tender portrait of a quest to figure out who's been forgotten before development takes over, by @indyemapolis… https://t.co/P1tp7YuV8A</t>
  </si>
  <si>
    <t>RT @clairerafford: This is a must read today - tremendous reporting from @indyemapolis/ gorgeous visuals by @JennaRWatson &amp; Shaunt'e Lewis…</t>
  </si>
  <si>
    <t>Dawn Olsen</t>
  </si>
  <si>
    <t>dawn@makewordsgo.com</t>
  </si>
  <si>
    <t>dmarieolsen</t>
  </si>
  <si>
    <t>Writer. Runner. @IndyDBNS CCO. Board member @FFDAIndy &amp; @INCulturalTrail. Native Iowan. Downtown resident. she/her | dawn@makewordsgo.com</t>
  </si>
  <si>
    <t>Amanda Kingsbury</t>
  </si>
  <si>
    <t>Managing Editor of Innovation</t>
  </si>
  <si>
    <t>amanda.kingsbury@mirrorindy.org</t>
  </si>
  <si>
    <t>akingsbury</t>
  </si>
  <si>
    <t>Managing editor of innovation at Mirror Indy. Co-founder, Indy Maven.</t>
  </si>
  <si>
    <t>RT @aribeedie: The search for who’s buried at Greenlawn Cemetery, before it’s too late https://t.co/SAjnFLDXtf via @mirrorindy</t>
  </si>
  <si>
    <t>The city was already on its way out of Eleven Park, but it’s noteworthy how much talk the buried bodies have gotten… https://t.co/oxaYLX2AJd</t>
  </si>
  <si>
    <t>Here's the latest from @AllyBurris  Indianapolis commission gives first approval for city's new MLS stadium plan… https://t.co/Uf9wAtT7IK</t>
  </si>
  <si>
    <t>"This is an early step in an extensive process, and we look forward to walking alongside our city’s vibrant and div… https://t.co/SBVVPbV8jh</t>
  </si>
  <si>
    <t>RT @starwatchtim: Here's the latest from @AllyBurris  Indianapolis commission gives first approval for city's new MLS stadium plan https://…</t>
  </si>
  <si>
    <t>RT @indystar: Indianapolis commission gives first approval for city's new MLS stadium plan https://t.co/hcDusGC8vU</t>
  </si>
  <si>
    <t>Kaitlin Lange</t>
  </si>
  <si>
    <t>Politics and Government Editor</t>
  </si>
  <si>
    <t>kaitlin.lange@indystar.com</t>
  </si>
  <si>
    <t>kaitlin_lange</t>
  </si>
  <si>
    <t>Government and politics editor @IndyStar. Past: @stateaffairsIN senior investigative reporter. Ball State grad. Tips: Kaitlin.Lange@IndyStar.com</t>
  </si>
  <si>
    <t>ICYMI from yesterday: Indianapolis commission gives first approval for city's new MLS stadium plan https://t.co/taHL4N6M7j from @AllyBurris</t>
  </si>
  <si>
    <t>RT @IBJnews: The Indianapolis Metropolitan Development Commission on Wednesday gave preliminary approval for a new taxing district that cou…</t>
  </si>
  <si>
    <t>RT @woo_times_ten: The MDC has approved the Hogsett administration's tax district for a potential MLS stadium, but it now goes to the counc…</t>
  </si>
  <si>
    <t>🚨 NEW POD: Why aren't fans signing up for MLS Season Pass? 
Fans watching highlights on social media instead of Ap… https://t.co/qGBqCCfp65</t>
  </si>
  <si>
    <t>RT @WISH_TV: The owner of a building on a proposed Major League Soccer stadium site refused to sell when she was met with an offer. News 8'…</t>
  </si>
  <si>
    <t>The Indianapolis MLS saga continues to unfold, as @woo_times_ten reports Indianapolis City-County Council still has… https://t.co/winoZXcmSr</t>
  </si>
  <si>
    <t>Get this morning’s @WISH_TV headlines on the News 8 Daily podcast 🎙️🎧👇
https://t.co/1O9Xpe0AWq</t>
  </si>
  <si>
    <t>RT @Beyondthe_90: BT 90: EXCLUSIVE: @CalumAEwing speaks with @The_BYB President David Ziemba on @IndyEleven situation
https://t.co/aJSX3dV…</t>
  </si>
  <si>
    <t>RT @mirrorindy: Mayor Joe Hogsett wants to make Indianapolis a Major League Soccer city. 
@Ty_Fenwick looked into how recent expansion cit…</t>
  </si>
  <si>
    <t>ICYMI📺: @ErsalOzdemir, the Keystone Group real estate developer who also owns the @IndyEleven, says the best place… https://t.co/oiSVmKHjnb</t>
  </si>
  <si>
    <t>RT @RichNye13: ICYMI📺: @ErsalOzdemir, the Keystone Group real estate developer who also owns the @IndyEleven, says the best place to build…</t>
  </si>
  <si>
    <t>RT @WTHRcom: Mayor Joe Hogsett presents his plan this week to the Indianapolis Metropolitan Development Commission to attract a Major Leagu…</t>
  </si>
  <si>
    <t>Pro Soccer: Monterey Bay F.C. sees four game winning streak snapped https://t.co/6JatRe0CI3</t>
  </si>
  <si>
    <t>RT @USLTactics: NEW: @Chas_Battery were finalists in 2023 and look even better in 2024. How are they doing it?
I dive deep into the player…</t>
  </si>
  <si>
    <t>More than 65,000 people are expected in Foxborough for #NEvMIA. Alex Morgan remains week to-week for… https://t.co/ygvjV3sqWU</t>
  </si>
  <si>
    <t>The perfect guide for games to keep an on eye this weekend in @MLS @NWSL @USLChampionship and Americans Abroad (… https://t.co/hbbcqYJMex</t>
  </si>
  <si>
    <t>Adam Crafton</t>
  </si>
  <si>
    <t>acrafton@theathletic.com</t>
  </si>
  <si>
    <t>AdamCrafton_</t>
  </si>
  <si>
    <t>New York, USA</t>
  </si>
  <si>
    <t>Reporter @TheAthleticFC. Sports Journalist of the Year, 2023, awarded by @SportSJA. Newly based in NYC. Now on Blue Sky. adamcrafton.bsky.social</t>
  </si>
  <si>
    <t>RT @socceramerica: What We're Reading Saturday
1. WC 2026: Concerns over fans’ US visas: @AdamCrafton_ (The Athletic)
2. Deal to bring pro…</t>
  </si>
  <si>
    <t>Arielle Schafer</t>
  </si>
  <si>
    <t>aschafer@cbs42.com</t>
  </si>
  <si>
    <t>arielle_schafer</t>
  </si>
  <si>
    <t>Birmingham, AL</t>
  </si>
  <si>
    <t>@CBS_42 Sports Reporter/Anchor + @alabamarow Alum | ig: arielleschafertv</t>
  </si>
  <si>
    <t>WIAT-TV (Birmingham, AL)</t>
  </si>
  <si>
    <t>RT @SamfordBaseball: B7 | 💪 BYE-BYE BALL ⚾
@lucassteele17 with the 2-run blast. 10-2 Dogs.
📺https://t.co/UXGKzqGXab
📊https://t.co/o15hfrn…</t>
  </si>
  <si>
    <t>RT @GordonHendry: Key point: Holcomb says he has been involved in these efforts. That's important.
Holcomb excited about prospect of India…</t>
  </si>
  <si>
    <t>“We love @IndyEleven,” @The_BYB president David Ziemba said. “We support soccer, Indianapolis soccer. This is our c… https://t.co/uok2rRpVSN</t>
  </si>
  <si>
    <t>RT @Brian_Haenchen: “We love @IndyEleven,” @The_BYB president David Ziemba said. “We support soccer, Indianapolis soccer. This is our club.…</t>
  </si>
  <si>
    <t>ICYMI (or developed a feverish passion for footy over the weekend) (or only read your news mid-morning Mondays) (or… https://t.co/f5YgRvm4nE</t>
  </si>
  <si>
    <t>The @IBJnews team has three updates today (🔒) on  Indianapolis leaders taking a run at MLS.
@woo_times_ten, on… https://t.co/52w7HQfKKm</t>
  </si>
  <si>
    <t>RT @MickeyShuey: The @IBJnews team has three updates today (🔒) on  Indianapolis leaders taking a run at MLS.
@woo_times_ten, on @IndyCounc…</t>
  </si>
  <si>
    <t>dbradley@ibj.com</t>
  </si>
  <si>
    <t>dcbradley</t>
  </si>
  <si>
    <t>Reporter covering Indy's northern suburbs and residential real estate for @IBJnews. Formerly @indystar and @WRTV. Baseball enthusiast.</t>
  </si>
  <si>
    <t>Breaking News Reporter</t>
  </si>
  <si>
    <t>margaret@frontofficesports.com</t>
  </si>
  <si>
    <t>mgfleming12</t>
  </si>
  <si>
    <t>New York, NY</t>
  </si>
  <si>
    <t>Breaking News Reporter @FOS | @NorthwesternU grad</t>
  </si>
  <si>
    <t>The Indianapolis mayor will officially bid for an MLS team and wants to put a stadium downtown. The city is already… https://t.co/gb9QFdzGP8</t>
  </si>
  <si>
    <t>Adam White</t>
  </si>
  <si>
    <t>Founder</t>
  </si>
  <si>
    <t>adam@fos.company</t>
  </si>
  <si>
    <t>FOSAdam</t>
  </si>
  <si>
    <t>Founder &amp; CEO @FOS</t>
  </si>
  <si>
    <t>RT @mgfleming12: The Indianapolis mayor will officially bid for an MLS team and wants to put a stadium downtown. The city is already workin…</t>
  </si>
  <si>
    <t>Hogsett: Major League Soccer an ‘opportunity we cannot pass up’
https://t.co/RkGOZmFSSd</t>
  </si>
  <si>
    <t>RT @WISH_TV: Indy "deserves and needs" a Major League Soccer franchise, Mayor Joe Hogsett told News 8 Daybreak anchor @ScottJSander on Frid…</t>
  </si>
  <si>
    <t>RT @indystar: Briggs: Don't weep for Indy Eleven https://t.co/e4Onyhyfuq</t>
  </si>
  <si>
    <t>"Last week, Indianapolis had a 0% chance to get an MLS team. Today, that percentage is somewhere higher than that."… https://t.co/8jRnEb0Mqp</t>
  </si>
  <si>
    <t>RT @MattGlenesk: "Last week, Indianapolis had a 0% chance to get an MLS team. Today, that percentage is somewhere higher than that." Someti…</t>
  </si>
  <si>
    <t>RT @JamesEBriggs: Indy Eleven's plan to build a 20,000-seat soccer stadium without an MLS team was like building a cruise ship and hoping i…</t>
  </si>
  <si>
    <t>David Woods</t>
  </si>
  <si>
    <t>dwoods1411@gmail.com</t>
  </si>
  <si>
    <t>DavidWoods007</t>
  </si>
  <si>
    <t>Independent journalist. Christ follower. dwoods1411@gmail.com. Author of IU Olympians: iupress.org/9780253050083/…</t>
  </si>
  <si>
    <t>Briggs: Don't weep for Indy Eleven https://t.co/ql2TC1BG2V via @indystar @JamesEBriggs</t>
  </si>
  <si>
    <t>Indianapolis plans to submit a bid for an expansion MLS team. But what makes Indy an ideal location for the league'… https://t.co/C83T0MMxD2</t>
  </si>
  <si>
    <t>couple things. 
answering why Indy and why now for MLS expansion: https://t.co/sbfEbvGm6B
and MLS to Indy does not necessarily mean the end of Indy Eleven, IMO. there is a path forward for the city’s current soccer team. have a story filed on that for when the time’s right.</t>
  </si>
  <si>
    <t>RT @Brian_Haenchen: Indianapolis plans to submit a bid for an expansion MLS team. But what makes Indy an ideal location for the league's 31…</t>
  </si>
  <si>
    <t>RT @Brian_Haenchen: couple things. 
answering why Indy and why now for MLS expansion: https://t.co/sbfEbvGm6B
and MLS to Indy does not ne…</t>
  </si>
  <si>
    <t>'We don't want to lose our club' | Local soccer fans worried about future of Indy Eleven as the city makes a move f… https://t.co/oH87vOXPZM</t>
  </si>
  <si>
    <t>Indianapolis seeks Major League Soccer team, leaving future of Indy Eleven development uncertain https://t.co/M871mQSJBj</t>
  </si>
  <si>
    <t>RT @wfyi: Indianapolis seeks Major League Soccer team, leaving future of Indy Eleven development uncertain | via @JillASheridan https://t.c…</t>
  </si>
  <si>
    <t>Indianapolis Mayor Joe Hogsett announces MLS expansion bid. Tom Glick, former Chelsea Football Club president of bu… https://t.co/curKJ5dWNk</t>
  </si>
  <si>
    <t>RT @FelipeCar: Indianapolis Mayor Joe Hogsett announces MLS expansion bid. Tom Glick, former Chelsea Football Club president of business, t…</t>
  </si>
  <si>
    <t>Edwin Delgado</t>
  </si>
  <si>
    <t>edwin.delgado@kvia.com</t>
  </si>
  <si>
    <t>EdwinDelgado13</t>
  </si>
  <si>
    <t>El Paso</t>
  </si>
  <si>
    <t>Foreign Language AP - for Apple TV MLS Season Pass. Founder @GoalClubPodcast Full-time soccer enthusiast. UTEP Alumnus. Opinions my own. RT's not endorsements.</t>
  </si>
  <si>
    <t>I don’t want to make it sound as if MLS is somehow innocent in this, but it does look like the Indy mayor is drivin… https://t.co/Zv2HvBmfqi</t>
  </si>
  <si>
    <t>RT @JeremiahOshan: I don’t want to make it sound as if MLS is somehow innocent in this, but it does look like the Indy mayor is driving thi…</t>
  </si>
  <si>
    <t>Charles Boehm</t>
  </si>
  <si>
    <t>Contributing Editor, Journalist</t>
  </si>
  <si>
    <t>Charles.Boehm@MLSsoccer.com</t>
  </si>
  <si>
    <t>cboehm</t>
  </si>
  <si>
    <t>DC</t>
  </si>
  <si>
    <t>Writes, edits, creates, mostly about soccer. I speak only for myself. DMs open. Mostly over at 🟦🌤️ these days: bsky.app/profile/cboehm.bsky.social</t>
  </si>
  <si>
    <t>MLS Soccer,Freelance</t>
  </si>
  <si>
    <t>RT @USLTactics: In which I muse on what Indy Eleven means to me and how the system is broken.
https://t.co/ZP0Yjn4KmA</t>
  </si>
  <si>
    <t>Details on the MLS expansion process. I’ll be updating with more knowledge and background, so check back soon. https://t.co/xlaqmGymM3</t>
  </si>
  <si>
    <t>MLS expansion, man. How does it work? This is how. FWIW, Garber said expansion wasn’t imminent — and I don’t think… https://t.co/vJpyLtLkhw</t>
  </si>
  <si>
    <t>RT @Brian_Haenchen: MLS expansion, man. How does it work? This is how. FWIW, Garber said expansion wasn’t imminent — and I don’t think ther…</t>
  </si>
  <si>
    <t>MLS commissioner Don Garber’s presser is scheduled for Wednesday in Columbus.
Mayor Joe Hogsett will be here to pitch Indy for an expansion team: https://t.co/tLh195Y7Le
a refresher on the process: https://t.co/xlaqmGymM3
also, hey. should be a good week for Indy soccer fans. https://t.co/EXSChuZc2l</t>
  </si>
  <si>
    <t>Channing King</t>
  </si>
  <si>
    <t>Digital Executive Producer</t>
  </si>
  <si>
    <t>channing.king@wdtn.com</t>
  </si>
  <si>
    <t>ChanningKing</t>
  </si>
  <si>
    <t>Dayton, OH</t>
  </si>
  <si>
    <t>channingking.bsky.social Ex-online editor at @IndyStar.com, now in the world of TV, knows a remote farm in Lincolnshire where Mrs. Buckley lives. He/him</t>
  </si>
  <si>
    <t>Crime and Justice,Politics</t>
  </si>
  <si>
    <t>WDTN-TV (Dayton, OH)</t>
  </si>
  <si>
    <t>News on this: https://t.co/ZQL4hej1Eh</t>
  </si>
  <si>
    <t>From me and @AllyBurris (mostly Alex) a look at the legal side. It’s going to be fascinating to see how the stadium… https://t.co/AqQEiTN26e</t>
  </si>
  <si>
    <t>Will have more on this tomorrow, but a statement from @The_BYB, which reads in part: “Mayor Joe Hogsett did not con… https://t.co/Fajo8zFXHN</t>
  </si>
  <si>
    <t>RT @indystar: Indianapolis plans to bid for MLS expansion team, raising questions on Indy Eleven future https://t.co/nRh6YNktKn</t>
  </si>
  <si>
    <t>RT @Brian_Haenchen: News on this: https://t.co/ZQL4hej1Eh</t>
  </si>
  <si>
    <t>Caleb Saylor</t>
  </si>
  <si>
    <t>CSaylorWx</t>
  </si>
  <si>
    <t>AMS Certified (#858) &amp; Emmy Award Winning Meteorologist @abc21wpta               
M.S. Meteorology @ballstate 📖</t>
  </si>
  <si>
    <t>U.S. Regional,Weather</t>
  </si>
  <si>
    <t>WPTA-TV (Fort Wayne, IN)</t>
  </si>
  <si>
    <t>RT @indystar: Indianapolis plans to bid for MLS expansion team, raising questions on Indy Eleven future
https://t.co/nRh6YNktKn</t>
  </si>
  <si>
    <t>RT @IndyStarSports: Indianapolis plans to bid for MLS expansion team, raising questions on Indy Eleven future
https://t.co/yUZDSxtyU4</t>
  </si>
  <si>
    <t>RT @Brian_Haenchen: From me and @AllyBurris (mostly Alex) a look at the legal side. It’s going to be fascinating to see how the stadium sag…</t>
  </si>
  <si>
    <t>Indianapolis plans to bid for MLS expansion team, raising questions on Indy Eleven future https://t.co/G6MFI3kPVH via @indystar</t>
  </si>
  <si>
    <t>RT @srudavsky: Indianapolis plans to pursue MLS expansion team, raising questions on Indy Eleven future from @AllyBurris and @Brian_Haenche…</t>
  </si>
  <si>
    <t>Indianapolis plans to pursue MLS expansion team, raising questions on Indy Eleven future from @AllyBurris and… https://t.co/kYeieGSnLC</t>
  </si>
  <si>
    <t>ICYMI original story by @AllyBurris and @Brian_Haenchen: Indy plans to pursue MLS expansion team, raising questions… https://t.co/ILXjqXVs7L</t>
  </si>
  <si>
    <t>Derek Harper</t>
  </si>
  <si>
    <t>Founder, Indiana State Athletics Beat Reporter</t>
  </si>
  <si>
    <t>derekharper@northwestsportsdesk.com</t>
  </si>
  <si>
    <t>RealDerekHarper</t>
  </si>
  <si>
    <t>Terre Haute, IN</t>
  </si>
  <si>
    <t>@IndStAthletics Beat Reporter for Terre Haute Tribune-Star. Founder @NWSportsDesk &amp; @ArenaBallTalk. CWU &amp; @SportsCapJour alum. Writer/Editor at @ITDBaseball.</t>
  </si>
  <si>
    <t>Tribune-Star,Northwest Sports Desk,Arena Football Talk</t>
  </si>
  <si>
    <t>Tim Spears</t>
  </si>
  <si>
    <t>Weekend Evening Anchor and Investigative Reporter</t>
  </si>
  <si>
    <t>tim.spears@wishtv.com</t>
  </si>
  <si>
    <t>tspearstv</t>
  </si>
  <si>
    <t>Weekend Evening Anchor &amp; Investigative Reporter at @WISHNews8 || SCOOPS: Tim.Spears@WISHTV.com</t>
  </si>
  <si>
    <t>Chloe Peterson</t>
  </si>
  <si>
    <t>capeterson@gannett.com</t>
  </si>
  <si>
    <t>chloepeterson67</t>
  </si>
  <si>
    <t>writing about the Indiana Fever, iuwbb, and other things for @indystarsports | uiowa alum | past: @thedailyiowan, @azcsports | she/her</t>
  </si>
  <si>
    <t>Jim Gordillo</t>
  </si>
  <si>
    <t>jgordillo@heraldt.com</t>
  </si>
  <si>
    <t>JimGordillo</t>
  </si>
  <si>
    <t>Bloomington, Ind.</t>
  </si>
  <si>
    <t>Sportswriter for the Bloomington Herald-Times. Father of three. Cubs, Packers, Celts, Blackhawks.</t>
  </si>
  <si>
    <t>Pat Brennan</t>
  </si>
  <si>
    <t>FC Cincinnati Beat Writer</t>
  </si>
  <si>
    <t>pbrennan@enquirer.com</t>
  </si>
  <si>
    <t>PBrennanENQ</t>
  </si>
  <si>
    <t>Reds + Bengals beat reporter @Enquirer | Previously covered FC Cincinnati, XU hoops | ain’t hard to find (at Wawa)  | @TheLantern alum | pbrennan@enquirer.com</t>
  </si>
  <si>
    <t>Cincinnati Enquirer</t>
  </si>
  <si>
    <t>RT @mirrorindy: The announcement will come just hours after Indianapolis-based Keystone Group — the developer behind Eleven Park soccer sta…</t>
  </si>
  <si>
    <t>RT @mirrorindy: City officials said an ownership group is forming that includes a group of investors led by “an experienced and well-respec…</t>
  </si>
  <si>
    <t>RT @ChrisSikich: Hogsett makes his soccer pitch for MLS, upending future of Eleven Park deal https://t.co/UDTa35QzbV via @peterlblanchard w…</t>
  </si>
  <si>
    <t>RT @peterlblanchard: @IndyMayorJoe makes his soccer pitch to @MLS, upending future of Eleven Park deal https://t.co/5NRzoaAUpi</t>
  </si>
  <si>
    <t>Hogsett makes his soccer pitch for MLS, upending future of Eleven Park deal https://t.co/UDTa35QzbV via @peterlblanchard with Mirror Indy.</t>
  </si>
  <si>
    <t>egraves@fox59.com</t>
  </si>
  <si>
    <t>ReporterEric</t>
  </si>
  <si>
    <t>Journalist @FOX59 @CBS4Indy. Past: @waff48, @komunews. Learned a bunch from @mujschool. Taller than I look on TV. Say hi at egraves@fox59.com.</t>
  </si>
  <si>
    <t>WTTV-TV (Indianapolis, IN),WXIN-TV (Indianapolis, IN)</t>
  </si>
  <si>
    <t>RT @joeboxd: NEW TODAY: Keystone Group, the developer of Eleven Park, claims the City now is backing out of the Indy Eleven stadium deal as…</t>
  </si>
  <si>
    <t>Keystone accuses Hogsett administration of trying to walk away from Eleven Park deal https://t.co/9TVaE2dO5l via @indystar</t>
  </si>
  <si>
    <t>From @AllyBurris: Keystone accuses Mayor Joe Hogsett administration of trying to walk away from Eleven Park deal.… https://t.co/7O1RBqQDDX</t>
  </si>
  <si>
    <t>@downthebyline @caydenshoe Correct: https://t.co/nSvQ7b8uc4</t>
  </si>
  <si>
    <t>RT @Brian_Haenchen: From @AllyBurris: Keystone accuses Mayor Joe Hogsett administration of trying to walk away from Eleven Park deal.
https…</t>
  </si>
  <si>
    <t>Holly Hays</t>
  </si>
  <si>
    <t>hhays@ibj.com</t>
  </si>
  <si>
    <t>hollyvhays</t>
  </si>
  <si>
    <t>Bloomington ➡️ Indianapolis</t>
  </si>
  <si>
    <t>@ibjnews news editor. former @indystar newser. @iuphilanthropy, @IUIONeill, @idsnews alumna. @theheraldtimes stan. talking about titanic and/or local news.</t>
  </si>
  <si>
    <t>RT @AllyBurris: Keystone accuses Hogsett administration of trying to walk away from Eleven Park deal https://t.co/9TVaE2dO5l via @indystar</t>
  </si>
  <si>
    <t>Developing story from @AllyBurris here: Keystone accuses Hogsett administration of trying to walk away from Eleven… https://t.co/NgFJuGOcas</t>
  </si>
  <si>
    <t>Mykal McEldowney</t>
  </si>
  <si>
    <t>Photojournalist</t>
  </si>
  <si>
    <t>Mykal.McEldowney@indystar.com</t>
  </si>
  <si>
    <t>mykalmphoto</t>
  </si>
  <si>
    <t xml:space="preserve">Indianapolis, Ind. </t>
  </si>
  <si>
    <t>@IndyStar photojournalist focused on covering local communities. Ohio Bobcat, husband, girl dad. Pulitzer Prize and Emmy award-winner. Instagram, link below.</t>
  </si>
  <si>
    <t>RT @SoccerSheet: No wins for any of North Carolina’s pro soccer teams this past weekend, no goals for any Charlotte teams, and only the @In…</t>
  </si>
  <si>
    <t>NEW: Indianapolis firm Keystone Group, which has been developing a $1.5 billion stadium district for the Eleven Par… https://t.co/dTH5gcH8zq</t>
  </si>
  <si>
    <t>⚽️👀💰Big sports biz news: The latest from @MickeyShuey  https://t.co/oLOBykE7IT</t>
  </si>
  <si>
    <t>RT @MickeyShuey: NEW: Indianapolis firm Keystone Group, which has been developing a $1.5 billion stadium district for the Eleven Park franc…</t>
  </si>
  <si>
    <t>RT @IBJnews: Mayor Joe Hogsett is promising a "significant" sports announcement later today as Keystone Group accuses the city of backing o…</t>
  </si>
  <si>
    <t>Here's my preview of tonight's Memphis 901 FC game against Monterey Bay for @BluffCity_Media.  Kickoff is set for 7… https://t.co/LHl7moquGH</t>
  </si>
  <si>
    <t>RT @901SoccerPod: He won't be at the game tonight but @ldock93 still has the preview of 901 FC vs Monterey Bay for @BluffCity_Media 
https:…</t>
  </si>
  <si>
    <t>RT @SBISoccer: The Houston Dynamo and LAFC are among the eight #MLS clubs set to enter the 2024 U.S. Open Cup Round of 32. https://t.co/KLp…</t>
  </si>
  <si>
    <t>NEW: Today saw the last batch of teams enter the #USOC24 in its fourth round draw. Of the 32 teams left in contenti… https://t.co/6rNIntmtOK</t>
  </si>
  <si>
    <t>@derekmswanson Memphis didn’t apply to host, so they were in this matchup (which automatically would play away if t… https://t.co/6mzR0JEW2p</t>
  </si>
  <si>
    <t>RT @TheAthleticSCCR: When MLS announced that it would enter its Next Pro teams into the 2024 U.S. Open Cup in lieu of its first teams, the…</t>
  </si>
  <si>
    <t>San Antonio FC is on the road this weekend to face Hartford Athletic 
A look at the game and the teams.
https://t.co/eKe854MBkp</t>
  </si>
  <si>
    <t>David Hashagen</t>
  </si>
  <si>
    <t>Play by Play Broadcaster and Color Commentator</t>
  </si>
  <si>
    <t>davidhashagen@gmail.com</t>
  </si>
  <si>
    <t>David_Hashagen</t>
  </si>
  <si>
    <t>Play-by-Play Broadcaster for Big State Sports and Jersey Hitmen hockey. Soccer, Hockey, Football, Baseball. Opinions are my own.</t>
  </si>
  <si>
    <t>Metro New York,Sports</t>
  </si>
  <si>
    <t>Big State Sports</t>
  </si>
  <si>
    <t>RT @opencup: The Round of 32 Schedule is Set | #USOC2024 
@OpenCup 👀» https://t.co/4ePW2IhqWF https://t.co/qXfNgMo0N8</t>
  </si>
  <si>
    <t>RT @USLChampionship: The @opencup Round of 32 matchups are set. Who else can't wait? ✋
➡️ https://t.co/zrhQSIbEUh https://t.co/ALs674HlYk</t>
  </si>
  <si>
    <t>RT @Beyondthe_90: .@DFeuerstein on the #USOC2024 Third Round -
https://t.co/biFHR2X5ci
#USOC https://t.co/EhjtPU6Qoy</t>
  </si>
  <si>
    <t>Charleston Battery's Markanich Named Week 6 Player of the Week https://t.co/lqHvSAJ6yf @Chas_Battery</t>
  </si>
  <si>
    <t>Charleston Battery's Markanich Named Week 6 Player of the Week https://t.co/lqHvSAJ6yf @Chas_Battery #chs</t>
  </si>
  <si>
    <t>Battery Battle Back for 2-4 Victory Over Indy, Ycaza, Markanich and Myers Score https://t.co/wohCBNIFFL @Chas_Battery</t>
  </si>
  <si>
    <t>Battery Battle Back for 2-4 Victory Over Indy, Ycaza, Markanich and Myers Score https://t.co/wohCBNIFFL</t>
  </si>
  <si>
    <t>Here's my preview of today's Memphis 901 FC game @ Loudoun United for @BluffCity_Media
https://t.co/Zyo7e1kI8y</t>
  </si>
  <si>
    <t>RT @901SoccerPod: Here's @ldock93 to preview 901 FC @ Loudoun United today for @BluffCity_Media 
https://t.co/2NH0ly3FeU</t>
  </si>
  <si>
    <t>Karthik Venkataraman</t>
  </si>
  <si>
    <t>Sports Anchor and Journalist</t>
  </si>
  <si>
    <t>kvv30@aol.com</t>
  </si>
  <si>
    <t>KarthikV_</t>
  </si>
  <si>
    <t>San Diego, CA</t>
  </si>
  <si>
    <t>Sports Anchor/Journalist for @CBS8 KFMB-TV in San Diego</t>
  </si>
  <si>
    <t>Metro San Diego,Sports</t>
  </si>
  <si>
    <t>KFMB-TV (San Diego, CA)</t>
  </si>
  <si>
    <t>RT @Vol_Baseball: #BillyBarrels with the OPPP 🌮
📺https://t.co/v06I4sKDMA (SECN)
#GBO // #OTH // #BeatLSU https://t.co/eDP8XsojjY</t>
  </si>
  <si>
    <t>Bryan Ramos</t>
  </si>
  <si>
    <t>bramos@themonitor.com</t>
  </si>
  <si>
    <t>bybryanramos</t>
  </si>
  <si>
    <t>Edinburg, TX</t>
  </si>
  <si>
    <t>writer of sports &amp; stuff. @rgvsports &amp; @monitornews. contributor @dctf. UTRGV alum.  email: bramos@themonitor.com</t>
  </si>
  <si>
    <t>Digital AIM Media</t>
  </si>
  <si>
    <t>RT @UTRGVBaseball: Game time vs. Utah Valley!
💻🇺🇸 https://t.co/7mkdaMa4uj
💻🌍 https://t.co/YK0815HzLT
📺 Vallevisión Channel 8 (XHAB)
📊 http…</t>
  </si>
  <si>
    <t>RT @UTRGVBaseball: BIDI BIDI BOM 💣
#11 for @Martinvzz32, tied for the 10th most in a season in program history
End 1: We lead Utah Valley…</t>
  </si>
  <si>
    <t>RT @UTRGVBaseball: 🔥 Nico Rodriguez
Top 8: We're tied with Utah Valley 2-2
💻🇺🇸 https://t.co/7mkdaMa4uj
💻🌍 https://t.co/YK0815HzLT
📺 Valle…</t>
  </si>
  <si>
    <t>Bob Elliott</t>
  </si>
  <si>
    <t>Canadian columnist</t>
  </si>
  <si>
    <t>bobelliott@canadianbaseballnetwork.com</t>
  </si>
  <si>
    <t>elliottbaseball</t>
  </si>
  <si>
    <t>Lucky to be here Angela, Savannah, Lou &amp; Geoff saved my life 2/02/19 in Okotoks (twice). @Eliottbaseball @CDNBaseballNet Used to cover Expos &amp; Jays.</t>
  </si>
  <si>
    <t>Arts and Entertainment,Canada,Sports</t>
  </si>
  <si>
    <t>Canadian Baseball Network</t>
  </si>
  <si>
    <t>RT @NKUNorseBSB: ⬇️8⃣: 𝗧-𝗠𝗢𝗦𝗦!!!!!!!!!!!
After a triple by @SimpsonCleary, @Tmoss3_ drives him home and it's a one-run contest once again…</t>
  </si>
  <si>
    <t>🚨@TheMiamiFC &amp; @IndyEleven complete four player swap per BT90 sources
https://t.co/JVdrJyH4Jv https://t.co/tmaex5VhO6</t>
  </si>
  <si>
    <t>jonah.dylan@commercialappeal.com</t>
  </si>
  <si>
    <t>TheJonahDylan</t>
  </si>
  <si>
    <t>Memphis, TN</t>
  </si>
  <si>
    <t>Tigers/Grizzlies @memphisnews | Past: @insider_ct, @reviewjournal, @thedailynu | Never too high, never too low | Jonah.Dylan@commercialappeal.com</t>
  </si>
  <si>
    <t>Memphis 901 FC needs a new stadium. But where, when...and with what money?
Went through some background on the sit… https://t.co/ZOpeRlMeyF</t>
  </si>
  <si>
    <t>RT @TheJonahDylan: Memphis 901 FC needs a new stadium. But where, when...and with what money?
Went through some background on the situatio…</t>
  </si>
  <si>
    <t>Jason Munz</t>
  </si>
  <si>
    <t>Tigers Basketball Beat Writer</t>
  </si>
  <si>
    <t>Jason.Munz@CommercialAppeal.com</t>
  </si>
  <si>
    <t>munzly</t>
  </si>
  <si>
    <t>Tiger basketball beat writer @memphisnews. USM beat writer before that. RTs ≠ endorsements. Here's to feelin' good all the time.</t>
  </si>
  <si>
    <t>PROS &amp; CONS OF #MLSSEASONPASS 📺
Kartik (@kkfla737) &amp; Chris (@thegaffer) do a deep dive into the MLS streaming prod… https://t.co/ziCzy9oBJG</t>
  </si>
  <si>
    <t>RT @worldsoccertalk: PROS &amp; CONS OF #MLSSEASONPASS 📺
Kartik (@kkfla737) &amp; Chris (@thegaffer) do a deep dive into the MLS streaming product…</t>
  </si>
  <si>
    <t>Brendan Dunlop</t>
  </si>
  <si>
    <t>Radio Talk Show Host</t>
  </si>
  <si>
    <t>brendan.dunlop@bellmedia.ca</t>
  </si>
  <si>
    <t>Brendan_Dunlop</t>
  </si>
  <si>
    <t>Toronto, Canada</t>
  </si>
  <si>
    <t>📺 host | Co-founder @CANSoccerDaily | 🎙 @TSN1050Radio FIFA World Cup | @NorthernFutbol | ✍️ 📖 DeRo: My Life, by Dwayne De Rosario | 🖥 @CBCOlympics</t>
  </si>
  <si>
    <t>RT @WakingtheRed: In his first year as a head coach, Toronto FC icon Danny Dichio has Detroit City FC off to a blistering start in the USL…</t>
  </si>
  <si>
    <t>@TitleTownFA @MLS Nothing disingenuous but it's hard to fit everything into 280 characters but if you want to read… https://t.co/HMxTtoLjOX</t>
  </si>
  <si>
    <t>@afc_rants It's difficult to sum up all of the different variables and details in a tweet. For more detail, we wrot… https://t.co/S6wG3elMT1</t>
  </si>
  <si>
    <t>jamesnalton@gmail.com</t>
  </si>
  <si>
    <t>JDNalton</t>
  </si>
  <si>
    <t>Merseyrail</t>
  </si>
  <si>
    <t>The people have noticed that the times are changing</t>
  </si>
  <si>
    <t>RT @GdnUSsports: A relegation push and CBS: USL’s quest to become America’s go-to league https://t.co/jc0SXwtAWt</t>
  </si>
  <si>
    <t>Article on @USL_HQ's opportunity to become the go-to men's soccer league in the US during a defining moment for the… https://t.co/gHv0SGQMgX</t>
  </si>
  <si>
    <t>RT @JDNalton: Article on @USL_HQ's opportunity to become the go-to men's soccer league in the US during a defining moment for the sport in…</t>
  </si>
  <si>
    <t>RT @johnmcp66: A great read from @JDNalton
Via @guardian
A relegation push and CBS: USL’s quest to become America’s go-to league https://t…</t>
  </si>
  <si>
    <t>For now here's my article on the USL Championship from earlier this month, featuring words from exclusive interview… https://t.co/yvhkUDwUKA</t>
  </si>
  <si>
    <t>@PT4747 A couple in this didn't hold back https://t.co/xFYK66KnyB</t>
  </si>
  <si>
    <t>@SebiSalazarFUT @3four3 From my experience, many didn't accept it. Some had strong views when I spoke to them and w… https://t.co/eD3lm1cgST</t>
  </si>
  <si>
    <t>With MLS on a month-long break, it's a good time to catch up with the USL Championship. Games are available on YouTube internationally and on various channels in the US. I wrote about the league here at the start of the season for the Guardian. https://t.co/xFYK66KnyB</t>
  </si>
  <si>
    <t>Patrick Seton O'Connor</t>
  </si>
  <si>
    <t>Co-Host, Producer</t>
  </si>
  <si>
    <t>poconnor@danpatrick.com</t>
  </si>
  <si>
    <t>HiMyNameIsSeton</t>
  </si>
  <si>
    <t>Hartford // Milford // South Amboy</t>
  </si>
  <si>
    <t>#ProRelForUSA
#FinoAllaFine</t>
  </si>
  <si>
    <t>The Dan Patrick Show,The 12:15 Club</t>
  </si>
  <si>
    <t>Jason La Canfora</t>
  </si>
  <si>
    <t>Reporter, Host, Betting Analyst, and Content Creator</t>
  </si>
  <si>
    <t>laca414@gmail.com</t>
  </si>
  <si>
    <t>JasonLaCanfora</t>
  </si>
  <si>
    <t>B-More, Maryland</t>
  </si>
  <si>
    <t>father, husband, reporter, host, betting analyst, showrunner. democracy uber alles. I speak for myself not corporations linktr.ee/jasonlacanfora</t>
  </si>
  <si>
    <t>Ryan Bailey</t>
  </si>
  <si>
    <t>Host, Writer, Broadcaster and Video Producer</t>
  </si>
  <si>
    <t>ryan@ryan-bailey.com</t>
  </si>
  <si>
    <t>RyanJayBailey</t>
  </si>
  <si>
    <t>Not actively using this account these days | @TotalSoccerShow host | @SerieA_EN Calcio Weekly author | Part-owner of @AFCWimbledon</t>
  </si>
  <si>
    <t>Total Soccer Show,Freelance</t>
  </si>
  <si>
    <t>Callum McFadden</t>
  </si>
  <si>
    <t>Football Writer and Commentator, Senior Football Writer</t>
  </si>
  <si>
    <t>callummcfadden21@gmail.com</t>
  </si>
  <si>
    <t>Callum7McFadden</t>
  </si>
  <si>
    <t>Scotland</t>
  </si>
  <si>
    <t>⚽️✍️ + 🎙️| Senior Football Writer for @WorldFootballi | Audio Descriptive Commentator | Also featured on @OneFootball, @Ground_Guru, @_GIFN, @GGFN_ &amp; @BTLVid.</t>
  </si>
  <si>
    <t>World Football Index,Freelance</t>
  </si>
  <si>
    <t>An excellent article by @JDNalton on the rise of @USL_HQ.
https://t.co/Zj4Ok7Aihe</t>
  </si>
  <si>
    <t>Digital Producer and Reporter</t>
  </si>
  <si>
    <t>sdraut@wdrb.com</t>
  </si>
  <si>
    <t>Sam_Draut</t>
  </si>
  <si>
    <t>Louisville, KY</t>
  </si>
  <si>
    <t>Digital Producer / Reporter for @WDRBNews | President for @ypalouisville | I wrote a book: a.co/d/gumYBYX</t>
  </si>
  <si>
    <t>RT @WDRBNews: Louisville City FC fans get close look at Kentucky Derby 150 trophy at Lynn Family Stadium | @Sam_Draut  https://t.co/NGzLlJp…</t>
  </si>
  <si>
    <t>Matt Bell</t>
  </si>
  <si>
    <t>matt@mattaboutmoney.com</t>
  </si>
  <si>
    <t>MattAboutMoney</t>
  </si>
  <si>
    <t>Grateful Christ follower, husband, dad, and displaced Chicagoan. Doing my best to practice and teach a biblical approach to managing money. 1 Corinthians 4:2</t>
  </si>
  <si>
    <t>Religion</t>
  </si>
  <si>
    <t>Sound Mind Investing</t>
  </si>
  <si>
    <t>Another great game from @LouCity last night. They're on a roll.
https://t.co/pd5K1GmPnj</t>
  </si>
  <si>
    <t>Here's my preview of today's Memphis 901 FC game against Orange County SC for @BluffCity_Media.  Give it a read and… https://t.co/DatAIcZcbC</t>
  </si>
  <si>
    <t>RT @901SoccerPod: 901 FC has a game against Orange County SC down at AutoZone Park this afternoon and @ldock93 previews it for @BluffCity_M…</t>
  </si>
  <si>
    <t>Saturday is a big sports day. Especially for soccer. Games on CBS (@USLChampionship debut) and FOX (El Trafico,… https://t.co/poFlPO6Low</t>
  </si>
  <si>
    <t>Saturday in Bradenton...
GA Cup U-15s, Semifinals: 
Valencia-Brondby FC 
Toronto FC-Toulouse
GA Cup U-17s, Semifina… https://t.co/f6gtmxi7iJ</t>
  </si>
  <si>
    <t>Afternoons Host, Manager and Editor</t>
  </si>
  <si>
    <t>MikeRuth5@aol.com</t>
  </si>
  <si>
    <t>CardChronicle</t>
  </si>
  <si>
    <t>Manager of CardChronicle.com, host of "The Mike Rutherford Show," CBB @SBNation, author of "100 Things Louisville Fans Should Know." MikeRuth5@aol.com.</t>
  </si>
  <si>
    <t>Card Chronicle,WXVW-FM (Jeffersonville, IN)</t>
  </si>
  <si>
    <t>Friday afternoon Cardinal news and notes https://t.co/e6AtNsTrkM</t>
  </si>
  <si>
    <t>Digital Director, Host</t>
  </si>
  <si>
    <t>brandon@sportsvideo.org</t>
  </si>
  <si>
    <t>SVG_Brandon</t>
  </si>
  <si>
    <t>MSP, NYC, NJ</t>
  </si>
  <si>
    <t>Caroline + Celine's Dad • Director of Digital, @SportsVideo Group • Sports Broadcasting Hall of Fame • Tweets on live sports video production • @HofstraU Alum</t>
  </si>
  <si>
    <t>The SVG Podcast,Sports Video Group (SVG)</t>
  </si>
  <si>
    <t>The @USLChampionship makes its broadcast television debut on Saturday.
The league ushers in its new rights deal wi… https://t.co/zdPbCma3Et</t>
  </si>
  <si>
    <t>Patrick Stiegman</t>
  </si>
  <si>
    <t>Vice President and Editorial Director, Global Digital Content</t>
  </si>
  <si>
    <t>patrick.stiegman@espn.com</t>
  </si>
  <si>
    <t>pstiegman</t>
  </si>
  <si>
    <t>Media executive. Journalist. ESPN VP. You want it / you take it / you pay the price to Prove it All Night ...</t>
  </si>
  <si>
    <t>Arts and Entertainment,Opinion and Editorial,U.S. Regional</t>
  </si>
  <si>
    <t>Civil War uniforms, 36-35 shootouts and Nickelback: Fans of Louisville City and Indy Eleven have combined to make o… https://t.co/iGdq6aQRH0</t>
  </si>
  <si>
    <t>Ryan Tolmich</t>
  </si>
  <si>
    <t>American Soccer Correspondent</t>
  </si>
  <si>
    <t>ryan.tolmich@footballco.com</t>
  </si>
  <si>
    <t>RyanTolmich</t>
  </si>
  <si>
    <t>American Soccer Correspondent for @Goal. 
📧: ryan.tolmich@footballco.com</t>
  </si>
  <si>
    <t>RT @Tom_Hindle_: Indy Eleven and Louisville City of the @USLChampionship first played in 37AD. That’s not true, but their fans will tell yo…</t>
  </si>
  <si>
    <t>RT @USLTactics: NEW: The USL debuts on CBS this Saturday, and it’s a huge marker of the league’s growth.
For @Backheeled, I talked to USL…</t>
  </si>
  <si>
    <t>Jason Elliott</t>
  </si>
  <si>
    <t>Writer, Columnist and Photographer</t>
  </si>
  <si>
    <t>jelliott@cdapress.com</t>
  </si>
  <si>
    <t>JECdAPress</t>
  </si>
  <si>
    <t>Coeur d'Alene, Idaho</t>
  </si>
  <si>
    <t>Writer, columnist, amateur photographer at the Coeur d'Alene Press.</t>
  </si>
  <si>
    <t>Opinion and Editorial,Sports,U.S. Regional</t>
  </si>
  <si>
    <t>ICYMI: Weekend TV/Radio highlights
https://t.co/b8v4S9TYfJ</t>
  </si>
  <si>
    <t>Mark Nelke</t>
  </si>
  <si>
    <t>mnelke@cdapress.com</t>
  </si>
  <si>
    <t>CdAPressSports</t>
  </si>
  <si>
    <t>Coeur d'Alene, ID</t>
  </si>
  <si>
    <t>Coeur d'Alene Press sports editor Mark Nelke covers North Idaho high school and North Idaho College sports, with a touch of Idaho Vandals mixed in</t>
  </si>
  <si>
    <t>RT @JECdAPress: ICYMI: Weekend TV/Radio highlights
https://t.co/b8v4S9TYfJ</t>
  </si>
  <si>
    <t>Raheem Bashir</t>
  </si>
  <si>
    <t>raheem@lastwordonsports.com</t>
  </si>
  <si>
    <t>bashirra</t>
  </si>
  <si>
    <t>Toronto, Ontario</t>
  </si>
  <si>
    <t>@AFC_Toronto, @PWHL_Toronto, @TempoBasketball, @TOWolfpack
writer for RB Sports. Graduate from @GBCollege and @UTSC. Media: @soccerreporters and @RUWCOfficial</t>
  </si>
  <si>
    <t>RT @LastWordSC: With many #MLS teams not playing in this year’s @opencup, this has allowed teams from the @MLSNEXTPRO league to make their…</t>
  </si>
  <si>
    <t>Gene Henley</t>
  </si>
  <si>
    <t>Tennessee Beat Writer</t>
  </si>
  <si>
    <t>ghenley05@gmail.com</t>
  </si>
  <si>
    <t>genehenley3</t>
  </si>
  <si>
    <t>Cleveland, TN</t>
  </si>
  <si>
    <t>Father to @saultjudah5. | @tfpsports since 2008. I write a lot and talk into a microphone some. Cleveland, TN over everything.</t>
  </si>
  <si>
    <t>Chattanooga Times Free Press</t>
  </si>
  <si>
    <t>RT @ChattRedWolves: Back in Birmingham for Round 3 🏆
See you soon, @bhmlegion 🫡
📰 https://t.co/wsmHYDobKe
#DaleLobos 🔴🐺 #USOC2024 https:…</t>
  </si>
  <si>
    <t>RT @opencup: 3rd Round Schedule Set » https://t.co/vJeO9mxpOU
#USOC2024 | @OpenCup 🏆 https://t.co/hQ2eEM5uG4</t>
  </si>
  <si>
    <t>Greg Orlandini</t>
  </si>
  <si>
    <t>Broadcast Managing Editor, Host and Producer</t>
  </si>
  <si>
    <t>greg.orlandini@entercom.com</t>
  </si>
  <si>
    <t>GFO1025</t>
  </si>
  <si>
    <t>Giedi Prime</t>
  </si>
  <si>
    <t>"A gossipy old Italian woman in a grumpy dude's body " - Alana Phelan . Also, bass player, Delmarva lover, South Jersey Native, history buff. former deli clerk</t>
  </si>
  <si>
    <t>KYW-AM (Philadelphia, PA)</t>
  </si>
  <si>
    <t>RT @ChuckBoothSport: No one puts more pressure on Louisville City than head coach Danny Cruz puts on himself but due to the consistency of…</t>
  </si>
  <si>
    <t>No one puts more pressure on Louisville City than head coach Danny Cruz puts on himself but due to the consistency… https://t.co/NeyYrpZRIc</t>
  </si>
  <si>
    <t>Mike Goodman</t>
  </si>
  <si>
    <t>TheM_L_G</t>
  </si>
  <si>
    <t>Not Ukraine for now</t>
  </si>
  <si>
    <t>Now: “The Carlo Ancelotti of CBSSports.com/soccer” Then: @StatsBomb, Grantland, @FiveThirtyEight etc. Always @doublepivotpod.</t>
  </si>
  <si>
    <t>The Double Pivot: Soccer Analysis, Analytics, and Commentary</t>
  </si>
  <si>
    <t>RT @USL_HQ: The USL will debut its first official broadcast theme music for the @USLChampionship and @USLLeagueOne this Saturday on CBS, du…</t>
  </si>
  <si>
    <t>CBS to broadcast the first USL game this weekend on over-the-air network TV. It's a historic moment for the D2 leag… https://t.co/JkeZj2bcsj</t>
  </si>
  <si>
    <t>The draw for the Third Round of the US Open Cup was today and Memphis 901 FC will be hosting Miami United.  Here's… https://t.co/aH4lLWaySz</t>
  </si>
  <si>
    <t>RT @901SoccerPod: We're getting a US Open Cup home game for the first time since 2019 and @ldock93 has the news for @BluffCity_Media
https:…</t>
  </si>
  <si>
    <t>RT @ldock93: The draw for the Third Round of the US Open Cup was today and Memphis 901 FC will be hosting Miami United.  Here's my piece on…</t>
  </si>
  <si>
    <t>Tawana Andrew</t>
  </si>
  <si>
    <t>tandrew@wave3.com</t>
  </si>
  <si>
    <t>TawanaAndrew</t>
  </si>
  <si>
    <t>WAVE News Meteorologist. #notaweathergirl MAPB Award Winner. Weather geek, movie aficionado, and lover of big words. Racing Louisville and Lou City fan #GoNoles</t>
  </si>
  <si>
    <t>Love the profile on @ScousesHouse. @KYScouse96 and @KennyAlward are happy to share their love of @loucityfc,… https://t.co/aNdSP7CoBb</t>
  </si>
  <si>
    <t>RT @ScousesHouse: Thank you USL Soccer for spending some time with us on Saturday.  We got a great read from them here:  https://t.co/fqEaA…</t>
  </si>
  <si>
    <t>Jack Albright</t>
  </si>
  <si>
    <t>Executive Sports Editor</t>
  </si>
  <si>
    <t>jack.albright@marquette.edu</t>
  </si>
  <si>
    <t>JackAlbrightMU</t>
  </si>
  <si>
    <t>Marquette ‘26 | @MUWireSports Executive Editor</t>
  </si>
  <si>
    <t>Marquette Wire</t>
  </si>
  <si>
    <t>RT @marquettesoccer: Got our guys ☑️ Welcome to the family! 
RELEASE: https://t.co/sP58Bb2dgt
#WeAreMarquette https://t.co/rL4QuZMF9P</t>
  </si>
  <si>
    <t>General Manager, Sports Broadcaster</t>
  </si>
  <si>
    <t>gschray18@adrian.edu</t>
  </si>
  <si>
    <t>schrayguy</t>
  </si>
  <si>
    <t>Chattanooga, TN</t>
  </si>
  <si>
    <t>🎙 Play-by-play for ESPN+, USL, MLSNP, CFC, etc | 🎥 Premium streaming solutions @SchrayMedia | ➡️ Tune in @SESNsports, @MWSNsports, @WBSNsports, @NSBNsports</t>
  </si>
  <si>
    <t>Sports,Technology</t>
  </si>
  <si>
    <t>Midwest Sports Network,Win Big Sports,The Southeast Sports Network</t>
  </si>
  <si>
    <t>RT @MWSNsports: History will be made for USL over the weekend, as the fierce rivalry between Louisville City FC and Indy Eleven wil… https://t.co/4ZM0M71B0h</t>
  </si>
  <si>
    <t>RT @usopencup: Here we go. Another week of great @opencup action. 16 matches will be played over the next two days ad we've got yo… https://t.co/aBeRCDp7CS</t>
  </si>
  <si>
    <t>A little slow on the switch here, but @loucityfc is off to a great start this season!
https://t.co/OgQ4AOHvKT</t>
  </si>
  <si>
    <t>Here's my preview of tonight's Memphis 901 FC game on the road @ the Sacramento Republic for @BluffCity_Media.  
https://t.co/7ShGWBO5Cl</t>
  </si>
  <si>
    <t>RT @901SoccerPod: Here's @ldock93 to preview tonight's 901 FC game away to Sacramento for @BluffCity_Media 
https://t.co/uiphmZwgua</t>
  </si>
  <si>
    <t>marisa@givememyremote.com</t>
  </si>
  <si>
    <t>marisaroffman</t>
  </si>
  <si>
    <t>Eat, breathe, sleep TV. (@GiveMeMyRemote &amp; more; @OfficialTCA member. Previously TVGM, Zap2it, E!) Sports nerd. (@dodgers/@lakers) Opinions are my own.</t>
  </si>
  <si>
    <t>Arts and Entertainment,Media,U.S.</t>
  </si>
  <si>
    <t>Here's what's streaming on Paramount+ in April: https://t.co/WrTYILifrm</t>
  </si>
  <si>
    <t>RT @USLChampionship: Home dominance from the Mentality Monsters 😤
Find out which exclusive club @SanAntonioFC is a part of, as well as… https://t.co/qqA2kIR4AL</t>
  </si>
  <si>
    <t>Ramsey Abushahla</t>
  </si>
  <si>
    <t>rfa295@gmail.com</t>
  </si>
  <si>
    <t>Lebapino</t>
  </si>
  <si>
    <t>Em dash enthusiast. Editor @Urban_Pitch and 1/2 of @LampinBlog. New Urban Pitch Podcast episodes every Tuesday.</t>
  </si>
  <si>
    <t>RT @Urban_Pitch: Get yourself a friend like @Tega_Ikoba. 🤝
@TimbersFC/@IndyEleven goalkeeper @Hunter_Sulte joins the latest UP Podcast to…</t>
  </si>
  <si>
    <t>.@thethirdhalf on the weekend that was in @USLChampionship &amp; @USLLeagueOne 
https://t.co/TpUKpp0CUO https://t.co/03SEh7EPpO</t>
  </si>
  <si>
    <t>.@thethirdhalf on the weekend that was in @USLChampionship &amp; @USLLeagueOne 
https://t.co/TpUKpp0CUO
#USL #USLKickoff https://t.co/JlvjAoUqLS</t>
  </si>
  <si>
    <t>“He was kind of looking at me and I said, ‘Laye, I’m telling you, it’s done. It’s finished.’ And he puts that one in from out the box.”
✅Abdoulaye Diop redemption
✅3 points for ⁦Detroit City FC
https://t.co/6eJbDt4Pey</t>
  </si>
  <si>
    <t>RT @nolanbianchi: “He was kind of looking at me and I said, ‘Laye, I’m telling you, it’s done. It’s finished.’ And he puts that one i… https://t.co/oo9dUlYLa4</t>
  </si>
  <si>
    <t>Cora Hall</t>
  </si>
  <si>
    <t>cora.hall@knoxnews.com</t>
  </si>
  <si>
    <t>corahalll</t>
  </si>
  <si>
    <t>Knoxville, TN</t>
  </si>
  <si>
    <t>tennessee women’s athletics for @knoxnews | michigander | 🇰🇷🇺🇸 | she/her | aaja + @SJI_Update</t>
  </si>
  <si>
    <t>Knoxville News Sentinel</t>
  </si>
  <si>
    <t>RT @Vol_Softball: T10: OVERTURNED ‼️
LADY VOLS TAKE THE LEAD 😝
 📲 https://t.co/mkqeC1jTvN (SECN+) https://t.co/Z44Nm1KwXF</t>
  </si>
  <si>
    <t>Maria M. Cornelius</t>
  </si>
  <si>
    <t>mmcornelius23@gmail.com</t>
  </si>
  <si>
    <t>mmcornelius</t>
  </si>
  <si>
    <t>Knoxville, Tennessee</t>
  </si>
  <si>
    <t>Editor @moxcar; author @utennpress; writer @govols247; president @etspj; volunteer @StridesKnox; DEI; racial justice; LGBTQIA+  #breastcancer Opinions are mine.</t>
  </si>
  <si>
    <t>247Sports</t>
  </si>
  <si>
    <t>Dan Schutte</t>
  </si>
  <si>
    <t>Anchor and News Director</t>
  </si>
  <si>
    <t>dan.schutte@cbs19news.com</t>
  </si>
  <si>
    <t>schuttedan</t>
  </si>
  <si>
    <t>Charlottesville, VA</t>
  </si>
  <si>
    <t>Anchor CBS19 News at 5 FOX VA at 10. MN born. H2o skier. Runner. Edina-DC-Eureka-Duluth-Charlottesville. It's possible I'm not as funny as I think I am.</t>
  </si>
  <si>
    <t>WCAV-TV (Charlottesville, VA)</t>
  </si>
  <si>
    <t>RT @UVASwimDive: 🥇 𝐍𝐂𝐀𝐀 𝐂𝐇𝐀𝐌𝐏𝐈𝐎𝐍 - 𝟐𝟎𝟎 𝐁𝐑𝐄𝐀𝐒𝐓 🥇
Alex Walsh adds her third 🏆 of the meet, taking the 200 Breaststroke in 2:02.07 
Watch the…</t>
  </si>
  <si>
    <t>RT @UVASwimDive: 🇺🇸 𝐀𝐌𝐄𝐑𝐈𝐂𝐀𝐍 𝐑𝐄𝐂𝐎𝐑𝐃 - 𝟏𝟎𝟎 𝐅𝐑𝐄𝐄 🇺🇸
𝘎𝘙𝘌𝘛𝘊𝘏𝘌𝘕 𝘞𝘈𝘓𝘚𝘏 𝘋𝘖𝘌𝘚 𝘐𝘛 𝘈𝘎𝘈𝘐𝘕!!!!
She clocks a 44.83 in the 100 Free for an America… https://t.co/Zbk63HYJaB</t>
  </si>
  <si>
    <t>Jeff White</t>
  </si>
  <si>
    <t>JeffWhiteUVa</t>
  </si>
  <si>
    <t>Crozet, VA</t>
  </si>
  <si>
    <t>VirginiaSports.com ... Crozetian since 2001 ... UVA alum … Loaves &amp; Fishes volunteer ... Fan of C's, All Blacks, Baxter and Hoos.</t>
  </si>
  <si>
    <t>Wahoo Central Podcasts</t>
  </si>
  <si>
    <t>Jane Dunlap Sathe</t>
  </si>
  <si>
    <t>Features Editor and Writer</t>
  </si>
  <si>
    <t>jnorris@dailyprogress.com</t>
  </si>
  <si>
    <t>Janednorris</t>
  </si>
  <si>
    <t>Features editor/writer, The Daily Progress. Wake Forest Demon Deacon. Classical music, arts. Cats, dogs, grace, hope, ministry. She/her. 🏴󠁧󠁢󠁳󠁣󠁴󠁿🇺🇦♒️</t>
  </si>
  <si>
    <t>The Daily Progress</t>
  </si>
  <si>
    <t>Luke G Thompson</t>
  </si>
  <si>
    <t>Outdoors and Sports Reporter, Podcaster</t>
  </si>
  <si>
    <t>lthompson@yakimaherald.com</t>
  </si>
  <si>
    <t>LukeTScribe</t>
  </si>
  <si>
    <t>Yakima, WA</t>
  </si>
  <si>
    <t>@Yakima_Herald outdoors/sports reporter. Soccer referee. Formerly @Shreveporttimes HS sports. He/him.</t>
  </si>
  <si>
    <t>Environment,Sports,U.S.</t>
  </si>
  <si>
    <t>Bring on the Cats,Yakima Herald-Republic</t>
  </si>
  <si>
    <t>Ike grad Julian "Juicy J" Erosa is on deck in Las Vegas for his first fight in 11 months. You can watch him face off against Ricardo Ramos with an ESPN+ subscription here: https://t.co/Ki857A8B0N</t>
  </si>
  <si>
    <t>Anyone who thought @RiverhoundsSC would pick up right where they left off last season hadn't been paying attention. 
This team is a work in progress...but the potential is there. 
My story on the home-opening loss to @orangecountysc for @PGSportsNow 
https://t.co/bLHsJ5CWq3</t>
  </si>
  <si>
    <t>Digital Media Manager</t>
  </si>
  <si>
    <t>daniel.macht@hearst.com</t>
  </si>
  <si>
    <t>danmacht</t>
  </si>
  <si>
    <t>Digital Media Manager @KCRAnews. Earlier: NBC Owned Television Stations digital. Runner. (You can find me on Threads now)</t>
  </si>
  <si>
    <t>RT @kcranews: Trevor Amann scores again as Sacramento Republic FC gets 1st win of 2024 season | Click on the image to read the fu… https://t.co/Kq8X7M1yXz</t>
  </si>
  <si>
    <t>Here's my @BluffCity_Media preview of today's Memphis 901 FC game against Indy Eleven down at AutoZone Park at 3pm.  
https://t.co/Q3Rp7K7kqu</t>
  </si>
  <si>
    <t>RT @901SoccerPod: Looks like @ldock93 has his @BluffCity_Media preview ready for today's 901 FC game against Indy Eleven
https://t.co/oR09qX6taz</t>
  </si>
  <si>
    <t>Jon Blau</t>
  </si>
  <si>
    <t>Clemson Athletics Reporter</t>
  </si>
  <si>
    <t>jblau@postandcourier.com</t>
  </si>
  <si>
    <t>Jon_Blau</t>
  </si>
  <si>
    <t>South Carolina, USA</t>
  </si>
  <si>
    <t>Clemson athletics for @postandcourier | Email: jblau@postandcourier.com</t>
  </si>
  <si>
    <t>RT @ClemsonBaseball: Make that a career-high 🔟 strikeouts for @TristanS2022. 🔥
B6 || CU 4, DUK 2
🖥 https://t.co/ihM04Gdgj2 https://t.co/IDxDq7jryy</t>
  </si>
  <si>
    <t>Lauren Bradford</t>
  </si>
  <si>
    <t>Sports Reporter, FOX 43 Sports</t>
  </si>
  <si>
    <t>laurenbradford72@gmail.com</t>
  </si>
  <si>
    <t>laurenbradfor</t>
  </si>
  <si>
    <t>Sports Reporter @fox43sports ESMD - Clemson alum</t>
  </si>
  <si>
    <t>WPMT-TV (York, PA)</t>
  </si>
  <si>
    <t>RT @ClemsonBaseball: Had it all the way.
@aldenmathes #SCTop10 
E5 || CU 4, DUK 2
🖥 https://t.co/ihM04Gdgj2 https://t.co/6ODrGnsRT2</t>
  </si>
  <si>
    <t>Danny Smith</t>
  </si>
  <si>
    <t>sports@starkvilledailynews.com</t>
  </si>
  <si>
    <t>sdndannyp</t>
  </si>
  <si>
    <t>Starkville</t>
  </si>
  <si>
    <t>The sports editor of The Starkville Daily News. Married to the former Rena McClain of Vardaman and daughters are Anna Leigh and Lisa Caye.</t>
  </si>
  <si>
    <t>Starkville Daily News</t>
  </si>
  <si>
    <t>RT @HailStateBB: Game 2️⃣0️⃣ Starters. First pitch is set for 4 p.m.    
📊» https://t.co/M9lwIJrPu2 
📺» https://t.co/GeNFdofsEH 
📻»… https://t.co/Wd9VZQnZVI</t>
  </si>
  <si>
    <t>Colin Damms</t>
  </si>
  <si>
    <t>Site Manager, Sports Writer</t>
  </si>
  <si>
    <t>cmdamms@gmail.com</t>
  </si>
  <si>
    <t>Colintheshots95</t>
  </si>
  <si>
    <t>Starkville, MS</t>
  </si>
  <si>
    <t>Sports writer for Commercial Dispatch / Site Manager @TheBusbyBabe / Master of History / He/Him / views my own
linktr.ee/colindamms</t>
  </si>
  <si>
    <t>The Commercial Dispatch,The Busby Babe</t>
  </si>
  <si>
    <t>RT @HailStateBB: Karson Ligon with his third K of the game 
📺 » https://t.co/GeNFdofsEH
#HailState🐶 https://t.co/jkdWJNFluO</t>
  </si>
  <si>
    <t>Stefan Krajisnik</t>
  </si>
  <si>
    <t>Ohio State Athletics Reporter</t>
  </si>
  <si>
    <t>skrajisnik@cleveland.com</t>
  </si>
  <si>
    <t>skrajisnik3</t>
  </si>
  <si>
    <t>Covering Ohio State football for @clevelanddotcom, @buckeyetalkpod</t>
  </si>
  <si>
    <t>Cleveland.com</t>
  </si>
  <si>
    <t>Elizabeth Keen</t>
  </si>
  <si>
    <t>Reporter and Anchor</t>
  </si>
  <si>
    <t>elizabethkeen2002@gmail.com</t>
  </si>
  <si>
    <t>elizabethfkeen</t>
  </si>
  <si>
    <t>Biloxi, MS</t>
  </si>
  <si>
    <t>@WXXV25 Morning Anchor &amp; Sports Reporter || Mississippi State Athletic Communications Alum || Opinions are my own!</t>
  </si>
  <si>
    <t>WXXV 25</t>
  </si>
  <si>
    <t>Logan Lowery</t>
  </si>
  <si>
    <t>Assistant Director or Communications</t>
  </si>
  <si>
    <t>llowery@athletics.msstate.edu</t>
  </si>
  <si>
    <t>loganlowery</t>
  </si>
  <si>
    <t>Starkville, Miss.</t>
  </si>
  <si>
    <t>Assistant Director | Athletic Communications @HailState</t>
  </si>
  <si>
    <t>hailstate.com</t>
  </si>
  <si>
    <t>RT @HailStateBB: Bryce Chance with the 3-run bomb
📺 » https://t.co/GeNFdofsEH
#HailState🐶 https://t.co/nv2SWq7Nrb</t>
  </si>
  <si>
    <t>RT @HailStateBB: Dawgs turn a huge double play to end the top of the 8th
📺 » https://t.co/GeNFdofsEH
#HailState🐶 https://t.co/IcLtuuL782</t>
  </si>
  <si>
    <t>RT @HailStateBB: What a play by Cam Schuelke!
📺 » https://t.co/GeNFdofsEH
#HailState🐶 https://t.co/SdW1fAjIbV</t>
  </si>
  <si>
    <t>Michael Cauble</t>
  </si>
  <si>
    <t>mikec@wbrz.com</t>
  </si>
  <si>
    <t>Cauble</t>
  </si>
  <si>
    <t>Baton Rouge, LA</t>
  </si>
  <si>
    <t>Plays a Sports Guy on TV</t>
  </si>
  <si>
    <t>WBRZ-TV (Baton Rouge, LA)</t>
  </si>
  <si>
    <t>Rhiannon Potkey</t>
  </si>
  <si>
    <t>Co-Editor and Writer, Sports Journalist</t>
  </si>
  <si>
    <t>rpotkey@yahoo.com</t>
  </si>
  <si>
    <t>RPotkey</t>
  </si>
  <si>
    <t>Nonprofit Founder: @Goods4Greatness | Journalist/reporter/editor ✍️ for multiple outlets, incl. @D1Softball. Helping others is my true passion. Spread kindness.</t>
  </si>
  <si>
    <t>D1Softball,Freelance</t>
  </si>
  <si>
    <t>RT @AuburnSoftball: Give her a cape!
📺: https://t.co/kFNnP9mak4
#WarEagle | @absmith2021 https://t.co/UbPStPcXXO</t>
  </si>
  <si>
    <t>Mel Greenberg</t>
  </si>
  <si>
    <t>poll416@gmail.com</t>
  </si>
  <si>
    <t>womhoopsguru</t>
  </si>
  <si>
    <t>38.40702,-75.059045</t>
  </si>
  <si>
    <t>Hall of Fame and 2021 Gowdy Media - Print among others award winning Women's basketball writer formerly with Phila. Inquirer. Also USBWA VP-Women.</t>
  </si>
  <si>
    <t>RT @CULionsWBB: CHAMPIONSHIP SATURDAY 
🏆 @IvyLeague Tournament Final
🆚 @PrincetonWBB 
🕔 5:00 p.m. ET 
🏟️ Levien Gym 
📍 120th &amp; Broadway
🎟️…</t>
  </si>
  <si>
    <t>Jason Galvin</t>
  </si>
  <si>
    <t>Host and Anchor</t>
  </si>
  <si>
    <t>jasongalvin42@gmail.com</t>
  </si>
  <si>
    <t>Jason_Galvin</t>
  </si>
  <si>
    <t>Bakersfield, CA</t>
  </si>
  <si>
    <t>Announcer/Spokesperson/Sportsman Manager, @NHRA. @LifesADrag1320 host. PxP: @CSUBAthletics, @ESPNPlus. @NMPAOnline member, @Cronkite_ASU Alumnus.</t>
  </si>
  <si>
    <t>Live on @ESPNPlus 
https://t.co/kOkgAmUlDA</t>
  </si>
  <si>
    <t>Aaron Hancock</t>
  </si>
  <si>
    <t>Sports Reporter, Producer, Anchor and Photographer</t>
  </si>
  <si>
    <t>aaronhancock14</t>
  </si>
  <si>
    <t>Evansville/Henderson</t>
  </si>
  <si>
    <t>Sports Reporter/Producer/Anchor/Photographer @ 14 News, WFIE, NBC Affiliate, Evansville, IN</t>
  </si>
  <si>
    <t>WFIE-TV (Evansville, IN)</t>
  </si>
  <si>
    <t>RT @UEAthletics_SB: Middle 5th
🟣 7 | 🟤 3
Nice defensive play by Jess Willsey ends the top of the 5th as UE escapes a bases loaded jam… https://t.co/AbEi2uDPBo</t>
  </si>
  <si>
    <t>RT @UEAthletics_SB: Bottom 5th
🟣 9 | 🟤 3
A 2-run home run from Alexa Davis has UE up by six
🎥 https://t.co/u3GPv7ykMz (ESPN+)
🥎… https://t.co/XgeFNzJjtf</t>
  </si>
  <si>
    <t>Fresh off winning USL Goal of the Week, Memphis 901 FC's Nighte Pickering has been called up to the US U19 National Team.  My piece for @BluffCity_Media
https://t.co/SL4Iy7liFs</t>
  </si>
  <si>
    <t>RT @901SoccerPod: He scored against Atlanta in the preseason, scored a goal of the week against Vegas on Saturday and now he been cal… https://t.co/LuaRO0XKEC</t>
  </si>
  <si>
    <t>RT @ldock93: Fresh off winning USL Goal of the Week, Memphis 901 FC's Nighte Pickering has been called up to the US U19 National Team.  My…</t>
  </si>
  <si>
    <t>RT @Memphis901FC: We've got 𝙉𝙞𝙜𝙝𝙩𝙚 𝙁𝙚𝙫𝙚𝙧🔥 
Nighte Pickering has been called up to the USYNT for the March FIFA International window! 🇺🇸…</t>
  </si>
  <si>
    <t>Avery Braxton</t>
  </si>
  <si>
    <t>Host and Sports Multi-Skilled Journalist</t>
  </si>
  <si>
    <t>abraxton@abc24.com</t>
  </si>
  <si>
    <t>Brax_Avery</t>
  </si>
  <si>
    <t>Award winning Sports Anchor for @ABC24Memphis
I report on Memphis area sports and blab about my life sometimes.
#NABJ #NUPE</t>
  </si>
  <si>
    <t>zmyers@fox59.com</t>
  </si>
  <si>
    <t>ZachMyersNews</t>
  </si>
  <si>
    <t>Reporter, Weekend Morning Anchor, proud husband and father to two awesome kiddos.</t>
  </si>
  <si>
    <t>Scammers made $10 billion in 2023.  With that much money, you could by every Indianapolis professional sports team and still have a couple billion left over! @FOX59 #MoneyMatters https://t.co/ccBVJVABjJ</t>
  </si>
  <si>
    <t>Andrew Simonson</t>
  </si>
  <si>
    <t>andrew.simonson@shelbycountyreporter.com</t>
  </si>
  <si>
    <t>andrewtsimonson</t>
  </si>
  <si>
    <t>Sports Editor for @shelbycreporter | Freelance Sideline Reporter | @SamfordMBB reporter for @BirminghamSport | Queen City native | Proud @Samford_CAM alum</t>
  </si>
  <si>
    <t>Shelby County Reporter</t>
  </si>
  <si>
    <t>RT @bhmlegion: MVO on TOTW!
Eight saves and a shutout earn Matt VanOekel a spot on the USL Championship Team of the Week! 
🔗… https://t.co/nM4kZUwaVy</t>
  </si>
  <si>
    <t>The 2024 @MLSNEXTPRO season gets underway Friday! Here is my full preview on the Western Conference! https://t.co/iXdJISYXgl</t>
  </si>
  <si>
    <t>Rick Aragon</t>
  </si>
  <si>
    <t>RXCafeTX</t>
  </si>
  <si>
    <t>Librarian.  Texan.  @ofcs Member.  RT/Likes are not endorsements.</t>
  </si>
  <si>
    <t>RT @SeriouslyLoco: 🚨NEW EPISODE🚨
Episode 132 - Hartford Review, Monterey Bay Preview
🎱 Locomotive Debutants
🎭 Pros and Cons
📮 Listen… https://t.co/D1s2izhwxd</t>
  </si>
  <si>
    <t>Simon Austin</t>
  </si>
  <si>
    <t>Founder and Director, Training Ground Guru</t>
  </si>
  <si>
    <t>simonaustin@trainingground.guru</t>
  </si>
  <si>
    <t>sport_simon</t>
  </si>
  <si>
    <t>Manchester</t>
  </si>
  <si>
    <t>Proud dad to 2 girls... and @ground_guru</t>
  </si>
  <si>
    <t>RT @ground_guru: 🚨 TGG Live '24
Your window into the world of high performance
📍 St George's Park
🗓️ September 9-10
Day 1 = Sport… https://t.co/xTy13dlRMK</t>
  </si>
  <si>
    <t>RT @ground_guru: Our Sporting Director panel at TGG Live 2024 =
▶️ Laurence Stewart (Chelsea)
▶️ Ben Knapper (Norwich City)
▶️ Kevin Thelw…</t>
  </si>
  <si>
    <t>RT @ground_guru: 🗣️ Speakers for TGG Live 2024
St George's Park | September 9 &amp; 10
🧵
https://t.co/fMTi5VB6kt</t>
  </si>
  <si>
    <t>. @thethirdhalf #USLKickoff wrapup reads like a long novel. But so much happened this weekend. 
https://t.co/uAtBaw5DHL https://t.co/phdNpZ4Mys</t>
  </si>
  <si>
    <t>Douglas Zimmerman</t>
  </si>
  <si>
    <t>Online Photo Editor and Photographer, Photojournalist</t>
  </si>
  <si>
    <t>dzimmerman@sfgate.com</t>
  </si>
  <si>
    <t>zimpix</t>
  </si>
  <si>
    <t>Oakland, CA</t>
  </si>
  <si>
    <t>SFGate photographer/editor, freelance #photojournalist, p/t soccer writer/fanatic. Published Photo Book of soccer fans of the #fifaworldcup, #USMNT</t>
  </si>
  <si>
    <t>Metro San Francisco</t>
  </si>
  <si>
    <t>Freelance,SFGate</t>
  </si>
  <si>
    <t>RT @soccerbayarea: Tamacas &amp; Cedeno Power Oakland Roots to Win in 2024 Opener @oaklandrootssc #KnowYourRoots https://t.co/VuvsPlTJ2R</t>
  </si>
  <si>
    <t>Here's my preview of today's Memphis 901 FC season opener against the Las Vegas Lights for @BluffCity_Media.  Kickoff downtown at AutoZone Park is set for 3pm.  
https://t.co/YaYoR5Cr1R</t>
  </si>
  <si>
    <t>RT @901SoccerPod: Memphis 901 FC opens the 2024 season today against the Las Vegas Lights down at AutoZone Park this afternoon at 3pm… https://t.co/lwJWf1ZOI8</t>
  </si>
  <si>
    <t>"It was a warm welcome for sure." 
@Tyler10Gibson is back with @IndyEleven and is looking forward to playing once again in Indy. ⚽️
@The_BYB | @WISH_TV | @USLChampionship 
https://t.co/w90rSYEFgI</t>
  </si>
  <si>
    <t>Some things to watch for as the @USLChampionship kicks off on @CBSSportsGolazo tomorrow. A whole lotta new faces everywhere 
https://t.co/3w5quStZXY</t>
  </si>
  <si>
    <t>Tommy Quinlan</t>
  </si>
  <si>
    <t>Journalist and Radio Show Host</t>
  </si>
  <si>
    <t>TommyQuinlan_IV</t>
  </si>
  <si>
    <t>Morning show executive producer, talk show host, New England Soccer Weekly radio host, RIFC radio PxP. Steak king, both eating and cooking. @wpro @790TheScore</t>
  </si>
  <si>
    <t>WPRO-FM (East Providence, RI)</t>
  </si>
  <si>
    <t>RT @ChuckBoothSport: Some things to watch for as the @USLChampionship kicks off on @CBSSportsGolazo tomorrow. A whole lotta new faces ev… https://t.co/KZlLYQAKav</t>
  </si>
  <si>
    <t>Senior Content Producer</t>
  </si>
  <si>
    <t>caleb@thebamabuzz.com</t>
  </si>
  <si>
    <t>CalebTurrentine</t>
  </si>
  <si>
    <t>Alabama, USA</t>
  </si>
  <si>
    <t>@buzz_bama | I tweet about sports but will not stick to them. | BLM | Free Palestine | Past stops: @abc3340, @Liberty_Ballers, @BleacherReport, @WetumpkaHerald</t>
  </si>
  <si>
    <t>The Bama Buzz</t>
  </si>
  <si>
    <t>I didn’t think I’d get so busy today but as promised, here is my 2024 season preview for the Birmingham Legion after my conversation with coach Tommy Soehn earlier today. 
https://t.co/FW1C26rWQ0</t>
  </si>
  <si>
    <t>The @USLChampionship season kicks off soon so why not roll in with some kit ranks from members of the @CBSSportsGolazo staff?
https://t.co/jl1gQkZ2X0</t>
  </si>
  <si>
    <t>James Benge</t>
  </si>
  <si>
    <t>Soccer Correspondent</t>
  </si>
  <si>
    <t>james.benge@paramount.com</t>
  </si>
  <si>
    <t>jamesbenge</t>
  </si>
  <si>
    <t>Premier League Correspondent, CBS
Inside Arsenal: Extra Time
Views own</t>
  </si>
  <si>
    <t>New Mexico United, Loudoun United, Pittsburgh Riverhounds (warra name by the way): you have my attention https://t.co/HMJKOfOJLt</t>
  </si>
  <si>
    <t>RT @pghsoccernow: One last report from @RiverhoundsSC training before the season kicks off Saturday, @MattRhys63 reports HC Bob Lille… https://t.co/rFjXeimKdG</t>
  </si>
  <si>
    <t>Now free for everyone. 
2024 @USLChampionship predictions by myself  &amp; @thethirdhalf 
https://t.co/OcIT9055Cn https://t.co/6LbjQ09fvl</t>
  </si>
  <si>
    <t>Here's my piece for @BluffCity_Media on Memphis 901 FC's new jersey sponsor being announced at a special event tonight.  
https://t.co/OrNxStX0NN</t>
  </si>
  <si>
    <t>RT @901SoccerPod: Our guy @ldock93 was at the special, season ticket holder event downtown tonight where Memphis 901 FC unveiled a ne… https://t.co/H4v9eDe73y</t>
  </si>
  <si>
    <t>How cool is this? @ethanob7 will be joining his brother @josh_obrien41 on @IndyEleven's roster this season. ⚽️ 
https://t.co/9jmQ8XddtJ</t>
  </si>
  <si>
    <t>Scott Moak</t>
  </si>
  <si>
    <t>Host, Vice President</t>
  </si>
  <si>
    <t>scott.moak@fox40.com</t>
  </si>
  <si>
    <t>AnnouncerScott</t>
  </si>
  <si>
    <t>Sactown</t>
  </si>
  <si>
    <t>Host at Fox40, VP at Sac Republic, Kings PA dude. Business &amp; nonprofit consultant. Proud dad of 2 adorable nuggets, UCD grad, Sac native.</t>
  </si>
  <si>
    <t>KTXL-TV (Sacramento, CA),Sacramento Republic</t>
  </si>
  <si>
    <t>RT @KevinNagleMLS: I am glad we are ranked number one this year but the only thing that really matters is sustaining our winning cultu… https://t.co/cnIbsC54RZ</t>
  </si>
  <si>
    <t>Tyler Pilgrim</t>
  </si>
  <si>
    <t>typilgs@gmail.com</t>
  </si>
  <si>
    <t>ATLPilgrim</t>
  </si>
  <si>
    <t>Founder/Co-host of @ScarvesNSpikes podcast/website covering Atlanta United &amp; MLS 🟥⬛ Husband, father of 4. Freelance/Inquiries: typilgs@gmail.com</t>
  </si>
  <si>
    <t>Dirty South Soccer</t>
  </si>
  <si>
    <t>RT @ScarvesNSpikes: Putting a bow on Matchday 3 in MLS with The Feed
✍️@SHWrites 
https://t.co/Q0tintVDJS</t>
  </si>
  <si>
    <t>Some #words on MLS Matchday 3
https://t.co/Ejr6vuroae</t>
  </si>
  <si>
    <t>The schedule/format for the US Open Cup was released today and Memphis 901 FC now knows when they'll enter the tournament.  My piece for @BluffCity_Media 
https://t.co/YyaUZYJNfL</t>
  </si>
  <si>
    <t>RT @901SoccerPod: Here's @ldock93 for @BluffCity_Media on when 901 FC will join this year's Open Cup.  
https://t.co/zXYWdbq6V0</t>
  </si>
  <si>
    <t>ECNL Dallas: 15s – Center Backs
@futbol_ava 
@StingECNL09 
@IXIproacademy 
@CE09GECNL 
@Texans09gECNL 
@chiINTER 
@PrepSoccer 
@ECNLgirls 
#ECNLDTX
https://t.co/WoeXqovDQB https://t.co/M6WOfhjbCC</t>
  </si>
  <si>
    <t>Paul Livengood</t>
  </si>
  <si>
    <t>plivengood@tegna.com</t>
  </si>
  <si>
    <t>IamLivengood</t>
  </si>
  <si>
    <t>Dallas, TX</t>
  </si>
  <si>
    <t>Digital Journalist for @WFAA, covering news/sports (@FCDallas/@dallascowboys/@dallasmavs/@Rangers) | Formerly @6NewsCTX/@KVUE | @sjmctxst ‘16 | R.I.P. #TLG❤️💙</t>
  </si>
  <si>
    <t>Metro Dallas,Sports</t>
  </si>
  <si>
    <t>RT @wfaa: 2024 Lamar Hunt U.S. @opencup features only 8 @MLS first teams, including @FCDallas | #DTID #USOC2024 https://t.co/sgbqUCbv47</t>
  </si>
  <si>
    <t>RT @FrontRowSoccer: THE LIST: Of the teams competing in U.S. Open Cup - https://t.co/Fu16Wsy3XP https://t.co/E6fcMIPbhh</t>
  </si>
  <si>
    <t>RT @FrontRowSoccer: A DIFFERENT TYPE OF OPEN CUP: Tournament unveils 96 teams, including 8 MLS sides - https://t.co/k0F8ffG2eA https://t.co/gLGjqtcmby</t>
  </si>
  <si>
    <t>RT @pghsoccernow: BREAKING 
@ussoccer has announced the field and format for 2024 edition of Lamar Hunt US Open Cup
@RiverhoundsSC will…</t>
  </si>
  <si>
    <t>Tristin McKinstry</t>
  </si>
  <si>
    <t>NFL Writer, Senior Editor, Writer and Editor</t>
  </si>
  <si>
    <t>tristinmckinstry1@gmail.com</t>
  </si>
  <si>
    <t>LovelyDegree160</t>
  </si>
  <si>
    <t>Otisville, MI</t>
  </si>
  <si>
    <t>he/him. Senior Editor for @ClutchPointsApp. NFL Writer for @PFN365. Writing/Editorial Intern for @NAHLHockey.</t>
  </si>
  <si>
    <t>Pro Football Network,ClutchPoints,Freelance</t>
  </si>
  <si>
    <t>RT @USLChampionship: OFFICIAL: All 24 USL Championship clubs will participate in the 2024 Lamar Hunt U.S. Open Cup
➡️… https://t.co/NmfYDRWIuh</t>
  </si>
  <si>
    <t>RT @oaklandrootssc: The Hunt begins in April, let's go! 
➡️ https://t.co/WctIV6fSZB</t>
  </si>
  <si>
    <t>Michelle Kaufman</t>
  </si>
  <si>
    <t>mkaufman@MiamiHerald.com</t>
  </si>
  <si>
    <t>kaufsports</t>
  </si>
  <si>
    <t>Miami Herald sportswriter/Mom/University of Miami adjunct professor. Love soccer, tennis, Olympics, college hoops and football.</t>
  </si>
  <si>
    <t>RT @TheMiamiFC: Miami FC is proud to join all 36 USL men’s professional clubs in the 109th edition of the Lamar Hunt U.S. Open Cup.… https://t.co/DWFHCaGqVt</t>
  </si>
  <si>
    <t>Roy Bellamy</t>
  </si>
  <si>
    <t>Senior Producer</t>
  </si>
  <si>
    <t>roybelly</t>
  </si>
  <si>
    <t>Senior Producer - @LeBatardShow @Stugotz790 | #BecauseMiami | @hockeyshowdls | Meadowlark Media
@purplenutmeg1's husband - Claire's dad
@NABJ | @thePHWA</t>
  </si>
  <si>
    <t>Meadowlark Media,The Dan Le Batard Show with Stugotz</t>
  </si>
  <si>
    <t>RT @USLLeagueTwo: OFFICIAL: 11 USL League Two clubs to compete in the 2024 Lamar Hunt U.S. Open Cup
➡️ https://t.co/KhXbTGhO8M https://t.co/IQlZVXT8vF</t>
  </si>
  <si>
    <t>Jake Zimmer</t>
  </si>
  <si>
    <t>jakezimmer12@gmail.com</t>
  </si>
  <si>
    <t>JakeZimmer12</t>
  </si>
  <si>
    <t>Boston, MA</t>
  </si>
  <si>
    <t>PA &amp; PxP guy around New England 🎙️ Voice of @nhlbruins @PWHL_Boston @premierlacrosse | @the_bbb_podcast @house_enterprise</t>
  </si>
  <si>
    <t>Beers, Business, and Balls</t>
  </si>
  <si>
    <t>RT @RhodeIslandFC: 🏆We are proud and excited to participate in our first @opencup in club history!
#WickedGoodSoccer | #RIFC
https://t.co/xJ6S54eidU</t>
  </si>
  <si>
    <t>march</t>
  </si>
  <si>
    <t>april</t>
  </si>
  <si>
    <t>may</t>
  </si>
  <si>
    <t>june</t>
  </si>
  <si>
    <t>july</t>
  </si>
  <si>
    <t>august</t>
  </si>
  <si>
    <t>september</t>
  </si>
  <si>
    <t>october</t>
  </si>
  <si>
    <t>Location Category</t>
  </si>
  <si>
    <t>USA</t>
  </si>
  <si>
    <t>Local</t>
  </si>
  <si>
    <t>International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</si>
</sst>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quot;$&quot;#,##0.00_-"/>
    <numFmt numFmtId="166" formatCode="yyyy\-mm\-dd\ hh:mm:ss"/>
  </numFmts>
  <fonts count="3" x14ac:knownFonts="1">
    <font>
      <sz val="11"/>
      <color theme="1"/>
      <name val="Calibri"/>
      <family val="2"/>
      <scheme val="minor"/>
    </font>
    <font>
      <b/>
      <sz val="10"/>
      <name val="Arial"/>
    </font>
    <font>
      <sz val="10"/>
      <name val="Arial"/>
    </font>
  </fonts>
  <fills count="2">
    <fill>
      <patternFill patternType="none"/>
    </fill>
    <fill>
      <patternFill patternType="gray125"/>
    </fill>
  </fills>
  <borders count="2">
    <border>
      <left/>
      <right/>
      <top/>
      <bottom/>
      <diagonal/>
    </border>
    <border>
      <left/>
      <right/>
      <top/>
      <bottom/>
      <diagonal/>
    </border>
  </borders>
  <cellStyleXfs count="6">
    <xf numFmtId="0" fontId="0" fillId="0" borderId="0"/>
    <xf numFmtId="0" fontId="1" fillId="0" borderId="1"/>
    <xf numFmtId="0" fontId="2" fillId="0" borderId="1">
      <alignment vertical="top" wrapText="1"/>
    </xf>
    <xf numFmtId="164" fontId="2" fillId="0" borderId="1">
      <alignment vertical="top" wrapText="1"/>
    </xf>
    <xf numFmtId="165" fontId="2" fillId="0" borderId="1">
      <alignment vertical="top" wrapText="1"/>
    </xf>
    <xf numFmtId="166" fontId="2" fillId="0" borderId="1">
      <alignment vertical="top" wrapText="1"/>
    </xf>
  </cellStyleXfs>
  <cellXfs count="8">
    <xf numFmtId="0" fontId="0" fillId="0" borderId="0" xfId="0"/>
    <xf numFmtId="0" fontId="1" fillId="0" borderId="1" xfId="1"/>
    <xf numFmtId="0" fontId="2" fillId="0" borderId="1" xfId="2">
      <alignment vertical="top" wrapText="1"/>
    </xf>
    <xf numFmtId="164" fontId="2" fillId="0" borderId="1" xfId="3">
      <alignment vertical="top" wrapText="1"/>
    </xf>
    <xf numFmtId="165" fontId="2" fillId="0" borderId="1" xfId="4">
      <alignment vertical="top" wrapText="1"/>
    </xf>
    <xf numFmtId="166" fontId="2" fillId="0" borderId="1" xfId="5">
      <alignment vertical="top" wrapText="1"/>
    </xf>
    <xf numFmtId="4" fontId="0" fillId="0" borderId="0" xfId="0" applyNumberFormat="1"/>
    <xf numFmtId="165" fontId="0" fillId="0" borderId="0" xfId="0" applyNumberFormat="1"/>
  </cellXfs>
  <cellStyles count="6">
    <cellStyle name="mr_currency" xfId="4" xr:uid="{00000000-0005-0000-0000-000004000000}"/>
    <cellStyle name="mr_date" xfId="3" xr:uid="{00000000-0005-0000-0000-000003000000}"/>
    <cellStyle name="mr_datetime" xfId="5" xr:uid="{00000000-0005-0000-0000-000005000000}"/>
    <cellStyle name="mr_header" xfId="1" xr:uid="{00000000-0005-0000-0000-000001000000}"/>
    <cellStyle name="mr_normal" xfId="2" xr:uid="{00000000-0005-0000-0000-000002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
  <sheetViews>
    <sheetView workbookViewId="0">
      <selection activeCell="K7" sqref="K7"/>
    </sheetView>
  </sheetViews>
  <sheetFormatPr defaultRowHeight="14.4" x14ac:dyDescent="0.3"/>
  <cols>
    <col min="1" max="1" width="34" customWidth="1"/>
    <col min="2" max="2" width="32" customWidth="1"/>
    <col min="3" max="8" width="11.44140625" bestFit="1" customWidth="1"/>
    <col min="9" max="9" width="10" bestFit="1" customWidth="1"/>
    <col min="10" max="10" width="11.44140625" bestFit="1" customWidth="1"/>
    <col min="11" max="11" width="15.21875" bestFit="1" customWidth="1"/>
  </cols>
  <sheetData>
    <row r="1" spans="1:11" ht="26.4" x14ac:dyDescent="0.3">
      <c r="A1" s="1" t="s">
        <v>0</v>
      </c>
      <c r="B1" s="2" t="s">
        <v>1</v>
      </c>
    </row>
    <row r="2" spans="1:11" ht="39.6" x14ac:dyDescent="0.3">
      <c r="A2" s="1" t="s">
        <v>2</v>
      </c>
      <c r="B2" s="2" t="str">
        <f>HYPERLINK("https://indy-ignite-pro-volleyball.muckrack.com/coverage-reports/gQZx/edit/")</f>
        <v>https://indy-ignite-pro-volleyball.muckrack.com/coverage-reports/gQZx/edit/</v>
      </c>
    </row>
    <row r="3" spans="1:11" x14ac:dyDescent="0.3">
      <c r="A3" s="1" t="s">
        <v>3</v>
      </c>
      <c r="B3" s="3">
        <v>45839</v>
      </c>
    </row>
    <row r="4" spans="1:11" x14ac:dyDescent="0.3">
      <c r="A4" s="1" t="s">
        <v>4</v>
      </c>
      <c r="B4" s="2" t="s">
        <v>5</v>
      </c>
    </row>
    <row r="5" spans="1:11" x14ac:dyDescent="0.3">
      <c r="C5" t="s">
        <v>4448</v>
      </c>
      <c r="D5" t="s">
        <v>4449</v>
      </c>
      <c r="E5" t="s">
        <v>4450</v>
      </c>
      <c r="F5" t="s">
        <v>4451</v>
      </c>
      <c r="G5" t="s">
        <v>4452</v>
      </c>
      <c r="H5" t="s">
        <v>4453</v>
      </c>
      <c r="I5" t="s">
        <v>4454</v>
      </c>
      <c r="J5" t="s">
        <v>4455</v>
      </c>
    </row>
    <row r="6" spans="1:11" x14ac:dyDescent="0.3">
      <c r="A6" s="1" t="s">
        <v>6</v>
      </c>
      <c r="B6" s="2">
        <v>5012</v>
      </c>
      <c r="C6">
        <v>82</v>
      </c>
      <c r="D6">
        <v>117</v>
      </c>
      <c r="E6">
        <v>224</v>
      </c>
      <c r="F6">
        <v>86</v>
      </c>
      <c r="G6">
        <v>122</v>
      </c>
      <c r="H6">
        <v>146</v>
      </c>
      <c r="I6">
        <v>56</v>
      </c>
      <c r="J6">
        <v>93</v>
      </c>
      <c r="K6">
        <f>SUM(C6:J6)</f>
        <v>926</v>
      </c>
    </row>
    <row r="7" spans="1:11" x14ac:dyDescent="0.3">
      <c r="A7" s="1" t="s">
        <v>7</v>
      </c>
      <c r="B7" s="2">
        <v>1511053</v>
      </c>
      <c r="C7">
        <v>721</v>
      </c>
      <c r="D7">
        <v>1394</v>
      </c>
      <c r="E7">
        <v>3263</v>
      </c>
      <c r="F7">
        <v>753</v>
      </c>
      <c r="G7">
        <v>2624</v>
      </c>
      <c r="H7">
        <v>1830</v>
      </c>
      <c r="I7">
        <v>266</v>
      </c>
      <c r="J7">
        <v>1338</v>
      </c>
      <c r="K7">
        <f>SUM(C7:J7)</f>
        <v>12189</v>
      </c>
    </row>
    <row r="8" spans="1:11" x14ac:dyDescent="0.3">
      <c r="A8" s="1" t="s">
        <v>8</v>
      </c>
      <c r="B8" s="2">
        <v>301</v>
      </c>
      <c r="C8">
        <v>8.8000000000000007</v>
      </c>
      <c r="D8">
        <v>11.9</v>
      </c>
      <c r="E8">
        <v>14.6</v>
      </c>
      <c r="F8">
        <v>8.8000000000000007</v>
      </c>
      <c r="G8">
        <v>21.5</v>
      </c>
      <c r="H8">
        <v>12.5</v>
      </c>
      <c r="I8">
        <v>4.8</v>
      </c>
      <c r="J8" s="6">
        <v>14.4</v>
      </c>
    </row>
    <row r="9" spans="1:11" x14ac:dyDescent="0.3">
      <c r="A9" s="1" t="s">
        <v>9</v>
      </c>
      <c r="B9" s="2">
        <v>20662064374</v>
      </c>
      <c r="C9">
        <v>642914806</v>
      </c>
      <c r="D9">
        <v>637706757</v>
      </c>
      <c r="E9">
        <v>1138399233</v>
      </c>
      <c r="F9">
        <v>438059548</v>
      </c>
      <c r="G9">
        <v>241139159</v>
      </c>
      <c r="H9">
        <v>417047010</v>
      </c>
      <c r="I9">
        <v>44252820</v>
      </c>
      <c r="J9">
        <v>146391854</v>
      </c>
    </row>
    <row r="10" spans="1:11" x14ac:dyDescent="0.3">
      <c r="A10" s="1" t="s">
        <v>10</v>
      </c>
      <c r="B10" s="4">
        <v>191124097.72999999</v>
      </c>
      <c r="C10" s="6">
        <v>5625504.5499999998</v>
      </c>
      <c r="D10" s="6">
        <v>5579934.1200000001</v>
      </c>
      <c r="E10" s="6">
        <v>9960993.2899999991</v>
      </c>
      <c r="F10" s="6">
        <v>3833021.05</v>
      </c>
      <c r="G10" s="6">
        <v>2109967.64</v>
      </c>
      <c r="H10" s="6">
        <v>3649161.34</v>
      </c>
      <c r="I10" s="6">
        <v>387212.18</v>
      </c>
      <c r="J10" s="6">
        <v>1280928.72</v>
      </c>
      <c r="K10" s="7">
        <f>SUM(C10:J10)</f>
        <v>32426722.890000001</v>
      </c>
    </row>
    <row r="11" spans="1:11" x14ac:dyDescent="0.3">
      <c r="A11" s="1" t="s">
        <v>11</v>
      </c>
      <c r="B11" s="2">
        <v>737</v>
      </c>
    </row>
    <row r="12" spans="1:11" x14ac:dyDescent="0.3">
      <c r="A12" s="1" t="s">
        <v>12</v>
      </c>
      <c r="B12" s="2">
        <v>11623314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D89CB-8F47-4CF6-B2C9-10E55C57A484}">
  <dimension ref="A1:N83"/>
  <sheetViews>
    <sheetView workbookViewId="0">
      <selection activeCell="M83" sqref="M83"/>
    </sheetView>
  </sheetViews>
  <sheetFormatPr defaultRowHeight="14.4" x14ac:dyDescent="0.3"/>
  <cols>
    <col min="1" max="1" width="28.6640625" customWidth="1"/>
    <col min="2" max="2" width="22.44140625" customWidth="1"/>
    <col min="4" max="4" width="21.109375" customWidth="1"/>
    <col min="5" max="5" width="20.6640625" customWidth="1"/>
    <col min="7" max="7" width="10" bestFit="1" customWidth="1"/>
    <col min="13" max="13" width="17.88671875" customWidth="1"/>
    <col min="14" max="14" width="17.33203125" bestFit="1" customWidth="1"/>
  </cols>
  <sheetData>
    <row r="1" spans="1:14" x14ac:dyDescent="0.3">
      <c r="A1" s="1" t="s">
        <v>13</v>
      </c>
      <c r="B1" s="1" t="s">
        <v>2</v>
      </c>
      <c r="C1" s="1" t="s">
        <v>14</v>
      </c>
      <c r="D1" s="1" t="s">
        <v>15</v>
      </c>
      <c r="E1" s="1" t="s">
        <v>16</v>
      </c>
      <c r="F1" s="1" t="s">
        <v>17</v>
      </c>
      <c r="G1" s="1" t="s">
        <v>18</v>
      </c>
      <c r="H1" s="1" t="s">
        <v>19</v>
      </c>
      <c r="I1" s="1" t="s">
        <v>20</v>
      </c>
      <c r="J1" s="1" t="s">
        <v>7</v>
      </c>
      <c r="K1" s="1" t="s">
        <v>21</v>
      </c>
      <c r="L1" s="1" t="s">
        <v>22</v>
      </c>
      <c r="M1" s="1" t="s">
        <v>23</v>
      </c>
      <c r="N1" s="1" t="s">
        <v>4456</v>
      </c>
    </row>
    <row r="2" spans="1:14" ht="264" x14ac:dyDescent="0.3">
      <c r="A2" s="2" t="s">
        <v>1735</v>
      </c>
      <c r="B2" s="2" t="str">
        <f>HYPERLINK("https://www.cbsnews.com/detroit/news/detroit-city-fc-dramatic-comeback-win-over-indy-eleven/")</f>
        <v>https://www.cbsnews.com/detroit/news/detroit-city-fc-dramatic-comeback-win-over-indy-eleven/</v>
      </c>
      <c r="C2" s="2"/>
      <c r="D2" s="2" t="s">
        <v>77</v>
      </c>
      <c r="E2" s="5">
        <v>45382.477824074071</v>
      </c>
      <c r="F2" s="2" t="s">
        <v>1736</v>
      </c>
      <c r="G2" s="2">
        <v>43927397</v>
      </c>
      <c r="H2" s="2">
        <v>0</v>
      </c>
      <c r="I2" s="2">
        <v>0</v>
      </c>
      <c r="J2" s="2">
        <v>6</v>
      </c>
      <c r="K2" s="2" t="s">
        <v>25</v>
      </c>
      <c r="L2" s="4">
        <v>406328.42</v>
      </c>
      <c r="M2" s="2"/>
      <c r="N2" t="s">
        <v>4457</v>
      </c>
    </row>
    <row r="3" spans="1:14" ht="237.6" x14ac:dyDescent="0.3">
      <c r="A3" s="2" t="s">
        <v>1735</v>
      </c>
      <c r="B3" s="2" t="str">
        <f>HYPERLINK("https://freeread.causeaction.com/2024/03/31/detroit-city-fc-moves-to-3-0-behind-dramatic-comeback-win-over-indy-eleven/")</f>
        <v>https://freeread.causeaction.com/2024/03/31/detroit-city-fc-moves-to-3-0-behind-dramatic-comeback-win-over-indy-eleven/</v>
      </c>
      <c r="C3" s="2"/>
      <c r="D3" s="2" t="s">
        <v>1156</v>
      </c>
      <c r="E3" s="5">
        <v>45382.30636574074</v>
      </c>
      <c r="F3" s="2" t="s">
        <v>1737</v>
      </c>
      <c r="G3" s="2">
        <v>1793</v>
      </c>
      <c r="H3" s="2">
        <v>0</v>
      </c>
      <c r="I3" s="2">
        <v>0</v>
      </c>
      <c r="J3" s="2">
        <v>0</v>
      </c>
      <c r="K3" s="2" t="s">
        <v>25</v>
      </c>
      <c r="L3" s="4">
        <v>16.59</v>
      </c>
      <c r="M3" s="2"/>
      <c r="N3" t="s">
        <v>4457</v>
      </c>
    </row>
    <row r="4" spans="1:14" ht="409.6" x14ac:dyDescent="0.3">
      <c r="A4" s="2" t="s">
        <v>1738</v>
      </c>
      <c r="B4" s="2" t="str">
        <f>HYPERLINK("https://www.oursportscentral.com/services/releases/detroit-city-fc-defeats-indy-eleven-2-1-in-dramatic-comeback-fashion/n-6073132")</f>
        <v>https://www.oursportscentral.com/services/releases/detroit-city-fc-defeats-indy-eleven-2-1-in-dramatic-comeback-fashion/n-6073132</v>
      </c>
      <c r="C4" s="2"/>
      <c r="D4" s="2" t="s">
        <v>24</v>
      </c>
      <c r="E4" s="5">
        <v>45381.849305555559</v>
      </c>
      <c r="F4" s="2" t="s">
        <v>1739</v>
      </c>
      <c r="G4" s="2">
        <v>40402</v>
      </c>
      <c r="H4" s="2">
        <v>0</v>
      </c>
      <c r="I4" s="2">
        <v>0</v>
      </c>
      <c r="J4" s="2">
        <v>0</v>
      </c>
      <c r="K4" s="2" t="s">
        <v>47</v>
      </c>
      <c r="L4" s="4">
        <v>373.72</v>
      </c>
      <c r="M4" s="2"/>
      <c r="N4" t="s">
        <v>4457</v>
      </c>
    </row>
    <row r="5" spans="1:14" ht="409.6" x14ac:dyDescent="0.3">
      <c r="A5" s="2" t="s">
        <v>1740</v>
      </c>
      <c r="B5" s="2" t="str">
        <f>HYPERLINK("https://www.oursportscentral.com/services/releases/03-30-2024-indy-eleven-vs-detroit-city-fc--game-highlights/n-6073022")</f>
        <v>https://www.oursportscentral.com/services/releases/03-30-2024-indy-eleven-vs-detroit-city-fc--game-highlights/n-6073022</v>
      </c>
      <c r="C5" s="2"/>
      <c r="D5" s="2" t="s">
        <v>24</v>
      </c>
      <c r="E5" s="5">
        <v>45381.837500000001</v>
      </c>
      <c r="F5" s="2" t="s">
        <v>1741</v>
      </c>
      <c r="G5" s="2">
        <v>40402</v>
      </c>
      <c r="H5" s="2"/>
      <c r="I5" s="2"/>
      <c r="J5" s="2"/>
      <c r="K5" s="2" t="s">
        <v>25</v>
      </c>
      <c r="L5" s="4">
        <v>373.72</v>
      </c>
      <c r="M5" s="2"/>
      <c r="N5" t="s">
        <v>4457</v>
      </c>
    </row>
    <row r="6" spans="1:14" ht="409.6" x14ac:dyDescent="0.3">
      <c r="A6" s="2" t="s">
        <v>1742</v>
      </c>
      <c r="B6" s="2" t="str">
        <f>HYPERLINK("https://www.oursportscentral.com/services/releases/indy-eleven-downed-2-1-by-detroit-city-fc/n-6072987")</f>
        <v>https://www.oursportscentral.com/services/releases/indy-eleven-downed-2-1-by-detroit-city-fc/n-6072987</v>
      </c>
      <c r="C6" s="2"/>
      <c r="D6" s="2" t="s">
        <v>24</v>
      </c>
      <c r="E6" s="5">
        <v>45381.822916666657</v>
      </c>
      <c r="F6" s="2" t="s">
        <v>1743</v>
      </c>
      <c r="G6" s="2">
        <v>40402</v>
      </c>
      <c r="H6" s="2">
        <v>0</v>
      </c>
      <c r="I6" s="2">
        <v>0</v>
      </c>
      <c r="J6" s="2">
        <v>0</v>
      </c>
      <c r="K6" s="2" t="s">
        <v>25</v>
      </c>
      <c r="L6" s="4">
        <v>373.72</v>
      </c>
      <c r="M6" s="2"/>
      <c r="N6" t="s">
        <v>4457</v>
      </c>
    </row>
    <row r="7" spans="1:14" ht="330" x14ac:dyDescent="0.3">
      <c r="A7" s="2" t="s">
        <v>34</v>
      </c>
      <c r="B7" s="2" t="str">
        <f>HYPERLINK("https://www.heraldbulletin.com/sports/coming-up/article_1de46a50-edf6-11ee-8c9c-c7f8601b5d6a.html")</f>
        <v>https://www.heraldbulletin.com/sports/coming-up/article_1de46a50-edf6-11ee-8c9c-c7f8601b5d6a.html</v>
      </c>
      <c r="C7" s="2"/>
      <c r="D7" s="2" t="s">
        <v>35</v>
      </c>
      <c r="E7" s="5">
        <v>45381.307199074072</v>
      </c>
      <c r="F7" s="2" t="s">
        <v>1744</v>
      </c>
      <c r="G7" s="2">
        <v>50260</v>
      </c>
      <c r="H7" s="2">
        <v>0</v>
      </c>
      <c r="I7" s="2">
        <v>0</v>
      </c>
      <c r="J7" s="2">
        <v>29</v>
      </c>
      <c r="K7" s="2" t="s">
        <v>25</v>
      </c>
      <c r="L7" s="4">
        <v>464.9</v>
      </c>
      <c r="M7" s="2"/>
      <c r="N7" t="s">
        <v>4458</v>
      </c>
    </row>
    <row r="8" spans="1:14" ht="409.6" x14ac:dyDescent="0.3">
      <c r="A8" s="2" t="s">
        <v>168</v>
      </c>
      <c r="B8" s="2" t="str">
        <f>HYPERLINK("https://www.cbsnews.com/detroit/news/watch-live-detroit-city-fc-vs-indy-eleven/")</f>
        <v>https://www.cbsnews.com/detroit/news/watch-live-detroit-city-fc-vs-indy-eleven/</v>
      </c>
      <c r="C8" s="2"/>
      <c r="D8" s="2" t="s">
        <v>77</v>
      </c>
      <c r="E8" s="5">
        <v>45380.714583333327</v>
      </c>
      <c r="F8" s="2" t="s">
        <v>1745</v>
      </c>
      <c r="G8" s="2">
        <v>43927397</v>
      </c>
      <c r="H8" s="2">
        <v>0</v>
      </c>
      <c r="I8" s="2">
        <v>0</v>
      </c>
      <c r="J8" s="2">
        <v>0</v>
      </c>
      <c r="K8" s="2" t="s">
        <v>31</v>
      </c>
      <c r="L8" s="4">
        <v>406328.42</v>
      </c>
      <c r="M8" s="2"/>
      <c r="N8" t="s">
        <v>4457</v>
      </c>
    </row>
    <row r="9" spans="1:14" ht="303.60000000000002" x14ac:dyDescent="0.3">
      <c r="A9" s="2" t="s">
        <v>1746</v>
      </c>
      <c r="B9" s="2" t="str">
        <f>HYPERLINK("https://www.wishtv.com/news/allindiana/indy-eleven-hosts-detroit-city-fc-get-your-tickets-now/")</f>
        <v>https://www.wishtv.com/news/allindiana/indy-eleven-hosts-detroit-city-fc-get-your-tickets-now/</v>
      </c>
      <c r="C9" s="2" t="s">
        <v>496</v>
      </c>
      <c r="D9" s="2" t="s">
        <v>38</v>
      </c>
      <c r="E9" s="5">
        <v>45380.712731481479</v>
      </c>
      <c r="F9" s="2" t="s">
        <v>1747</v>
      </c>
      <c r="G9" s="2">
        <v>568116</v>
      </c>
      <c r="H9" s="2">
        <v>0</v>
      </c>
      <c r="I9" s="2">
        <v>0</v>
      </c>
      <c r="J9" s="2">
        <v>3</v>
      </c>
      <c r="K9" s="2" t="s">
        <v>25</v>
      </c>
      <c r="L9" s="4">
        <v>5255.07</v>
      </c>
      <c r="M9" s="2"/>
      <c r="N9" t="s">
        <v>4458</v>
      </c>
    </row>
    <row r="10" spans="1:14" ht="409.6" x14ac:dyDescent="0.3">
      <c r="A10" s="2" t="s">
        <v>1748</v>
      </c>
      <c r="B10" s="2" t="str">
        <f>HYPERLINK("https://www.oursportscentral.com/services/releases/detroit-city-fc-looking-to-stay-hot-on-the-road-to-indy-eleven-saturday-night/n-6072317")</f>
        <v>https://www.oursportscentral.com/services/releases/detroit-city-fc-looking-to-stay-hot-on-the-road-to-indy-eleven-saturday-night/n-6072317</v>
      </c>
      <c r="C10" s="2"/>
      <c r="D10" s="2" t="s">
        <v>24</v>
      </c>
      <c r="E10" s="5">
        <v>45380.311805555553</v>
      </c>
      <c r="F10" s="2" t="s">
        <v>1749</v>
      </c>
      <c r="G10" s="2">
        <v>40402</v>
      </c>
      <c r="H10" s="2"/>
      <c r="I10" s="2"/>
      <c r="J10" s="2"/>
      <c r="K10" s="2" t="s">
        <v>25</v>
      </c>
      <c r="L10" s="4">
        <v>373.72</v>
      </c>
      <c r="M10" s="2"/>
      <c r="N10" t="s">
        <v>4457</v>
      </c>
    </row>
    <row r="11" spans="1:14" ht="409.2" x14ac:dyDescent="0.3">
      <c r="A11" s="2" t="s">
        <v>34</v>
      </c>
      <c r="B11" s="2" t="str">
        <f>HYPERLINK("https://www.heraldbulletin.com/sports/coming-up/article_fd46b70a-ed62-11ee-9811-d33e9105c575.html")</f>
        <v>https://www.heraldbulletin.com/sports/coming-up/article_fd46b70a-ed62-11ee-9811-d33e9105c575.html</v>
      </c>
      <c r="C11" s="2"/>
      <c r="D11" s="2" t="s">
        <v>35</v>
      </c>
      <c r="E11" s="5">
        <v>45380.307916666658</v>
      </c>
      <c r="F11" s="2" t="s">
        <v>1750</v>
      </c>
      <c r="G11" s="2">
        <v>50260</v>
      </c>
      <c r="H11" s="2">
        <v>0</v>
      </c>
      <c r="I11" s="2">
        <v>0</v>
      </c>
      <c r="J11" s="2">
        <v>16</v>
      </c>
      <c r="K11" s="2" t="s">
        <v>25</v>
      </c>
      <c r="L11" s="4">
        <v>464.9</v>
      </c>
      <c r="M11" s="2"/>
      <c r="N11" t="s">
        <v>4458</v>
      </c>
    </row>
    <row r="12" spans="1:14" ht="409.6" x14ac:dyDescent="0.3">
      <c r="A12" s="2" t="s">
        <v>1751</v>
      </c>
      <c r="B12" s="2" t="str">
        <f>HYPERLINK("https://www.axios.com/local/indianapolis/2024/03/29/easter-weekend-brunch-events")</f>
        <v>https://www.axios.com/local/indianapolis/2024/03/29/easter-weekend-brunch-events</v>
      </c>
      <c r="C12" s="2" t="s">
        <v>143</v>
      </c>
      <c r="D12" s="2" t="s">
        <v>144</v>
      </c>
      <c r="E12" s="5">
        <v>45380.271377314813</v>
      </c>
      <c r="F12" s="2" t="s">
        <v>1752</v>
      </c>
      <c r="G12" s="2">
        <v>14450483</v>
      </c>
      <c r="H12" s="2">
        <v>0</v>
      </c>
      <c r="I12" s="2">
        <v>0</v>
      </c>
      <c r="J12" s="2">
        <v>0</v>
      </c>
      <c r="K12" s="2" t="s">
        <v>31</v>
      </c>
      <c r="L12" s="4">
        <v>133666.97</v>
      </c>
      <c r="M12" s="2"/>
      <c r="N12" t="s">
        <v>4458</v>
      </c>
    </row>
    <row r="13" spans="1:14" ht="409.6" x14ac:dyDescent="0.3">
      <c r="A13" s="2" t="s">
        <v>1753</v>
      </c>
      <c r="B13" s="2" t="str">
        <f>HYPERLINK("https://headtopics.com/us/indianapolis-investing-in-women-s-soccer-eleven-park-will-50067854")</f>
        <v>https://headtopics.com/us/indianapolis-investing-in-women-s-soccer-eleven-park-will-50067854</v>
      </c>
      <c r="C13" s="2"/>
      <c r="D13" s="2" t="s">
        <v>283</v>
      </c>
      <c r="E13" s="5">
        <v>45379.570833333331</v>
      </c>
      <c r="F13" s="2" t="s">
        <v>1754</v>
      </c>
      <c r="G13" s="2">
        <v>55248</v>
      </c>
      <c r="H13" s="2">
        <v>0</v>
      </c>
      <c r="I13" s="2">
        <v>0</v>
      </c>
      <c r="J13" s="2">
        <v>0</v>
      </c>
      <c r="K13" s="2" t="s">
        <v>31</v>
      </c>
      <c r="L13" s="4">
        <v>511.04</v>
      </c>
      <c r="M13" s="2"/>
      <c r="N13" t="s">
        <v>4459</v>
      </c>
    </row>
    <row r="14" spans="1:14" ht="409.6" x14ac:dyDescent="0.3">
      <c r="A14" s="2" t="s">
        <v>1753</v>
      </c>
      <c r="B14" s="2" t="str">
        <f>HYPERLINK("https://www.wrtv.com/news/local-news/indianapolis-investing-in-womens-soccer-eleven-park-will-be-complete-by-2026")</f>
        <v>https://www.wrtv.com/news/local-news/indianapolis-investing-in-womens-soccer-eleven-park-will-be-complete-by-2026</v>
      </c>
      <c r="C14" s="2" t="s">
        <v>1511</v>
      </c>
      <c r="D14" s="2" t="s">
        <v>725</v>
      </c>
      <c r="E14" s="5">
        <v>45379.491956018523</v>
      </c>
      <c r="F14" s="2" t="s">
        <v>1755</v>
      </c>
      <c r="G14" s="2">
        <v>290626</v>
      </c>
      <c r="H14" s="2">
        <v>0</v>
      </c>
      <c r="I14" s="2">
        <v>0</v>
      </c>
      <c r="J14" s="2">
        <v>0</v>
      </c>
      <c r="K14" s="2" t="s">
        <v>25</v>
      </c>
      <c r="L14" s="4">
        <v>2688.29</v>
      </c>
      <c r="M14" s="2"/>
      <c r="N14" t="s">
        <v>4458</v>
      </c>
    </row>
    <row r="15" spans="1:14" ht="409.6" x14ac:dyDescent="0.3">
      <c r="A15" s="2" t="s">
        <v>1758</v>
      </c>
      <c r="B15" s="2" t="str">
        <f>HYPERLINK("https://www.oursportscentral.com/services/releases/indy-eleven-teams-up-with-golz-tv-to-revolutionize-soccer-content-consumption-in-america/n-6072044")</f>
        <v>https://www.oursportscentral.com/services/releases/indy-eleven-teams-up-with-golz-tv-to-revolutionize-soccer-content-consumption-in-america/n-6072044</v>
      </c>
      <c r="C15" s="2"/>
      <c r="D15" s="2" t="s">
        <v>24</v>
      </c>
      <c r="E15" s="5">
        <v>45379.419444444437</v>
      </c>
      <c r="F15" s="2" t="s">
        <v>1759</v>
      </c>
      <c r="G15" s="2">
        <v>40402</v>
      </c>
      <c r="H15" s="2">
        <v>0</v>
      </c>
      <c r="I15" s="2">
        <v>0</v>
      </c>
      <c r="J15" s="2">
        <v>0</v>
      </c>
      <c r="K15" s="2" t="s">
        <v>25</v>
      </c>
      <c r="L15" s="4">
        <v>373.72</v>
      </c>
      <c r="M15" s="2"/>
      <c r="N15" t="s">
        <v>4457</v>
      </c>
    </row>
    <row r="16" spans="1:14" ht="409.2" x14ac:dyDescent="0.3">
      <c r="A16" s="2" t="s">
        <v>34</v>
      </c>
      <c r="B16" s="2" t="str">
        <f>HYPERLINK("https://www.heraldbulletin.com/sports/coming-up/article_bcc7a2aa-ec83-11ee-8500-33ca6cfb9135.html")</f>
        <v>https://www.heraldbulletin.com/sports/coming-up/article_bcc7a2aa-ec83-11ee-8500-33ca6cfb9135.html</v>
      </c>
      <c r="C16" s="2"/>
      <c r="D16" s="2" t="s">
        <v>35</v>
      </c>
      <c r="E16" s="5">
        <v>45379.303055555552</v>
      </c>
      <c r="F16" s="2" t="s">
        <v>1750</v>
      </c>
      <c r="G16" s="2">
        <v>50260</v>
      </c>
      <c r="H16" s="2">
        <v>0</v>
      </c>
      <c r="I16" s="2">
        <v>0</v>
      </c>
      <c r="J16" s="2">
        <v>20</v>
      </c>
      <c r="K16" s="2" t="s">
        <v>25</v>
      </c>
      <c r="L16" s="4">
        <v>464.9</v>
      </c>
      <c r="M16" s="2"/>
      <c r="N16" t="s">
        <v>4458</v>
      </c>
    </row>
    <row r="17" spans="1:14" ht="409.2" x14ac:dyDescent="0.3">
      <c r="A17" s="2" t="s">
        <v>1760</v>
      </c>
      <c r="B17" s="2" t="str">
        <f>HYPERLINK("https://urbanpitch.com/hunter-sulte-joins-the-urban-pitch-podcast/")</f>
        <v>https://urbanpitch.com/hunter-sulte-joins-the-urban-pitch-podcast/</v>
      </c>
      <c r="C17" s="2"/>
      <c r="D17" s="2" t="s">
        <v>1761</v>
      </c>
      <c r="E17" s="5">
        <v>45377.532488425917</v>
      </c>
      <c r="F17" s="2" t="s">
        <v>1762</v>
      </c>
      <c r="G17" s="2"/>
      <c r="H17" s="2">
        <v>1</v>
      </c>
      <c r="I17" s="2">
        <v>557</v>
      </c>
      <c r="J17" s="2">
        <v>1</v>
      </c>
      <c r="K17" s="2" t="s">
        <v>25</v>
      </c>
      <c r="L17" s="2"/>
      <c r="M17" s="2"/>
      <c r="N17" t="s">
        <v>4459</v>
      </c>
    </row>
    <row r="18" spans="1:14" ht="409.6" x14ac:dyDescent="0.3">
      <c r="A18" s="2" t="s">
        <v>1763</v>
      </c>
      <c r="B18" s="2" t="str">
        <f>HYPERLINK("https://www.oursportscentral.com/services/releases/a-closer-look-at-indvsac-we-want-to-perform-like-we-are-the-best-team/n-6071176")</f>
        <v>https://www.oursportscentral.com/services/releases/a-closer-look-at-indvsac-we-want-to-perform-like-we-are-the-best-team/n-6071176</v>
      </c>
      <c r="C18" s="2"/>
      <c r="D18" s="2" t="s">
        <v>24</v>
      </c>
      <c r="E18" s="5">
        <v>45376.694444444453</v>
      </c>
      <c r="F18" s="2" t="s">
        <v>1764</v>
      </c>
      <c r="G18" s="2">
        <v>40402</v>
      </c>
      <c r="H18" s="2">
        <v>0</v>
      </c>
      <c r="I18" s="2">
        <v>0</v>
      </c>
      <c r="J18" s="2">
        <v>0</v>
      </c>
      <c r="K18" s="2" t="s">
        <v>25</v>
      </c>
      <c r="L18" s="4">
        <v>373.72</v>
      </c>
      <c r="M18" s="2"/>
      <c r="N18" t="s">
        <v>4457</v>
      </c>
    </row>
    <row r="19" spans="1:14" ht="409.6" x14ac:dyDescent="0.3">
      <c r="A19" s="2" t="s">
        <v>1765</v>
      </c>
      <c r="B19" s="2" t="str">
        <f>HYPERLINK("https://www.wishtv.com/sports/indy-eleven-vs-sacramento-republic-fc-from-march-23-2024/")</f>
        <v>https://www.wishtv.com/sports/indy-eleven-vs-sacramento-republic-fc-from-march-23-2024/</v>
      </c>
      <c r="C19" s="2" t="s">
        <v>627</v>
      </c>
      <c r="D19" s="2" t="s">
        <v>38</v>
      </c>
      <c r="E19" s="5">
        <v>45376.575590277767</v>
      </c>
      <c r="F19" s="2" t="s">
        <v>1766</v>
      </c>
      <c r="G19" s="2">
        <v>568116</v>
      </c>
      <c r="H19" s="2">
        <v>0</v>
      </c>
      <c r="I19" s="2">
        <v>0</v>
      </c>
      <c r="J19" s="2">
        <v>0</v>
      </c>
      <c r="K19" s="2" t="s">
        <v>47</v>
      </c>
      <c r="L19" s="4">
        <v>5255.07</v>
      </c>
      <c r="M19" s="2"/>
      <c r="N19" t="s">
        <v>4458</v>
      </c>
    </row>
    <row r="20" spans="1:14" ht="409.6" x14ac:dyDescent="0.3">
      <c r="A20" s="2" t="s">
        <v>1767</v>
      </c>
      <c r="B20" s="2" t="str">
        <f>HYPERLINK("https://indianapolisrecorder.com/recorder-rewind-sacramento-republic-fc-at-indy-eleven-soccer-photos/")</f>
        <v>https://indianapolisrecorder.com/recorder-rewind-sacramento-republic-fc-at-indy-eleven-soccer-photos/</v>
      </c>
      <c r="C20" s="2" t="s">
        <v>1621</v>
      </c>
      <c r="D20" s="2" t="s">
        <v>1622</v>
      </c>
      <c r="E20" s="5">
        <v>45376.432696759257</v>
      </c>
      <c r="F20" s="2" t="s">
        <v>1768</v>
      </c>
      <c r="G20" s="2">
        <v>34257</v>
      </c>
      <c r="H20" s="2"/>
      <c r="I20" s="2"/>
      <c r="J20" s="2"/>
      <c r="K20" s="2" t="s">
        <v>31</v>
      </c>
      <c r="L20" s="4">
        <v>316.88</v>
      </c>
      <c r="M20" s="2"/>
      <c r="N20" t="s">
        <v>4458</v>
      </c>
    </row>
    <row r="21" spans="1:14" ht="409.6" x14ac:dyDescent="0.3">
      <c r="A21" s="2" t="s">
        <v>1769</v>
      </c>
      <c r="B21" s="2" t="str">
        <f>HYPERLINK("https://footballsierraleone.net/2024/03/25/augustine-williams-delighted-to-open-new-season-account/")</f>
        <v>https://footballsierraleone.net/2024/03/25/augustine-williams-delighted-to-open-new-season-account/</v>
      </c>
      <c r="C21" s="2" t="s">
        <v>1770</v>
      </c>
      <c r="D21" s="2" t="s">
        <v>190</v>
      </c>
      <c r="E21" s="5">
        <v>45376.19903935185</v>
      </c>
      <c r="F21" s="2" t="s">
        <v>1771</v>
      </c>
      <c r="G21" s="2">
        <v>991</v>
      </c>
      <c r="H21" s="2"/>
      <c r="I21" s="2"/>
      <c r="J21" s="2"/>
      <c r="K21" s="2" t="s">
        <v>25</v>
      </c>
      <c r="L21" s="4">
        <v>9.17</v>
      </c>
      <c r="M21" s="2"/>
      <c r="N21" t="s">
        <v>4459</v>
      </c>
    </row>
    <row r="22" spans="1:14" ht="52.8" x14ac:dyDescent="0.3">
      <c r="A22" s="2" t="s">
        <v>1767</v>
      </c>
      <c r="B22" s="2" t="str">
        <f>HYPERLINK("https://article.wn.com/view/2024/03/25/Recorder_Rewind_Sacramento_Republic_FC_at_Indy_Eleven/")</f>
        <v>https://article.wn.com/view/2024/03/25/Recorder_Rewind_Sacramento_Republic_FC_at_Indy_Eleven/</v>
      </c>
      <c r="C22" s="2"/>
      <c r="D22" s="2" t="s">
        <v>632</v>
      </c>
      <c r="E22" s="5">
        <v>45376</v>
      </c>
      <c r="F22" s="2"/>
      <c r="G22" s="2">
        <v>185918</v>
      </c>
      <c r="H22" s="2"/>
      <c r="I22" s="2"/>
      <c r="J22" s="2"/>
      <c r="K22" s="2"/>
      <c r="L22" s="4">
        <v>1719.74</v>
      </c>
      <c r="M22" s="2"/>
      <c r="N22" t="s">
        <v>4459</v>
      </c>
    </row>
    <row r="23" spans="1:14" ht="79.2" x14ac:dyDescent="0.3">
      <c r="A23" s="2" t="s">
        <v>1772</v>
      </c>
      <c r="B23" s="2" t="str">
        <f>HYPERLINK("https://www.oursportscentral.com/services/releases/indy-eleven-vs-sacramento-republic-fc--game-highlights/n-6070672")</f>
        <v>https://www.oursportscentral.com/services/releases/indy-eleven-vs-sacramento-republic-fc--game-highlights/n-6070672</v>
      </c>
      <c r="C23" s="2"/>
      <c r="D23" s="2" t="s">
        <v>24</v>
      </c>
      <c r="E23" s="5">
        <v>45375.281944444447</v>
      </c>
      <c r="F23" s="2" t="s">
        <v>175</v>
      </c>
      <c r="G23" s="2">
        <v>40402</v>
      </c>
      <c r="H23" s="2"/>
      <c r="I23" s="2"/>
      <c r="J23" s="2"/>
      <c r="K23" s="2" t="s">
        <v>47</v>
      </c>
      <c r="L23" s="4">
        <v>373.72</v>
      </c>
      <c r="M23" s="2"/>
      <c r="N23" t="s">
        <v>4457</v>
      </c>
    </row>
    <row r="24" spans="1:14" ht="290.39999999999998" x14ac:dyDescent="0.3">
      <c r="A24" s="2" t="s">
        <v>1773</v>
      </c>
      <c r="B24" s="2" t="str">
        <f>HYPERLINK("https://www.nuvo.net/sports/slideshow-indy-eleven-held-in-home-opener/collection_781c9070-ea17-11ee-9b15-bbd9674437d2.html")</f>
        <v>https://www.nuvo.net/sports/slideshow-indy-eleven-held-in-home-opener/collection_781c9070-ea17-11ee-9b15-bbd9674437d2.html</v>
      </c>
      <c r="C24" s="2" t="s">
        <v>112</v>
      </c>
      <c r="D24" s="2" t="s">
        <v>113</v>
      </c>
      <c r="E24" s="5">
        <v>45375</v>
      </c>
      <c r="F24" s="2" t="s">
        <v>1774</v>
      </c>
      <c r="G24" s="2">
        <v>8756</v>
      </c>
      <c r="H24" s="2">
        <v>0</v>
      </c>
      <c r="I24" s="2">
        <v>0</v>
      </c>
      <c r="J24" s="2">
        <v>2</v>
      </c>
      <c r="K24" s="2" t="s">
        <v>25</v>
      </c>
      <c r="L24" s="4">
        <v>80.989999999999995</v>
      </c>
      <c r="M24" s="2"/>
      <c r="N24" t="s">
        <v>4458</v>
      </c>
    </row>
    <row r="25" spans="1:14" ht="409.6" x14ac:dyDescent="0.3">
      <c r="A25" s="2" t="s">
        <v>1775</v>
      </c>
      <c r="B25" s="2" t="str">
        <f>HYPERLINK("https://www.oursportscentral.com/services/releases/sacramento-republic-fc-play-to-a-draw-versus-indy-eleven-1-1/n-6070442")</f>
        <v>https://www.oursportscentral.com/services/releases/sacramento-republic-fc-play-to-a-draw-versus-indy-eleven-1-1/n-6070442</v>
      </c>
      <c r="C25" s="2"/>
      <c r="D25" s="2" t="s">
        <v>24</v>
      </c>
      <c r="E25" s="5">
        <v>45374.804861111108</v>
      </c>
      <c r="F25" s="2" t="s">
        <v>1776</v>
      </c>
      <c r="G25" s="2">
        <v>40402</v>
      </c>
      <c r="H25" s="2">
        <v>0</v>
      </c>
      <c r="I25" s="2">
        <v>0</v>
      </c>
      <c r="J25" s="2">
        <v>0</v>
      </c>
      <c r="K25" s="2" t="s">
        <v>25</v>
      </c>
      <c r="L25" s="4">
        <v>373.72</v>
      </c>
      <c r="M25" s="2"/>
      <c r="N25" t="s">
        <v>4457</v>
      </c>
    </row>
    <row r="26" spans="1:14" ht="409.6" x14ac:dyDescent="0.3">
      <c r="A26" s="2" t="s">
        <v>1777</v>
      </c>
      <c r="B26" s="2" t="str">
        <f>HYPERLINK("https://www.oursportscentral.com/services/releases/williams-tallies-first-goal-of-2024-in-draw-with-sacramento/n-6070395")</f>
        <v>https://www.oursportscentral.com/services/releases/williams-tallies-first-goal-of-2024-in-draw-with-sacramento/n-6070395</v>
      </c>
      <c r="C26" s="2"/>
      <c r="D26" s="2" t="s">
        <v>24</v>
      </c>
      <c r="E26" s="5">
        <v>45374.779166666667</v>
      </c>
      <c r="F26" s="2" t="s">
        <v>1778</v>
      </c>
      <c r="G26" s="2">
        <v>40402</v>
      </c>
      <c r="H26" s="2">
        <v>0</v>
      </c>
      <c r="I26" s="2">
        <v>0</v>
      </c>
      <c r="J26" s="2">
        <v>0</v>
      </c>
      <c r="K26" s="2" t="s">
        <v>25</v>
      </c>
      <c r="L26" s="4">
        <v>373.72</v>
      </c>
      <c r="M26" s="2"/>
      <c r="N26" t="s">
        <v>4457</v>
      </c>
    </row>
    <row r="27" spans="1:14" ht="409.6" x14ac:dyDescent="0.3">
      <c r="A27" s="2" t="s">
        <v>1779</v>
      </c>
      <c r="B27" s="2" t="str">
        <f>HYPERLINK("https://www.wishtv.com/sports/indy-eleven/indy-eleven-2024-tv-schedule/")</f>
        <v>https://www.wishtv.com/sports/indy-eleven/indy-eleven-2024-tv-schedule/</v>
      </c>
      <c r="C27" s="2" t="s">
        <v>627</v>
      </c>
      <c r="D27" s="2" t="s">
        <v>38</v>
      </c>
      <c r="E27" s="5">
        <v>45374.418738425928</v>
      </c>
      <c r="F27" s="2" t="s">
        <v>1780</v>
      </c>
      <c r="G27" s="2">
        <v>568116</v>
      </c>
      <c r="H27" s="2">
        <v>0</v>
      </c>
      <c r="I27" s="2">
        <v>0</v>
      </c>
      <c r="J27" s="2">
        <v>0</v>
      </c>
      <c r="K27" s="2" t="s">
        <v>31</v>
      </c>
      <c r="L27" s="4">
        <v>5255.07</v>
      </c>
      <c r="M27" s="2"/>
      <c r="N27" t="s">
        <v>4458</v>
      </c>
    </row>
    <row r="28" spans="1:14" ht="409.6" x14ac:dyDescent="0.3">
      <c r="A28" s="2" t="s">
        <v>34</v>
      </c>
      <c r="B28" s="2" t="str">
        <f>HYPERLINK("https://www.heraldbulletin.com/sports/coming-up/article_c7d72b7e-e888-11ee-9b9c-8faa1983ad5c.html")</f>
        <v>https://www.heraldbulletin.com/sports/coming-up/article_c7d72b7e-e888-11ee-9b9c-8faa1983ad5c.html</v>
      </c>
      <c r="C28" s="2"/>
      <c r="D28" s="2" t="s">
        <v>35</v>
      </c>
      <c r="E28" s="5">
        <v>45374.305983796286</v>
      </c>
      <c r="F28" s="2" t="s">
        <v>1781</v>
      </c>
      <c r="G28" s="2">
        <v>50260</v>
      </c>
      <c r="H28" s="2">
        <v>0</v>
      </c>
      <c r="I28" s="2">
        <v>0</v>
      </c>
      <c r="J28" s="2">
        <v>16</v>
      </c>
      <c r="K28" s="2" t="s">
        <v>47</v>
      </c>
      <c r="L28" s="4">
        <v>464.9</v>
      </c>
      <c r="M28" s="2"/>
      <c r="N28" t="s">
        <v>4458</v>
      </c>
    </row>
    <row r="29" spans="1:14" ht="409.6" x14ac:dyDescent="0.3">
      <c r="A29" s="2" t="s">
        <v>1691</v>
      </c>
      <c r="B29" s="2" t="str">
        <f>HYPERLINK("https://www.wndu.com/sports/betting/2024/03/23/soccer-live-stream/")</f>
        <v>https://www.wndu.com/sports/betting/2024/03/23/soccer-live-stream/</v>
      </c>
      <c r="C29" s="2" t="s">
        <v>871</v>
      </c>
      <c r="D29" s="2" t="s">
        <v>1783</v>
      </c>
      <c r="E29" s="5">
        <v>45373.949525462973</v>
      </c>
      <c r="F29" s="2" t="s">
        <v>1782</v>
      </c>
      <c r="G29" s="2">
        <v>299226</v>
      </c>
      <c r="H29" s="2">
        <v>0</v>
      </c>
      <c r="I29" s="2">
        <v>0</v>
      </c>
      <c r="J29" s="2">
        <v>0</v>
      </c>
      <c r="K29" s="2" t="s">
        <v>25</v>
      </c>
      <c r="L29" s="4">
        <v>2767.84</v>
      </c>
      <c r="M29" s="2"/>
      <c r="N29" t="s">
        <v>4458</v>
      </c>
    </row>
    <row r="30" spans="1:14" ht="343.2" x14ac:dyDescent="0.3">
      <c r="A30" s="2" t="s">
        <v>1784</v>
      </c>
      <c r="B30" s="2" t="str">
        <f>HYPERLINK("https://www.timbers.com/news/timbers-recall-goalkeeper-hunter-sulte-from-loan-with-indy-eleven-for-one-match")</f>
        <v>https://www.timbers.com/news/timbers-recall-goalkeeper-hunter-sulte-from-loan-with-indy-eleven-for-one-match</v>
      </c>
      <c r="C30" s="2"/>
      <c r="D30" s="2" t="s">
        <v>49</v>
      </c>
      <c r="E30" s="5">
        <v>45373.726064814808</v>
      </c>
      <c r="F30" s="2" t="s">
        <v>1785</v>
      </c>
      <c r="G30" s="2">
        <v>63318</v>
      </c>
      <c r="H30" s="2">
        <v>0</v>
      </c>
      <c r="I30" s="2">
        <v>0</v>
      </c>
      <c r="J30" s="2">
        <v>112</v>
      </c>
      <c r="K30" s="2" t="s">
        <v>31</v>
      </c>
      <c r="L30" s="4">
        <v>585.69000000000005</v>
      </c>
      <c r="M30" s="2"/>
      <c r="N30" t="s">
        <v>4457</v>
      </c>
    </row>
    <row r="31" spans="1:14" ht="356.4" x14ac:dyDescent="0.3">
      <c r="A31" s="2" t="s">
        <v>1787</v>
      </c>
      <c r="B31" s="2" t="str">
        <f>HYPERLINK("https://www.uslchampionship.com/news_article/show/1304899")</f>
        <v>https://www.uslchampionship.com/news_article/show/1304899</v>
      </c>
      <c r="C31" s="2" t="s">
        <v>26</v>
      </c>
      <c r="D31" s="2" t="s">
        <v>28</v>
      </c>
      <c r="E31" s="5">
        <v>45373.609722222223</v>
      </c>
      <c r="F31" s="2" t="s">
        <v>1788</v>
      </c>
      <c r="G31" s="2">
        <v>44392</v>
      </c>
      <c r="H31" s="2">
        <v>0</v>
      </c>
      <c r="I31" s="2">
        <v>0</v>
      </c>
      <c r="J31" s="2">
        <v>0</v>
      </c>
      <c r="K31" s="2" t="s">
        <v>31</v>
      </c>
      <c r="L31" s="4">
        <v>410.63</v>
      </c>
      <c r="M31" s="2"/>
      <c r="N31" t="s">
        <v>4457</v>
      </c>
    </row>
    <row r="32" spans="1:14" ht="290.39999999999998" x14ac:dyDescent="0.3">
      <c r="A32" s="2" t="s">
        <v>1789</v>
      </c>
      <c r="B32" s="2" t="str">
        <f>HYPERLINK("https://www.timbers.com/news/timbers-loan-tega-ikoba-to-usl-side-indy-eleven-for-2024-season")</f>
        <v>https://www.timbers.com/news/timbers-loan-tega-ikoba-to-usl-side-indy-eleven-for-2024-season</v>
      </c>
      <c r="C32" s="2" t="s">
        <v>49</v>
      </c>
      <c r="D32" s="2" t="s">
        <v>49</v>
      </c>
      <c r="E32" s="5">
        <v>45373.591377314813</v>
      </c>
      <c r="F32" s="2" t="s">
        <v>1790</v>
      </c>
      <c r="G32" s="2">
        <v>63318</v>
      </c>
      <c r="H32" s="2">
        <v>0</v>
      </c>
      <c r="I32" s="2">
        <v>0</v>
      </c>
      <c r="J32" s="2">
        <v>73</v>
      </c>
      <c r="K32" s="2" t="s">
        <v>31</v>
      </c>
      <c r="L32" s="4">
        <v>585.69000000000005</v>
      </c>
      <c r="M32" s="2"/>
      <c r="N32" t="s">
        <v>4457</v>
      </c>
    </row>
    <row r="33" spans="1:14" ht="409.6" x14ac:dyDescent="0.3">
      <c r="A33" s="2" t="s">
        <v>1791</v>
      </c>
      <c r="B33" s="2" t="str">
        <f>HYPERLINK("https://www.oursportscentral.com/services/releases/timbers-recall-goalkeeper-hunter-sulte-from-loan-with-indy-eleven-for-one-match/n-6069934")</f>
        <v>https://www.oursportscentral.com/services/releases/timbers-recall-goalkeeper-hunter-sulte-from-loan-with-indy-eleven-for-one-match/n-6069934</v>
      </c>
      <c r="C33" s="2"/>
      <c r="D33" s="2" t="s">
        <v>24</v>
      </c>
      <c r="E33" s="5">
        <v>45373.420138888891</v>
      </c>
      <c r="F33" s="2" t="s">
        <v>1792</v>
      </c>
      <c r="G33" s="2">
        <v>40402</v>
      </c>
      <c r="H33" s="2">
        <v>0</v>
      </c>
      <c r="I33" s="2">
        <v>0</v>
      </c>
      <c r="J33" s="2">
        <v>0</v>
      </c>
      <c r="K33" s="2" t="s">
        <v>25</v>
      </c>
      <c r="L33" s="4">
        <v>373.72</v>
      </c>
      <c r="M33" s="2"/>
      <c r="N33" t="s">
        <v>4457</v>
      </c>
    </row>
    <row r="34" spans="1:14" ht="409.6" x14ac:dyDescent="0.3">
      <c r="A34" s="2" t="s">
        <v>34</v>
      </c>
      <c r="B34" s="2" t="str">
        <f>HYPERLINK("https://www.heraldbulletin.com/sports/coming-up/article_f63d2eec-e7dd-11ee-b499-d7b04c30484b.html")</f>
        <v>https://www.heraldbulletin.com/sports/coming-up/article_f63d2eec-e7dd-11ee-b499-d7b04c30484b.html</v>
      </c>
      <c r="C34" s="2"/>
      <c r="D34" s="2" t="s">
        <v>35</v>
      </c>
      <c r="E34" s="5">
        <v>45373.312731481477</v>
      </c>
      <c r="F34" s="2" t="s">
        <v>1793</v>
      </c>
      <c r="G34" s="2">
        <v>50260</v>
      </c>
      <c r="H34" s="2">
        <v>0</v>
      </c>
      <c r="I34" s="2">
        <v>0</v>
      </c>
      <c r="J34" s="2">
        <v>4</v>
      </c>
      <c r="K34" s="2" t="s">
        <v>25</v>
      </c>
      <c r="L34" s="4">
        <v>464.9</v>
      </c>
      <c r="M34" s="2"/>
      <c r="N34" t="s">
        <v>4458</v>
      </c>
    </row>
    <row r="35" spans="1:14" ht="409.6" x14ac:dyDescent="0.3">
      <c r="A35" s="2" t="s">
        <v>1794</v>
      </c>
      <c r="B35" s="2" t="str">
        <f>HYPERLINK("https://www.oursportscentral.com/services/releases/indy-eleven-acquires-tega-ikoba-on-loan-from-portland-timbers/n-6069862")</f>
        <v>https://www.oursportscentral.com/services/releases/indy-eleven-acquires-tega-ikoba-on-loan-from-portland-timbers/n-6069862</v>
      </c>
      <c r="C35" s="2"/>
      <c r="D35" s="2" t="s">
        <v>24</v>
      </c>
      <c r="E35" s="5">
        <v>45373.299305555563</v>
      </c>
      <c r="F35" s="2" t="s">
        <v>1795</v>
      </c>
      <c r="G35" s="2">
        <v>40402</v>
      </c>
      <c r="H35" s="2">
        <v>0</v>
      </c>
      <c r="I35" s="2">
        <v>0</v>
      </c>
      <c r="J35" s="2">
        <v>0</v>
      </c>
      <c r="K35" s="2" t="s">
        <v>25</v>
      </c>
      <c r="L35" s="4">
        <v>373.72</v>
      </c>
      <c r="M35" s="2"/>
      <c r="N35" t="s">
        <v>4457</v>
      </c>
    </row>
    <row r="36" spans="1:14" ht="409.6" x14ac:dyDescent="0.3">
      <c r="A36" s="2" t="s">
        <v>1796</v>
      </c>
      <c r="B36" s="2" t="str">
        <f>HYPERLINK("https://www.oursportscentral.com/services/releases/timbers-loan-tega-ikoba-to-usl-side-indy-eleven-for-2024-season/n-6069859")</f>
        <v>https://www.oursportscentral.com/services/releases/timbers-loan-tega-ikoba-to-usl-side-indy-eleven-for-2024-season/n-6069859</v>
      </c>
      <c r="C36" s="2"/>
      <c r="D36" s="2" t="s">
        <v>24</v>
      </c>
      <c r="E36" s="5">
        <v>45373.293055555558</v>
      </c>
      <c r="F36" s="2" t="s">
        <v>1797</v>
      </c>
      <c r="G36" s="2">
        <v>40402</v>
      </c>
      <c r="H36" s="2">
        <v>0</v>
      </c>
      <c r="I36" s="2">
        <v>0</v>
      </c>
      <c r="J36" s="2">
        <v>0</v>
      </c>
      <c r="K36" s="2" t="s">
        <v>25</v>
      </c>
      <c r="L36" s="4">
        <v>373.72</v>
      </c>
      <c r="M36" s="2"/>
      <c r="N36" t="s">
        <v>4457</v>
      </c>
    </row>
    <row r="37" spans="1:14" ht="409.6" x14ac:dyDescent="0.3">
      <c r="A37" s="2" t="s">
        <v>1798</v>
      </c>
      <c r="B37" s="2" t="str">
        <f>HYPERLINK("https://www.wishtv.com/podcast-episode/kicking-off-the-indy-eleven-season-and-more-from-the-wish-tv-community-calendar/")</f>
        <v>https://www.wishtv.com/podcast-episode/kicking-off-the-indy-eleven-season-and-more-from-the-wish-tv-community-calendar/</v>
      </c>
      <c r="C37" s="2"/>
      <c r="D37" s="2" t="s">
        <v>38</v>
      </c>
      <c r="E37" s="5">
        <v>45371.72929398148</v>
      </c>
      <c r="F37" s="2" t="s">
        <v>1799</v>
      </c>
      <c r="G37" s="2">
        <v>568116</v>
      </c>
      <c r="H37" s="2">
        <v>0</v>
      </c>
      <c r="I37" s="2">
        <v>0</v>
      </c>
      <c r="J37" s="2">
        <v>0</v>
      </c>
      <c r="K37" s="2" t="s">
        <v>25</v>
      </c>
      <c r="L37" s="4">
        <v>5255.07</v>
      </c>
      <c r="M37" s="2"/>
      <c r="N37" t="s">
        <v>4458</v>
      </c>
    </row>
    <row r="38" spans="1:14" ht="409.6" x14ac:dyDescent="0.3">
      <c r="A38" s="2" t="s">
        <v>1801</v>
      </c>
      <c r="B38" s="2" t="str">
        <f>HYPERLINK("https://www.mywabashvalley.com/gdl/indy-eleven-soccer-11th-anniversary-celebration/")</f>
        <v>https://www.mywabashvalley.com/gdl/indy-eleven-soccer-11th-anniversary-celebration/</v>
      </c>
      <c r="C38" s="2" t="s">
        <v>1800</v>
      </c>
      <c r="D38" s="2" t="s">
        <v>1134</v>
      </c>
      <c r="E38" s="5">
        <v>45371.550486111111</v>
      </c>
      <c r="F38" s="2" t="s">
        <v>1802</v>
      </c>
      <c r="G38" s="2">
        <v>65330</v>
      </c>
      <c r="H38" s="2"/>
      <c r="I38" s="2"/>
      <c r="J38" s="2"/>
      <c r="K38" s="2" t="s">
        <v>25</v>
      </c>
      <c r="L38" s="4">
        <v>604.29999999999995</v>
      </c>
      <c r="M38" s="2"/>
      <c r="N38" t="s">
        <v>4458</v>
      </c>
    </row>
    <row r="39" spans="1:14" ht="224.4" x14ac:dyDescent="0.3">
      <c r="A39" s="2" t="s">
        <v>1803</v>
      </c>
      <c r="B39" s="2" t="str">
        <f>HYPERLINK("https://www.wishtv.com/lifestylelive/indy-eleven-excited-for-11th-anniversary-home-opening-match/")</f>
        <v>https://www.wishtv.com/lifestylelive/indy-eleven-excited-for-11th-anniversary-home-opening-match/</v>
      </c>
      <c r="C39" s="2" t="s">
        <v>1804</v>
      </c>
      <c r="D39" s="2" t="s">
        <v>135</v>
      </c>
      <c r="E39" s="5">
        <v>45371.544722222221</v>
      </c>
      <c r="F39" s="2" t="s">
        <v>1805</v>
      </c>
      <c r="G39" s="2">
        <v>568116</v>
      </c>
      <c r="H39" s="2">
        <v>0</v>
      </c>
      <c r="I39" s="2">
        <v>0</v>
      </c>
      <c r="J39" s="2">
        <v>0</v>
      </c>
      <c r="K39" s="2" t="s">
        <v>25</v>
      </c>
      <c r="L39" s="4">
        <v>5255.07</v>
      </c>
      <c r="M39" s="2"/>
      <c r="N39" t="s">
        <v>4458</v>
      </c>
    </row>
    <row r="40" spans="1:14" ht="409.2" x14ac:dyDescent="0.3">
      <c r="A40" s="2" t="s">
        <v>1806</v>
      </c>
      <c r="B40" s="2" t="str">
        <f>HYPERLINK("https://www.oursportscentral.com/services/releases/match-preview-republic-fc-at-indy-eleven/n-6069308")</f>
        <v>https://www.oursportscentral.com/services/releases/match-preview-republic-fc-at-indy-eleven/n-6069308</v>
      </c>
      <c r="C40" s="2"/>
      <c r="D40" s="2" t="s">
        <v>24</v>
      </c>
      <c r="E40" s="5">
        <v>45371.527083333327</v>
      </c>
      <c r="F40" s="2" t="s">
        <v>1807</v>
      </c>
      <c r="G40" s="2">
        <v>40402</v>
      </c>
      <c r="H40" s="2">
        <v>0</v>
      </c>
      <c r="I40" s="2">
        <v>0</v>
      </c>
      <c r="J40" s="2">
        <v>0</v>
      </c>
      <c r="K40" s="2" t="s">
        <v>31</v>
      </c>
      <c r="L40" s="4">
        <v>373.72</v>
      </c>
      <c r="M40" s="2"/>
      <c r="N40" t="s">
        <v>4457</v>
      </c>
    </row>
    <row r="41" spans="1:14" ht="105.6" x14ac:dyDescent="0.3">
      <c r="A41" s="2" t="s">
        <v>34</v>
      </c>
      <c r="B41" s="2" t="str">
        <f>HYPERLINK("https://www.heraldbulletin.com/sports/coming-up/article_0a57325a-e62c-11ee-bea3-675af5837a3e.html")</f>
        <v>https://www.heraldbulletin.com/sports/coming-up/article_0a57325a-e62c-11ee-bea3-675af5837a3e.html</v>
      </c>
      <c r="C41" s="2"/>
      <c r="D41" s="2" t="s">
        <v>35</v>
      </c>
      <c r="E41" s="5">
        <v>45371.336539351847</v>
      </c>
      <c r="F41" s="2" t="s">
        <v>1808</v>
      </c>
      <c r="G41" s="2">
        <v>50260</v>
      </c>
      <c r="H41" s="2">
        <v>0</v>
      </c>
      <c r="I41" s="2">
        <v>0</v>
      </c>
      <c r="J41" s="2">
        <v>6</v>
      </c>
      <c r="K41" s="2" t="s">
        <v>25</v>
      </c>
      <c r="L41" s="4">
        <v>464.9</v>
      </c>
      <c r="M41" s="2"/>
      <c r="N41" t="s">
        <v>4458</v>
      </c>
    </row>
    <row r="42" spans="1:14" ht="409.6" x14ac:dyDescent="0.3">
      <c r="A42" s="2" t="s">
        <v>1809</v>
      </c>
      <c r="B42" s="2" t="str">
        <f>HYPERLINK("https://www.oursportscentral.com/services/releases/indy-eleven-450-north-brewing--450-north-spirits-announce-partnership/n-6069198")</f>
        <v>https://www.oursportscentral.com/services/releases/indy-eleven-450-north-brewing--450-north-spirits-announce-partnership/n-6069198</v>
      </c>
      <c r="C42" s="2"/>
      <c r="D42" s="2" t="s">
        <v>24</v>
      </c>
      <c r="E42" s="5">
        <v>45371.310416666667</v>
      </c>
      <c r="F42" s="2" t="s">
        <v>1810</v>
      </c>
      <c r="G42" s="2">
        <v>40402</v>
      </c>
      <c r="H42" s="2">
        <v>0</v>
      </c>
      <c r="I42" s="2">
        <v>0</v>
      </c>
      <c r="J42" s="2">
        <v>0</v>
      </c>
      <c r="K42" s="2" t="s">
        <v>25</v>
      </c>
      <c r="L42" s="4">
        <v>373.72</v>
      </c>
      <c r="M42" s="2"/>
      <c r="N42" t="s">
        <v>4457</v>
      </c>
    </row>
    <row r="43" spans="1:14" ht="409.6" x14ac:dyDescent="0.3">
      <c r="A43" s="2" t="s">
        <v>1811</v>
      </c>
      <c r="B43" s="2" t="str">
        <f>HYPERLINK("https://www.wishtv.com/podcast-episode/episode-1-indy-eleven-coaches-show/")</f>
        <v>https://www.wishtv.com/podcast-episode/episode-1-indy-eleven-coaches-show/</v>
      </c>
      <c r="C43" s="2"/>
      <c r="D43" s="2" t="s">
        <v>38</v>
      </c>
      <c r="E43" s="5">
        <v>45370.774444444447</v>
      </c>
      <c r="F43" s="2" t="s">
        <v>1812</v>
      </c>
      <c r="G43" s="2">
        <v>568116</v>
      </c>
      <c r="H43" s="2">
        <v>0</v>
      </c>
      <c r="I43" s="2">
        <v>0</v>
      </c>
      <c r="J43" s="2">
        <v>0</v>
      </c>
      <c r="K43" s="2" t="s">
        <v>25</v>
      </c>
      <c r="L43" s="4">
        <v>5255.07</v>
      </c>
      <c r="M43" s="2"/>
      <c r="N43" t="s">
        <v>4458</v>
      </c>
    </row>
    <row r="44" spans="1:14" ht="409.6" x14ac:dyDescent="0.3">
      <c r="A44" s="2" t="s">
        <v>1813</v>
      </c>
      <c r="B44" s="2" t="str">
        <f>HYPERLINK("https://www.wishtv.com/podcasts/the-indy-eleven-coaches-show/")</f>
        <v>https://www.wishtv.com/podcasts/the-indy-eleven-coaches-show/</v>
      </c>
      <c r="C44" s="2"/>
      <c r="D44" s="2" t="s">
        <v>1814</v>
      </c>
      <c r="E44" s="5">
        <v>45370.764664351853</v>
      </c>
      <c r="F44" s="2" t="s">
        <v>1815</v>
      </c>
      <c r="G44" s="2">
        <v>568116</v>
      </c>
      <c r="H44" s="2"/>
      <c r="I44" s="2"/>
      <c r="J44" s="2"/>
      <c r="K44" s="2" t="s">
        <v>47</v>
      </c>
      <c r="L44" s="4">
        <v>5255.07</v>
      </c>
      <c r="M44" s="2"/>
      <c r="N44" t="s">
        <v>4458</v>
      </c>
    </row>
    <row r="45" spans="1:14" ht="39.6" x14ac:dyDescent="0.3">
      <c r="A45" s="2" t="s">
        <v>1816</v>
      </c>
      <c r="B45" s="2" t="str">
        <f>HYPERLINK("https://www.wttsfm.com/this-weekend-the-indy-eleven-home-opener/")</f>
        <v>https://www.wttsfm.com/this-weekend-the-indy-eleven-home-opener/</v>
      </c>
      <c r="C45" s="2" t="s">
        <v>1817</v>
      </c>
      <c r="D45" s="2" t="s">
        <v>1818</v>
      </c>
      <c r="E45" s="5">
        <v>45370.33085648148</v>
      </c>
      <c r="F45" s="2"/>
      <c r="G45" s="2">
        <v>6030</v>
      </c>
      <c r="H45" s="2"/>
      <c r="I45" s="2"/>
      <c r="J45" s="2"/>
      <c r="K45" s="2"/>
      <c r="L45" s="4">
        <v>55.78</v>
      </c>
      <c r="M45" s="2"/>
      <c r="N45" t="s">
        <v>4458</v>
      </c>
    </row>
    <row r="46" spans="1:14" ht="409.6" x14ac:dyDescent="0.3">
      <c r="A46" s="2" t="s">
        <v>1819</v>
      </c>
      <c r="B46" s="2" t="str">
        <f>HYPERLINK("https://www.oursportscentral.com/services/releases/blake-stanley-earn-usl-team-of-the-week-honors/n-6068931")</f>
        <v>https://www.oursportscentral.com/services/releases/blake-stanley-earn-usl-team-of-the-week-honors/n-6068931</v>
      </c>
      <c r="C46" s="2"/>
      <c r="D46" s="2" t="s">
        <v>24</v>
      </c>
      <c r="E46" s="5">
        <v>45370.317361111112</v>
      </c>
      <c r="F46" s="2" t="s">
        <v>1820</v>
      </c>
      <c r="G46" s="2">
        <v>40402</v>
      </c>
      <c r="H46" s="2">
        <v>0</v>
      </c>
      <c r="I46" s="2">
        <v>0</v>
      </c>
      <c r="J46" s="2">
        <v>0</v>
      </c>
      <c r="K46" s="2" t="s">
        <v>25</v>
      </c>
      <c r="L46" s="4">
        <v>373.72</v>
      </c>
      <c r="M46" s="2"/>
      <c r="N46" t="s">
        <v>4457</v>
      </c>
    </row>
    <row r="47" spans="1:14" ht="409.6" x14ac:dyDescent="0.3">
      <c r="A47" s="2" t="s">
        <v>1821</v>
      </c>
      <c r="B47" s="2" t="str">
        <f>HYPERLINK("https://tri-statedefender.com/901-fc-stumbles-against-indy-eleven-in-heartbreaking-home-loss/03/17/")</f>
        <v>https://tri-statedefender.com/901-fc-stumbles-against-indy-eleven-in-heartbreaking-home-loss/03/17/</v>
      </c>
      <c r="C47" s="2"/>
      <c r="D47" s="2" t="s">
        <v>1822</v>
      </c>
      <c r="E47" s="5">
        <v>45369.663865740738</v>
      </c>
      <c r="F47" s="2" t="s">
        <v>1823</v>
      </c>
      <c r="G47" s="2">
        <v>3647</v>
      </c>
      <c r="H47" s="2"/>
      <c r="I47" s="2"/>
      <c r="J47" s="2"/>
      <c r="K47" s="2" t="s">
        <v>47</v>
      </c>
      <c r="L47" s="4">
        <v>33.729999999999997</v>
      </c>
      <c r="M47" s="2"/>
      <c r="N47" t="s">
        <v>4457</v>
      </c>
    </row>
    <row r="48" spans="1:14" ht="409.6" x14ac:dyDescent="0.3">
      <c r="A48" s="2" t="s">
        <v>1824</v>
      </c>
      <c r="B48" s="2" t="str">
        <f>HYPERLINK("https://www.yahoo.com/news/memphis-901-fc-falls-indy-034121550.html")</f>
        <v>https://www.yahoo.com/news/memphis-901-fc-falls-indy-034121550.html</v>
      </c>
      <c r="C48" s="2" t="s">
        <v>1825</v>
      </c>
      <c r="D48" s="2" t="s">
        <v>435</v>
      </c>
      <c r="E48" s="5">
        <v>45367.98704861111</v>
      </c>
      <c r="F48" s="2" t="s">
        <v>1826</v>
      </c>
      <c r="G48" s="2">
        <v>372878377</v>
      </c>
      <c r="H48" s="2">
        <v>0</v>
      </c>
      <c r="I48" s="2">
        <v>0</v>
      </c>
      <c r="J48" s="2">
        <v>0</v>
      </c>
      <c r="K48" s="2" t="s">
        <v>47</v>
      </c>
      <c r="L48" s="4">
        <v>3449124.99</v>
      </c>
      <c r="M48" s="2"/>
      <c r="N48" t="s">
        <v>4459</v>
      </c>
    </row>
    <row r="49" spans="1:14" ht="409.6" x14ac:dyDescent="0.3">
      <c r="A49" s="2" t="s">
        <v>1824</v>
      </c>
      <c r="B49" s="2" t="str">
        <f>HYPERLINK("https://wreg.com/sports/memphis-901-fc-falls-to-indy-2-1/")</f>
        <v>https://wreg.com/sports/memphis-901-fc-falls-to-indy-2-1/</v>
      </c>
      <c r="C49" s="2" t="s">
        <v>1825</v>
      </c>
      <c r="D49" s="2" t="s">
        <v>1827</v>
      </c>
      <c r="E49" s="5">
        <v>45367.98704861111</v>
      </c>
      <c r="F49" s="2" t="s">
        <v>1828</v>
      </c>
      <c r="G49" s="2">
        <v>630795</v>
      </c>
      <c r="H49" s="2">
        <v>0</v>
      </c>
      <c r="I49" s="2">
        <v>0</v>
      </c>
      <c r="J49" s="2">
        <v>0</v>
      </c>
      <c r="K49" s="2" t="s">
        <v>47</v>
      </c>
      <c r="L49" s="4">
        <v>5834.85</v>
      </c>
      <c r="M49" s="2"/>
      <c r="N49" t="s">
        <v>4457</v>
      </c>
    </row>
    <row r="50" spans="1:14" ht="409.6" x14ac:dyDescent="0.3">
      <c r="A50" s="2" t="s">
        <v>1830</v>
      </c>
      <c r="B50" s="2" t="str">
        <f>HYPERLINK("https://bvmsports.com/2024/03/16/memphis-901-fcs-struggles-against-indy-eleven-result-in-2-1-loss-with-two-red-cards/")</f>
        <v>https://bvmsports.com/2024/03/16/memphis-901-fcs-struggles-against-indy-eleven-result-in-2-1-loss-with-two-red-cards/</v>
      </c>
      <c r="C50" s="2" t="s">
        <v>270</v>
      </c>
      <c r="D50" s="2" t="s">
        <v>271</v>
      </c>
      <c r="E50" s="5">
        <v>45367.802361111113</v>
      </c>
      <c r="F50" s="2" t="s">
        <v>1831</v>
      </c>
      <c r="G50" s="2">
        <v>2152626</v>
      </c>
      <c r="H50" s="2">
        <v>0</v>
      </c>
      <c r="I50" s="2">
        <v>0</v>
      </c>
      <c r="J50" s="2">
        <v>0</v>
      </c>
      <c r="K50" s="2" t="s">
        <v>47</v>
      </c>
      <c r="L50" s="4">
        <v>19911.79</v>
      </c>
      <c r="M50" s="2"/>
      <c r="N50" t="s">
        <v>4459</v>
      </c>
    </row>
    <row r="51" spans="1:14" ht="409.6" x14ac:dyDescent="0.3">
      <c r="A51" s="2" t="s">
        <v>1832</v>
      </c>
      <c r="B51" s="2" t="str">
        <f>HYPERLINK("https://bluffcitymedia.co/memphis-901-fc-come-up-short-against-indy-eleven/")</f>
        <v>https://bluffcitymedia.co/memphis-901-fc-come-up-short-against-indy-eleven/</v>
      </c>
      <c r="C51" s="2" t="s">
        <v>644</v>
      </c>
      <c r="D51" s="2" t="s">
        <v>645</v>
      </c>
      <c r="E51" s="5">
        <v>45367.799363425933</v>
      </c>
      <c r="F51" s="2" t="s">
        <v>1833</v>
      </c>
      <c r="G51" s="2">
        <v>23760</v>
      </c>
      <c r="H51" s="2">
        <v>0</v>
      </c>
      <c r="I51" s="2">
        <v>0</v>
      </c>
      <c r="J51" s="2">
        <v>0</v>
      </c>
      <c r="K51" s="2" t="s">
        <v>47</v>
      </c>
      <c r="L51" s="4">
        <v>219.78</v>
      </c>
      <c r="M51" s="2"/>
      <c r="N51" t="s">
        <v>4457</v>
      </c>
    </row>
    <row r="52" spans="1:14" ht="409.6" x14ac:dyDescent="0.3">
      <c r="A52" s="2" t="s">
        <v>1834</v>
      </c>
      <c r="B52" s="2" t="str">
        <f>HYPERLINK("https://www.oursportscentral.com/services/releases/academy-cup-2024-richmond-kickers-vs-indy-eleven-2005-elite-boys-final/n-6067952")</f>
        <v>https://www.oursportscentral.com/services/releases/academy-cup-2024-richmond-kickers-vs-indy-eleven-2005-elite-boys-final/n-6067952</v>
      </c>
      <c r="C52" s="2"/>
      <c r="D52" s="2" t="s">
        <v>24</v>
      </c>
      <c r="E52" s="5">
        <v>45367.601388888892</v>
      </c>
      <c r="F52" s="2" t="s">
        <v>1835</v>
      </c>
      <c r="G52" s="2">
        <v>40402</v>
      </c>
      <c r="H52" s="2">
        <v>0</v>
      </c>
      <c r="I52" s="2">
        <v>0</v>
      </c>
      <c r="J52" s="2">
        <v>0</v>
      </c>
      <c r="K52" s="2" t="s">
        <v>25</v>
      </c>
      <c r="L52" s="4">
        <v>373.72</v>
      </c>
      <c r="M52" s="2"/>
      <c r="N52" t="s">
        <v>4457</v>
      </c>
    </row>
    <row r="53" spans="1:14" ht="409.6" x14ac:dyDescent="0.3">
      <c r="A53" s="2" t="s">
        <v>1836</v>
      </c>
      <c r="B53" s="2" t="str">
        <f>HYPERLINK("https://www.oursportscentral.com/services/releases/indy-eleven-records-seasons-first-victory-with-win-at-memphis/n-6067927")</f>
        <v>https://www.oursportscentral.com/services/releases/indy-eleven-records-seasons-first-victory-with-win-at-memphis/n-6067927</v>
      </c>
      <c r="C53" s="2"/>
      <c r="D53" s="2" t="s">
        <v>24</v>
      </c>
      <c r="E53" s="5">
        <v>45367.556250000001</v>
      </c>
      <c r="F53" s="2" t="s">
        <v>1837</v>
      </c>
      <c r="G53" s="2">
        <v>40402</v>
      </c>
      <c r="H53" s="2">
        <v>0</v>
      </c>
      <c r="I53" s="2">
        <v>0</v>
      </c>
      <c r="J53" s="2">
        <v>0</v>
      </c>
      <c r="K53" s="2" t="s">
        <v>25</v>
      </c>
      <c r="L53" s="4">
        <v>373.72</v>
      </c>
      <c r="M53" s="2"/>
      <c r="N53" t="s">
        <v>4457</v>
      </c>
    </row>
    <row r="54" spans="1:14" ht="409.6" x14ac:dyDescent="0.3">
      <c r="A54" s="2" t="s">
        <v>1838</v>
      </c>
      <c r="B54" s="2" t="str">
        <f>HYPERLINK("https://www.oursportscentral.com/services/releases/3-16-2024-memphis-901-fc-vs-indy-eleven--game-highlights/n-6067921")</f>
        <v>https://www.oursportscentral.com/services/releases/3-16-2024-memphis-901-fc-vs-indy-eleven--game-highlights/n-6067921</v>
      </c>
      <c r="C54" s="2"/>
      <c r="D54" s="2" t="s">
        <v>24</v>
      </c>
      <c r="E54" s="5">
        <v>45367.554861111108</v>
      </c>
      <c r="F54" s="2" t="s">
        <v>1839</v>
      </c>
      <c r="G54" s="2">
        <v>40402</v>
      </c>
      <c r="H54" s="2">
        <v>0</v>
      </c>
      <c r="I54" s="2">
        <v>0</v>
      </c>
      <c r="J54" s="2">
        <v>0</v>
      </c>
      <c r="K54" s="2" t="s">
        <v>25</v>
      </c>
      <c r="L54" s="4">
        <v>373.72</v>
      </c>
      <c r="M54" s="2"/>
      <c r="N54" t="s">
        <v>4457</v>
      </c>
    </row>
    <row r="55" spans="1:14" ht="66" x14ac:dyDescent="0.3">
      <c r="A55" s="2" t="s">
        <v>1840</v>
      </c>
      <c r="B55" s="2" t="str">
        <f>HYPERLINK("https://www.oursportscentral.com/services/releases/all-goals-from-memphis-901-fc-vs-indy-eleven-in-the-2nd-half/n-6067915")</f>
        <v>https://www.oursportscentral.com/services/releases/all-goals-from-memphis-901-fc-vs-indy-eleven-in-the-2nd-half/n-6067915</v>
      </c>
      <c r="C55" s="2"/>
      <c r="D55" s="2" t="s">
        <v>24</v>
      </c>
      <c r="E55" s="5">
        <v>45367.518750000003</v>
      </c>
      <c r="F55" s="2" t="s">
        <v>1841</v>
      </c>
      <c r="G55" s="2">
        <v>40402</v>
      </c>
      <c r="H55" s="2"/>
      <c r="I55" s="2"/>
      <c r="J55" s="2"/>
      <c r="K55" s="2" t="s">
        <v>47</v>
      </c>
      <c r="L55" s="4">
        <v>373.72</v>
      </c>
      <c r="M55" s="2"/>
      <c r="N55" t="s">
        <v>4457</v>
      </c>
    </row>
    <row r="56" spans="1:14" ht="211.2" x14ac:dyDescent="0.3">
      <c r="A56" s="2" t="s">
        <v>1842</v>
      </c>
      <c r="B56" s="2" t="str">
        <f>HYPERLINK("https://www.oursportscentral.com/services/releases/memphis-901-fc-falls-to-indy-eleven-2-1-in-interconference-matchup/n-6067903")</f>
        <v>https://www.oursportscentral.com/services/releases/memphis-901-fc-falls-to-indy-eleven-2-1-in-interconference-matchup/n-6067903</v>
      </c>
      <c r="C56" s="2"/>
      <c r="D56" s="2" t="s">
        <v>24</v>
      </c>
      <c r="E56" s="5">
        <v>45367.51458333333</v>
      </c>
      <c r="F56" s="2" t="s">
        <v>1843</v>
      </c>
      <c r="G56" s="2">
        <v>40402</v>
      </c>
      <c r="H56" s="2">
        <v>0</v>
      </c>
      <c r="I56" s="2">
        <v>0</v>
      </c>
      <c r="J56" s="2">
        <v>0</v>
      </c>
      <c r="K56" s="2" t="s">
        <v>25</v>
      </c>
      <c r="L56" s="4">
        <v>373.72</v>
      </c>
      <c r="M56" s="2"/>
      <c r="N56" t="s">
        <v>4457</v>
      </c>
    </row>
    <row r="57" spans="1:14" ht="343.2" x14ac:dyDescent="0.3">
      <c r="A57" s="2" t="s">
        <v>1844</v>
      </c>
      <c r="B57" s="2" t="str">
        <f>HYPERLINK("https://bvmsports.com/2024/03/16/memphis-901-fc-faces-indy-eleven-after-impressive-season-opener-win/")</f>
        <v>https://bvmsports.com/2024/03/16/memphis-901-fc-faces-indy-eleven-after-impressive-season-opener-win/</v>
      </c>
      <c r="C57" s="2" t="s">
        <v>270</v>
      </c>
      <c r="D57" s="2" t="s">
        <v>271</v>
      </c>
      <c r="E57" s="5">
        <v>45367.394872685189</v>
      </c>
      <c r="F57" s="2" t="s">
        <v>1845</v>
      </c>
      <c r="G57" s="2">
        <v>2152626</v>
      </c>
      <c r="H57" s="2">
        <v>0</v>
      </c>
      <c r="I57" s="2">
        <v>0</v>
      </c>
      <c r="J57" s="2">
        <v>0</v>
      </c>
      <c r="K57" s="2" t="s">
        <v>25</v>
      </c>
      <c r="L57" s="4">
        <v>19911.79</v>
      </c>
      <c r="M57" s="2"/>
      <c r="N57" t="s">
        <v>4459</v>
      </c>
    </row>
    <row r="58" spans="1:14" ht="250.8" x14ac:dyDescent="0.3">
      <c r="A58" s="2" t="s">
        <v>1846</v>
      </c>
      <c r="B58" s="2" t="str">
        <f>HYPERLINK("https://bluffcitymedia.co/memphis-901-fc-vs-indy-eleven-preview-2/")</f>
        <v>https://bluffcitymedia.co/memphis-901-fc-vs-indy-eleven-preview-2/</v>
      </c>
      <c r="C58" s="2" t="s">
        <v>654</v>
      </c>
      <c r="D58" s="2" t="s">
        <v>645</v>
      </c>
      <c r="E58" s="5">
        <v>45367.387592592589</v>
      </c>
      <c r="F58" s="2" t="s">
        <v>1847</v>
      </c>
      <c r="G58" s="2">
        <v>23760</v>
      </c>
      <c r="H58" s="2">
        <v>1</v>
      </c>
      <c r="I58" s="2">
        <v>767</v>
      </c>
      <c r="J58" s="2">
        <v>30</v>
      </c>
      <c r="K58" s="2" t="s">
        <v>31</v>
      </c>
      <c r="L58" s="4">
        <v>219.78</v>
      </c>
      <c r="M58" s="2"/>
      <c r="N58" t="s">
        <v>4457</v>
      </c>
    </row>
    <row r="59" spans="1:14" ht="409.6" x14ac:dyDescent="0.3">
      <c r="A59" s="2" t="s">
        <v>34</v>
      </c>
      <c r="B59" s="2" t="str">
        <f>HYPERLINK("https://www.heraldbulletin.com/sports/coming-up/article_2a9c3ccc-e32f-11ee-a3b8-fbde8df3a59a.html")</f>
        <v>https://www.heraldbulletin.com/sports/coming-up/article_2a9c3ccc-e32f-11ee-a3b8-fbde8df3a59a.html</v>
      </c>
      <c r="C59" s="2"/>
      <c r="D59" s="2" t="s">
        <v>35</v>
      </c>
      <c r="E59" s="5">
        <v>45367.308171296303</v>
      </c>
      <c r="F59" s="2" t="s">
        <v>1848</v>
      </c>
      <c r="G59" s="2">
        <v>50260</v>
      </c>
      <c r="H59" s="2">
        <v>0</v>
      </c>
      <c r="I59" s="2">
        <v>0</v>
      </c>
      <c r="J59" s="2">
        <v>1</v>
      </c>
      <c r="K59" s="2" t="s">
        <v>25</v>
      </c>
      <c r="L59" s="4">
        <v>464.9</v>
      </c>
      <c r="M59" s="2"/>
      <c r="N59" t="s">
        <v>4458</v>
      </c>
    </row>
    <row r="60" spans="1:14" ht="409.6" x14ac:dyDescent="0.3">
      <c r="A60" s="2" t="s">
        <v>34</v>
      </c>
      <c r="B60" s="2" t="str">
        <f>HYPERLINK("https://www.heraldbulletin.com/sports/coming-up/article_82129db2-e243-11ee-b02d-bfad4dbd5747.html")</f>
        <v>https://www.heraldbulletin.com/sports/coming-up/article_82129db2-e243-11ee-b02d-bfad4dbd5747.html</v>
      </c>
      <c r="C60" s="2"/>
      <c r="D60" s="2" t="s">
        <v>35</v>
      </c>
      <c r="E60" s="5">
        <v>45366.30537037037</v>
      </c>
      <c r="F60" s="2" t="s">
        <v>1850</v>
      </c>
      <c r="G60" s="2">
        <v>50260</v>
      </c>
      <c r="H60" s="2">
        <v>0</v>
      </c>
      <c r="I60" s="2">
        <v>0</v>
      </c>
      <c r="J60" s="2">
        <v>1</v>
      </c>
      <c r="K60" s="2" t="s">
        <v>47</v>
      </c>
      <c r="L60" s="4">
        <v>464.9</v>
      </c>
      <c r="M60" s="2"/>
      <c r="N60" t="s">
        <v>4458</v>
      </c>
    </row>
    <row r="61" spans="1:14" ht="237.6" x14ac:dyDescent="0.3">
      <c r="A61" s="2" t="s">
        <v>1851</v>
      </c>
      <c r="B61" s="2" t="str">
        <f>HYPERLINK("https://www.oursportscentral.com/services/releases/memphis-hosts-indy-eleven-looking-for-six-points-in-seven-days/n-6067299")</f>
        <v>https://www.oursportscentral.com/services/releases/memphis-hosts-indy-eleven-looking-for-six-points-in-seven-days/n-6067299</v>
      </c>
      <c r="C61" s="2"/>
      <c r="D61" s="2" t="s">
        <v>24</v>
      </c>
      <c r="E61" s="5">
        <v>45366.179166666669</v>
      </c>
      <c r="F61" s="2" t="s">
        <v>1852</v>
      </c>
      <c r="G61" s="2">
        <v>40402</v>
      </c>
      <c r="H61" s="2">
        <v>0</v>
      </c>
      <c r="I61" s="2">
        <v>0</v>
      </c>
      <c r="J61" s="2">
        <v>0</v>
      </c>
      <c r="K61" s="2" t="s">
        <v>25</v>
      </c>
      <c r="L61" s="4">
        <v>373.72</v>
      </c>
      <c r="M61" s="2"/>
      <c r="N61" t="s">
        <v>4457</v>
      </c>
    </row>
    <row r="62" spans="1:14" ht="409.6" x14ac:dyDescent="0.3">
      <c r="A62" s="2" t="s">
        <v>34</v>
      </c>
      <c r="B62" s="2" t="str">
        <f>HYPERLINK("https://www.heraldbulletin.com/sports/coming-up/article_ccb0695a-e18d-11ee-a4d0-07a676acca56.html")</f>
        <v>https://www.heraldbulletin.com/sports/coming-up/article_ccb0695a-e18d-11ee-a4d0-07a676acca56.html</v>
      </c>
      <c r="C62" s="2"/>
      <c r="D62" s="2" t="s">
        <v>35</v>
      </c>
      <c r="E62" s="5">
        <v>45365.305219907408</v>
      </c>
      <c r="F62" s="2" t="s">
        <v>1853</v>
      </c>
      <c r="G62" s="2">
        <v>50260</v>
      </c>
      <c r="H62" s="2">
        <v>0</v>
      </c>
      <c r="I62" s="2">
        <v>0</v>
      </c>
      <c r="J62" s="2">
        <v>4</v>
      </c>
      <c r="K62" s="2" t="s">
        <v>25</v>
      </c>
      <c r="L62" s="4">
        <v>464.9</v>
      </c>
      <c r="M62" s="2"/>
      <c r="N62" t="s">
        <v>4458</v>
      </c>
    </row>
    <row r="63" spans="1:14" ht="409.6" x14ac:dyDescent="0.3">
      <c r="A63" s="2" t="s">
        <v>1854</v>
      </c>
      <c r="B63" s="2" t="str">
        <f>HYPERLINK("https://www.oursportscentral.com/services/releases/indy-eleven-welcomes-monrovia-to-club-affiliate-program/n-6067005")</f>
        <v>https://www.oursportscentral.com/services/releases/indy-eleven-welcomes-monrovia-to-club-affiliate-program/n-6067005</v>
      </c>
      <c r="C63" s="2"/>
      <c r="D63" s="2" t="s">
        <v>24</v>
      </c>
      <c r="E63" s="5">
        <v>45365.304166666669</v>
      </c>
      <c r="F63" s="2" t="s">
        <v>1855</v>
      </c>
      <c r="G63" s="2">
        <v>40402</v>
      </c>
      <c r="H63" s="2">
        <v>0</v>
      </c>
      <c r="I63" s="2">
        <v>0</v>
      </c>
      <c r="J63" s="2">
        <v>0</v>
      </c>
      <c r="K63" s="2" t="s">
        <v>25</v>
      </c>
      <c r="L63" s="4">
        <v>373.72</v>
      </c>
      <c r="M63" s="2"/>
      <c r="N63" t="s">
        <v>4457</v>
      </c>
    </row>
    <row r="64" spans="1:14" ht="264" x14ac:dyDescent="0.3">
      <c r="A64" s="2" t="s">
        <v>34</v>
      </c>
      <c r="B64" s="2" t="str">
        <f>HYPERLINK("https://www.heraldbulletin.com/sports/coming-up/article_92d6d926-e0cf-11ee-b5af-737b13f39766.html")</f>
        <v>https://www.heraldbulletin.com/sports/coming-up/article_92d6d926-e0cf-11ee-b5af-737b13f39766.html</v>
      </c>
      <c r="C64" s="2"/>
      <c r="D64" s="2" t="s">
        <v>35</v>
      </c>
      <c r="E64" s="5">
        <v>45364.315763888888</v>
      </c>
      <c r="F64" s="2" t="s">
        <v>1856</v>
      </c>
      <c r="G64" s="2">
        <v>50260</v>
      </c>
      <c r="H64" s="2">
        <v>0</v>
      </c>
      <c r="I64" s="2">
        <v>0</v>
      </c>
      <c r="J64" s="2">
        <v>28</v>
      </c>
      <c r="K64" s="2" t="s">
        <v>25</v>
      </c>
      <c r="L64" s="4">
        <v>464.9</v>
      </c>
      <c r="M64" s="2"/>
      <c r="N64" t="s">
        <v>4458</v>
      </c>
    </row>
    <row r="65" spans="1:14" ht="409.6" x14ac:dyDescent="0.3">
      <c r="A65" s="2" t="s">
        <v>1859</v>
      </c>
      <c r="B65" s="2" t="str">
        <f>HYPERLINK("https://www.oursportscentral.com/services/releases/blake-boudadi-open-2024-on-usl-championship-team-of-the-week/n-6066406")</f>
        <v>https://www.oursportscentral.com/services/releases/blake-boudadi-open-2024-on-usl-championship-team-of-the-week/n-6066406</v>
      </c>
      <c r="C65" s="2"/>
      <c r="D65" s="2" t="s">
        <v>24</v>
      </c>
      <c r="E65" s="5">
        <v>45363.317361111112</v>
      </c>
      <c r="F65" s="2" t="s">
        <v>1860</v>
      </c>
      <c r="G65" s="2">
        <v>40402</v>
      </c>
      <c r="H65" s="2">
        <v>0</v>
      </c>
      <c r="I65" s="2">
        <v>0</v>
      </c>
      <c r="J65" s="2">
        <v>0</v>
      </c>
      <c r="K65" s="2" t="s">
        <v>25</v>
      </c>
      <c r="L65" s="4">
        <v>373.72</v>
      </c>
      <c r="M65" s="2"/>
      <c r="N65" t="s">
        <v>4457</v>
      </c>
    </row>
    <row r="66" spans="1:14" ht="409.6" x14ac:dyDescent="0.3">
      <c r="A66" s="2" t="s">
        <v>1862</v>
      </c>
      <c r="B66" s="2" t="str">
        <f>HYPERLINK("https://footballsierraleone.net/2024/03/10/augustine-williams-buya-turay-make-official-indy-legion-debut/")</f>
        <v>https://footballsierraleone.net/2024/03/10/augustine-williams-buya-turay-make-official-indy-legion-debut/</v>
      </c>
      <c r="C66" s="2"/>
      <c r="D66" s="2" t="s">
        <v>190</v>
      </c>
      <c r="E66" s="5">
        <v>45361.349606481483</v>
      </c>
      <c r="F66" s="2" t="s">
        <v>1863</v>
      </c>
      <c r="G66" s="2">
        <v>991</v>
      </c>
      <c r="H66" s="2">
        <v>0</v>
      </c>
      <c r="I66" s="2">
        <v>0</v>
      </c>
      <c r="J66" s="2">
        <v>259</v>
      </c>
      <c r="K66" s="2" t="s">
        <v>31</v>
      </c>
      <c r="L66" s="4">
        <v>9.17</v>
      </c>
      <c r="M66" s="2"/>
      <c r="N66" t="s">
        <v>4459</v>
      </c>
    </row>
    <row r="67" spans="1:14" ht="409.6" x14ac:dyDescent="0.3">
      <c r="A67" s="2" t="s">
        <v>1864</v>
      </c>
      <c r="B67" s="2" t="str">
        <f>HYPERLINK("https://www.oursportscentral.com/services/releases/oakland-roots-victorious-in-home-opener-beat-indy-eleven-2-1/n-6065665")</f>
        <v>https://www.oursportscentral.com/services/releases/oakland-roots-victorious-in-home-opener-beat-indy-eleven-2-1/n-6065665</v>
      </c>
      <c r="C67" s="2"/>
      <c r="D67" s="2" t="s">
        <v>24</v>
      </c>
      <c r="E67" s="5">
        <v>45360.800694444442</v>
      </c>
      <c r="F67" s="2" t="s">
        <v>1865</v>
      </c>
      <c r="G67" s="2">
        <v>40402</v>
      </c>
      <c r="H67" s="2">
        <v>0</v>
      </c>
      <c r="I67" s="2">
        <v>0</v>
      </c>
      <c r="J67" s="2">
        <v>0</v>
      </c>
      <c r="K67" s="2" t="s">
        <v>25</v>
      </c>
      <c r="L67" s="4">
        <v>373.72</v>
      </c>
      <c r="M67" s="2"/>
      <c r="N67" t="s">
        <v>4457</v>
      </c>
    </row>
    <row r="68" spans="1:14" ht="66" x14ac:dyDescent="0.3">
      <c r="A68" s="2" t="s">
        <v>1866</v>
      </c>
      <c r="B68" s="2" t="str">
        <f>HYPERLINK("https://www.oursportscentral.com/services/releases/oakland-roots-sc-vs-indy-eleven--game-highlights/n-6065643")</f>
        <v>https://www.oursportscentral.com/services/releases/oakland-roots-sc-vs-indy-eleven--game-highlights/n-6065643</v>
      </c>
      <c r="C68" s="2"/>
      <c r="D68" s="2" t="s">
        <v>24</v>
      </c>
      <c r="E68" s="5">
        <v>45360.792361111111</v>
      </c>
      <c r="F68" s="2" t="s">
        <v>1867</v>
      </c>
      <c r="G68" s="2">
        <v>40402</v>
      </c>
      <c r="H68" s="2">
        <v>0</v>
      </c>
      <c r="I68" s="2">
        <v>0</v>
      </c>
      <c r="J68" s="2">
        <v>0</v>
      </c>
      <c r="K68" s="2" t="s">
        <v>47</v>
      </c>
      <c r="L68" s="4">
        <v>373.72</v>
      </c>
      <c r="M68" s="2"/>
      <c r="N68" t="s">
        <v>4457</v>
      </c>
    </row>
    <row r="69" spans="1:14" ht="409.6" x14ac:dyDescent="0.3">
      <c r="A69" s="2" t="s">
        <v>1868</v>
      </c>
      <c r="B69" s="2" t="str">
        <f>HYPERLINK("https://www.oursportscentral.com/services/releases/match-notes-3-9-2024--oakland-roots-sc-home-opener-vs-indy-eleven/n-6065379")</f>
        <v>https://www.oursportscentral.com/services/releases/match-notes-3-9-2024--oakland-roots-sc-home-opener-vs-indy-eleven/n-6065379</v>
      </c>
      <c r="C69" s="2"/>
      <c r="D69" s="2" t="s">
        <v>24</v>
      </c>
      <c r="E69" s="5">
        <v>45360.269444444442</v>
      </c>
      <c r="F69" s="2" t="s">
        <v>1869</v>
      </c>
      <c r="G69" s="2">
        <v>40402</v>
      </c>
      <c r="H69" s="2">
        <v>0</v>
      </c>
      <c r="I69" s="2">
        <v>0</v>
      </c>
      <c r="J69" s="2">
        <v>0</v>
      </c>
      <c r="K69" s="2" t="s">
        <v>25</v>
      </c>
      <c r="L69" s="4">
        <v>373.72</v>
      </c>
      <c r="M69" s="2"/>
      <c r="N69" t="s">
        <v>4457</v>
      </c>
    </row>
    <row r="70" spans="1:14" ht="52.8" x14ac:dyDescent="0.3">
      <c r="A70" s="2" t="s">
        <v>1870</v>
      </c>
      <c r="B70" s="2" t="str">
        <f>HYPERLINK("https://www.espn.com.co/espnplus/player/_/id/a5a89cf0-5bb4-461f-8566-1c97c80a5c48")</f>
        <v>https://www.espn.com.co/espnplus/player/_/id/a5a89cf0-5bb4-461f-8566-1c97c80a5c48</v>
      </c>
      <c r="C70" s="2"/>
      <c r="D70" s="2" t="s">
        <v>1871</v>
      </c>
      <c r="E70" s="5">
        <v>45360</v>
      </c>
      <c r="F70" s="2" t="s">
        <v>1872</v>
      </c>
      <c r="G70" s="2"/>
      <c r="H70" s="2">
        <v>0</v>
      </c>
      <c r="I70" s="2">
        <v>0</v>
      </c>
      <c r="J70" s="2">
        <v>0</v>
      </c>
      <c r="K70" s="2" t="s">
        <v>25</v>
      </c>
      <c r="L70" s="2"/>
      <c r="M70" s="2"/>
      <c r="N70" t="s">
        <v>4459</v>
      </c>
    </row>
    <row r="71" spans="1:14" ht="52.8" x14ac:dyDescent="0.3">
      <c r="A71" s="2" t="s">
        <v>1870</v>
      </c>
      <c r="B71" s="2" t="str">
        <f>HYPERLINK("https://www.espn.com/espnplus/player/_/id/3e4840f5-4adc-400c-8de7-83ee4f2ce19d")</f>
        <v>https://www.espn.com/espnplus/player/_/id/3e4840f5-4adc-400c-8de7-83ee4f2ce19d</v>
      </c>
      <c r="C71" s="2"/>
      <c r="D71" s="2" t="s">
        <v>209</v>
      </c>
      <c r="E71" s="5">
        <v>45360</v>
      </c>
      <c r="F71" s="2" t="s">
        <v>1872</v>
      </c>
      <c r="G71" s="2">
        <v>73215246</v>
      </c>
      <c r="H71" s="2">
        <v>0</v>
      </c>
      <c r="I71" s="2">
        <v>0</v>
      </c>
      <c r="J71" s="2">
        <v>0</v>
      </c>
      <c r="K71" s="2" t="s">
        <v>25</v>
      </c>
      <c r="L71" s="4">
        <v>677241.03</v>
      </c>
      <c r="M71" s="2"/>
      <c r="N71" t="s">
        <v>4459</v>
      </c>
    </row>
    <row r="72" spans="1:14" ht="52.8" x14ac:dyDescent="0.3">
      <c r="A72" s="2" t="s">
        <v>1870</v>
      </c>
      <c r="B72" s="2" t="str">
        <f>HYPERLINK("https://espndeportes.espn.com/espnplus/player/_/id/3e4840f5-4adc-400c-8de7-83ee4f2ce19d")</f>
        <v>https://espndeportes.espn.com/espnplus/player/_/id/3e4840f5-4adc-400c-8de7-83ee4f2ce19d</v>
      </c>
      <c r="C72" s="2"/>
      <c r="D72" s="2" t="s">
        <v>1873</v>
      </c>
      <c r="E72" s="5">
        <v>45360</v>
      </c>
      <c r="F72" s="2"/>
      <c r="G72" s="2">
        <v>4155394</v>
      </c>
      <c r="H72" s="2">
        <v>0</v>
      </c>
      <c r="I72" s="2">
        <v>0</v>
      </c>
      <c r="J72" s="2">
        <v>0</v>
      </c>
      <c r="K72" s="2"/>
      <c r="L72" s="4">
        <v>38437.39</v>
      </c>
      <c r="M72" s="2"/>
      <c r="N72" t="s">
        <v>4459</v>
      </c>
    </row>
    <row r="73" spans="1:14" ht="409.6" x14ac:dyDescent="0.3">
      <c r="A73" s="2" t="s">
        <v>1874</v>
      </c>
      <c r="B73" s="2" t="str">
        <f>HYPERLINK("https://www.wishtv.com/sports/indy-eleven/familiar-face-excited-to-play-once-again-for-indy-eleven/")</f>
        <v>https://www.wishtv.com/sports/indy-eleven/familiar-face-excited-to-play-once-again-for-indy-eleven/</v>
      </c>
      <c r="C73" s="2" t="s">
        <v>919</v>
      </c>
      <c r="D73" s="2" t="s">
        <v>38</v>
      </c>
      <c r="E73" s="5">
        <v>45359.890659722223</v>
      </c>
      <c r="F73" s="2" t="s">
        <v>1875</v>
      </c>
      <c r="G73" s="2">
        <v>568116</v>
      </c>
      <c r="H73" s="2">
        <v>1</v>
      </c>
      <c r="I73" s="2">
        <v>7480</v>
      </c>
      <c r="J73" s="2">
        <v>21</v>
      </c>
      <c r="K73" s="2" t="s">
        <v>25</v>
      </c>
      <c r="L73" s="4">
        <v>5255.07</v>
      </c>
      <c r="M73" s="2"/>
      <c r="N73" t="s">
        <v>4458</v>
      </c>
    </row>
    <row r="74" spans="1:14" ht="409.2" x14ac:dyDescent="0.3">
      <c r="A74" s="2" t="s">
        <v>34</v>
      </c>
      <c r="B74" s="2" t="str">
        <f>HYPERLINK("https://www.heraldbulletin.com/sports/coming-up/article_b805405e-dccc-11ee-aabd-f38feec1795f.html")</f>
        <v>https://www.heraldbulletin.com/sports/coming-up/article_b805405e-dccc-11ee-aabd-f38feec1795f.html</v>
      </c>
      <c r="C74" s="2"/>
      <c r="D74" s="2" t="s">
        <v>35</v>
      </c>
      <c r="E74" s="5">
        <v>45359.311689814807</v>
      </c>
      <c r="F74" s="2" t="s">
        <v>1876</v>
      </c>
      <c r="G74" s="2">
        <v>50260</v>
      </c>
      <c r="H74" s="2">
        <v>0</v>
      </c>
      <c r="I74" s="2">
        <v>0</v>
      </c>
      <c r="J74" s="2">
        <v>27</v>
      </c>
      <c r="K74" s="2" t="s">
        <v>25</v>
      </c>
      <c r="L74" s="4">
        <v>464.9</v>
      </c>
      <c r="M74" s="2"/>
      <c r="N74" t="s">
        <v>4458</v>
      </c>
    </row>
    <row r="75" spans="1:14" ht="409.2" x14ac:dyDescent="0.3">
      <c r="A75" s="2" t="s">
        <v>34</v>
      </c>
      <c r="B75" s="2" t="str">
        <f>HYPERLINK("https://www.heraldbulletin.com/sports/coming-up/article_fd954af6-dc0e-11ee-aba2-4f4c1cb1e21f.html")</f>
        <v>https://www.heraldbulletin.com/sports/coming-up/article_fd954af6-dc0e-11ee-aba2-4f4c1cb1e21f.html</v>
      </c>
      <c r="C75" s="2"/>
      <c r="D75" s="2" t="s">
        <v>35</v>
      </c>
      <c r="E75" s="5">
        <v>45358.30641203704</v>
      </c>
      <c r="F75" s="2" t="s">
        <v>1876</v>
      </c>
      <c r="G75" s="2">
        <v>50260</v>
      </c>
      <c r="H75" s="2">
        <v>0</v>
      </c>
      <c r="I75" s="2">
        <v>0</v>
      </c>
      <c r="J75" s="2">
        <v>12</v>
      </c>
      <c r="K75" s="2" t="s">
        <v>25</v>
      </c>
      <c r="L75" s="4">
        <v>464.9</v>
      </c>
      <c r="M75" s="2"/>
      <c r="N75" t="s">
        <v>4458</v>
      </c>
    </row>
    <row r="76" spans="1:14" ht="409.6" x14ac:dyDescent="0.3">
      <c r="A76" s="2" t="s">
        <v>1879</v>
      </c>
      <c r="B76" s="2" t="str">
        <f>HYPERLINK("https://bnnbreaking.com/sports/indy-eleven-signs-midfielder-ethan-obrien-unites-obrien-brothers-for-usl-season")</f>
        <v>https://bnnbreaking.com/sports/indy-eleven-signs-midfielder-ethan-obrien-unites-obrien-brothers-for-usl-season</v>
      </c>
      <c r="C76" s="2" t="s">
        <v>1880</v>
      </c>
      <c r="D76" s="2" t="s">
        <v>1881</v>
      </c>
      <c r="E76" s="5">
        <v>45357.681956018518</v>
      </c>
      <c r="F76" s="2" t="s">
        <v>1882</v>
      </c>
      <c r="G76" s="2">
        <v>25186</v>
      </c>
      <c r="H76" s="2">
        <v>0</v>
      </c>
      <c r="I76" s="2">
        <v>0</v>
      </c>
      <c r="J76" s="2">
        <v>0</v>
      </c>
      <c r="K76" s="2" t="s">
        <v>25</v>
      </c>
      <c r="L76" s="4">
        <v>232.97</v>
      </c>
      <c r="M76" s="2"/>
      <c r="N76" t="s">
        <v>4459</v>
      </c>
    </row>
    <row r="77" spans="1:14" ht="409.6" x14ac:dyDescent="0.3">
      <c r="A77" s="2" t="s">
        <v>1883</v>
      </c>
      <c r="B77" s="2" t="str">
        <f>HYPERLINK("https://www.wishtv.com/sports/indy-eleven/siblings-to-play-together-for-indy-eleven-this-season/")</f>
        <v>https://www.wishtv.com/sports/indy-eleven/siblings-to-play-together-for-indy-eleven-this-season/</v>
      </c>
      <c r="C77" s="2" t="s">
        <v>919</v>
      </c>
      <c r="D77" s="2" t="s">
        <v>38</v>
      </c>
      <c r="E77" s="5">
        <v>45357.631284722222</v>
      </c>
      <c r="F77" s="2" t="s">
        <v>1884</v>
      </c>
      <c r="G77" s="2">
        <v>568116</v>
      </c>
      <c r="H77" s="2">
        <v>1</v>
      </c>
      <c r="I77" s="2">
        <v>7482</v>
      </c>
      <c r="J77" s="2">
        <v>15</v>
      </c>
      <c r="K77" s="2" t="s">
        <v>25</v>
      </c>
      <c r="L77" s="4">
        <v>5255.07</v>
      </c>
      <c r="M77" s="2"/>
      <c r="N77" t="s">
        <v>4458</v>
      </c>
    </row>
    <row r="78" spans="1:14" ht="52.8" x14ac:dyDescent="0.3">
      <c r="A78" s="2" t="s">
        <v>1885</v>
      </c>
      <c r="B78" s="2" t="str">
        <f>HYPERLINK("https://www.livesportsontv.com/match/oakland-roots-indy-eleven-1434971")</f>
        <v>https://www.livesportsontv.com/match/oakland-roots-indy-eleven-1434971</v>
      </c>
      <c r="C78" s="2"/>
      <c r="D78" s="2" t="s">
        <v>1886</v>
      </c>
      <c r="E78" s="5">
        <v>45357.442407407398</v>
      </c>
      <c r="F78" s="2" t="s">
        <v>1887</v>
      </c>
      <c r="G78" s="2"/>
      <c r="H78" s="2">
        <v>0</v>
      </c>
      <c r="I78" s="2">
        <v>0</v>
      </c>
      <c r="J78" s="2">
        <v>0</v>
      </c>
      <c r="K78" s="2" t="s">
        <v>47</v>
      </c>
      <c r="L78" s="2"/>
      <c r="M78" s="2"/>
      <c r="N78" t="s">
        <v>4457</v>
      </c>
    </row>
    <row r="79" spans="1:14" ht="92.4" x14ac:dyDescent="0.3">
      <c r="A79" s="2" t="s">
        <v>34</v>
      </c>
      <c r="B79" s="2" t="str">
        <f>HYPERLINK("https://www.heraldbulletin.com/sports/coming-up/article_ae9fe218-db36-11ee-9d71-2f85c4f68347.html")</f>
        <v>https://www.heraldbulletin.com/sports/coming-up/article_ae9fe218-db36-11ee-9d71-2f85c4f68347.html</v>
      </c>
      <c r="C79" s="2"/>
      <c r="D79" s="2" t="s">
        <v>35</v>
      </c>
      <c r="E79" s="5">
        <v>45357.311296296299</v>
      </c>
      <c r="F79" s="2" t="s">
        <v>1888</v>
      </c>
      <c r="G79" s="2">
        <v>50260</v>
      </c>
      <c r="H79" s="2">
        <v>0</v>
      </c>
      <c r="I79" s="2">
        <v>0</v>
      </c>
      <c r="J79" s="2">
        <v>35</v>
      </c>
      <c r="K79" s="2" t="s">
        <v>47</v>
      </c>
      <c r="L79" s="4">
        <v>464.9</v>
      </c>
      <c r="M79" s="2"/>
      <c r="N79" t="s">
        <v>4458</v>
      </c>
    </row>
    <row r="80" spans="1:14" ht="409.6" x14ac:dyDescent="0.3">
      <c r="A80" s="2" t="s">
        <v>1889</v>
      </c>
      <c r="B80" s="2" t="str">
        <f>HYPERLINK("https://www.oursportscentral.com/services/releases/indy-eleven-announces-signing-of-notre-dame-standout-ethan-obrien/n-6064373")</f>
        <v>https://www.oursportscentral.com/services/releases/indy-eleven-announces-signing-of-notre-dame-standout-ethan-obrien/n-6064373</v>
      </c>
      <c r="C80" s="2"/>
      <c r="D80" s="2" t="s">
        <v>24</v>
      </c>
      <c r="E80" s="5">
        <v>45357.267361111109</v>
      </c>
      <c r="F80" s="2" t="s">
        <v>1890</v>
      </c>
      <c r="G80" s="2">
        <v>40402</v>
      </c>
      <c r="H80" s="2">
        <v>0</v>
      </c>
      <c r="I80" s="2">
        <v>0</v>
      </c>
      <c r="J80" s="2">
        <v>0</v>
      </c>
      <c r="K80" s="2" t="s">
        <v>25</v>
      </c>
      <c r="L80" s="4">
        <v>373.72</v>
      </c>
      <c r="M80" s="2"/>
      <c r="N80" t="s">
        <v>4457</v>
      </c>
    </row>
    <row r="81" spans="1:14" ht="52.8" x14ac:dyDescent="0.3">
      <c r="A81" s="2" t="s">
        <v>1870</v>
      </c>
      <c r="B81" s="2" t="str">
        <f>HYPERLINK("https://espndeportes.espn.com/espnplus/player/_/id/a5a89cf0-5bb4-461f-8566-1c97c80a5c48")</f>
        <v>https://espndeportes.espn.com/espnplus/player/_/id/a5a89cf0-5bb4-461f-8566-1c97c80a5c48</v>
      </c>
      <c r="C81" s="2"/>
      <c r="D81" s="2" t="s">
        <v>1873</v>
      </c>
      <c r="E81" s="5">
        <v>45356.48165509259</v>
      </c>
      <c r="F81" s="2"/>
      <c r="G81" s="2">
        <v>4155394</v>
      </c>
      <c r="H81" s="2">
        <v>0</v>
      </c>
      <c r="I81" s="2">
        <v>0</v>
      </c>
      <c r="J81" s="2">
        <v>0</v>
      </c>
      <c r="K81" s="2"/>
      <c r="L81" s="4">
        <v>38437.39</v>
      </c>
      <c r="M81" s="2"/>
      <c r="N81" t="s">
        <v>4459</v>
      </c>
    </row>
    <row r="82" spans="1:14" ht="52.8" x14ac:dyDescent="0.3">
      <c r="A82" s="2" t="s">
        <v>1870</v>
      </c>
      <c r="B82" s="2" t="str">
        <f>HYPERLINK("https://www.espn.com/espnplus/player/_/id/a5a89cf0-5bb4-461f-8566-1c97c80a5c48")</f>
        <v>https://www.espn.com/espnplus/player/_/id/a5a89cf0-5bb4-461f-8566-1c97c80a5c48</v>
      </c>
      <c r="C82" s="2"/>
      <c r="D82" s="2" t="s">
        <v>209</v>
      </c>
      <c r="E82" s="5">
        <v>45356.48159722222</v>
      </c>
      <c r="F82" s="2" t="s">
        <v>1891</v>
      </c>
      <c r="G82" s="2">
        <v>73215246</v>
      </c>
      <c r="H82" s="2">
        <v>0</v>
      </c>
      <c r="I82" s="2">
        <v>0</v>
      </c>
      <c r="J82" s="2">
        <v>0</v>
      </c>
      <c r="K82" s="2" t="s">
        <v>25</v>
      </c>
      <c r="L82" s="4">
        <v>677241.03</v>
      </c>
      <c r="M82" s="2"/>
      <c r="N82" t="s">
        <v>4459</v>
      </c>
    </row>
    <row r="83" spans="1:14" ht="264" x14ac:dyDescent="0.3">
      <c r="A83" s="2" t="s">
        <v>1892</v>
      </c>
      <c r="B83" s="2" t="str">
        <f>HYPERLINK("https://www.sacrepublicfc.com/skyriver/")</f>
        <v>https://www.sacrepublicfc.com/skyriver/</v>
      </c>
      <c r="C83" s="2"/>
      <c r="D83" s="2" t="s">
        <v>1893</v>
      </c>
      <c r="E83" s="5">
        <v>45352.727916666663</v>
      </c>
      <c r="F83" s="2" t="s">
        <v>1894</v>
      </c>
      <c r="G83" s="2"/>
      <c r="H83" s="2"/>
      <c r="I83" s="2"/>
      <c r="J83" s="2"/>
      <c r="K83" s="2" t="s">
        <v>25</v>
      </c>
      <c r="L83" s="2"/>
      <c r="M83" s="2"/>
      <c r="N83" t="s">
        <v>4457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57212-D388-4A14-83B8-6F0A35EBE161}">
  <dimension ref="A1:N118"/>
  <sheetViews>
    <sheetView workbookViewId="0">
      <selection activeCell="D47" sqref="D47"/>
    </sheetView>
  </sheetViews>
  <sheetFormatPr defaultRowHeight="14.4" x14ac:dyDescent="0.3"/>
  <cols>
    <col min="1" max="1" width="24.88671875" customWidth="1"/>
    <col min="2" max="2" width="16.44140625" customWidth="1"/>
    <col min="4" max="4" width="22" customWidth="1"/>
    <col min="5" max="5" width="25.5546875" customWidth="1"/>
    <col min="7" max="7" width="10" bestFit="1" customWidth="1"/>
    <col min="13" max="13" width="15.109375" bestFit="1" customWidth="1"/>
    <col min="14" max="14" width="17.33203125" bestFit="1" customWidth="1"/>
  </cols>
  <sheetData>
    <row r="1" spans="1:14" x14ac:dyDescent="0.3">
      <c r="A1" s="1" t="s">
        <v>13</v>
      </c>
      <c r="B1" s="1" t="s">
        <v>2</v>
      </c>
      <c r="C1" s="1" t="s">
        <v>14</v>
      </c>
      <c r="D1" s="1" t="s">
        <v>15</v>
      </c>
      <c r="E1" s="1" t="s">
        <v>16</v>
      </c>
      <c r="F1" s="1" t="s">
        <v>17</v>
      </c>
      <c r="G1" s="1" t="s">
        <v>18</v>
      </c>
      <c r="H1" s="1" t="s">
        <v>19</v>
      </c>
      <c r="I1" s="1" t="s">
        <v>20</v>
      </c>
      <c r="J1" s="1" t="s">
        <v>7</v>
      </c>
      <c r="K1" s="1" t="s">
        <v>21</v>
      </c>
      <c r="L1" s="1" t="s">
        <v>22</v>
      </c>
      <c r="M1" s="1" t="s">
        <v>23</v>
      </c>
      <c r="N1" s="1" t="s">
        <v>4456</v>
      </c>
    </row>
    <row r="2" spans="1:14" ht="409.6" x14ac:dyDescent="0.3">
      <c r="A2" s="2" t="s">
        <v>1517</v>
      </c>
      <c r="B2" s="2" t="str">
        <f>HYPERLINK("https://beyondthe90.substack.com/p/interview-with-indy-eleven-supporters?triedRedirect=true")</f>
        <v>https://beyondthe90.substack.com/p/interview-with-indy-eleven-supporters?triedRedirect=true</v>
      </c>
      <c r="C2" s="2" t="s">
        <v>1467</v>
      </c>
      <c r="D2" s="2" t="s">
        <v>1329</v>
      </c>
      <c r="E2" s="5">
        <v>45412.376655092587</v>
      </c>
      <c r="F2" s="2" t="s">
        <v>1518</v>
      </c>
      <c r="G2" s="2">
        <v>42217281</v>
      </c>
      <c r="H2" s="2">
        <v>1</v>
      </c>
      <c r="I2" s="2">
        <v>8902</v>
      </c>
      <c r="J2" s="2">
        <v>1</v>
      </c>
      <c r="K2" s="2" t="s">
        <v>25</v>
      </c>
      <c r="L2" s="4">
        <v>390509.85</v>
      </c>
      <c r="M2" s="2"/>
      <c r="N2" t="s">
        <v>4459</v>
      </c>
    </row>
    <row r="3" spans="1:14" ht="330" x14ac:dyDescent="0.3">
      <c r="A3" s="2" t="s">
        <v>1519</v>
      </c>
      <c r="B3" s="2" t="str">
        <f>HYPERLINK("https://www.wishtv.com/podcast-episode/april-30-2024-indy-eleven-owner-speaks-out/")</f>
        <v>https://www.wishtv.com/podcast-episode/april-30-2024-indy-eleven-owner-speaks-out/</v>
      </c>
      <c r="C3" s="2"/>
      <c r="D3" s="2" t="s">
        <v>38</v>
      </c>
      <c r="E3" s="5">
        <v>45412.204988425918</v>
      </c>
      <c r="F3" s="2" t="s">
        <v>1520</v>
      </c>
      <c r="G3" s="2">
        <v>568116</v>
      </c>
      <c r="H3" s="2"/>
      <c r="I3" s="2"/>
      <c r="J3" s="2"/>
      <c r="K3" s="2" t="s">
        <v>47</v>
      </c>
      <c r="L3" s="4">
        <v>5255.07</v>
      </c>
      <c r="M3" s="2"/>
      <c r="N3" t="s">
        <v>4458</v>
      </c>
    </row>
    <row r="4" spans="1:14" ht="409.6" x14ac:dyDescent="0.3">
      <c r="A4" s="2" t="s">
        <v>1522</v>
      </c>
      <c r="B4" s="2" t="str">
        <f>HYPERLINK("https://praiseindy.com/3690688/indy-eleven-owner-questions-mayors-change-in-plans/")</f>
        <v>https://praiseindy.com/3690688/indy-eleven-owner-questions-mayors-change-in-plans/</v>
      </c>
      <c r="C4" s="2" t="s">
        <v>1523</v>
      </c>
      <c r="D4" s="2" t="s">
        <v>504</v>
      </c>
      <c r="E4" s="5">
        <v>45411.717615740738</v>
      </c>
      <c r="F4" s="2" t="s">
        <v>1524</v>
      </c>
      <c r="G4" s="2">
        <v>5231</v>
      </c>
      <c r="H4" s="2">
        <v>0</v>
      </c>
      <c r="I4" s="2">
        <v>0</v>
      </c>
      <c r="J4" s="2">
        <v>0</v>
      </c>
      <c r="K4" s="2" t="s">
        <v>25</v>
      </c>
      <c r="L4" s="4">
        <v>48.39</v>
      </c>
      <c r="M4" s="2"/>
      <c r="N4" t="s">
        <v>4458</v>
      </c>
    </row>
    <row r="5" spans="1:14" ht="409.6" x14ac:dyDescent="0.3">
      <c r="A5" s="2" t="s">
        <v>1522</v>
      </c>
      <c r="B5" s="2" t="str">
        <f>HYPERLINK("https://wtlcfm.com/3865372/indy-eleven-owner-questions-mayors-change-in-plans/")</f>
        <v>https://wtlcfm.com/3865372/indy-eleven-owner-questions-mayors-change-in-plans/</v>
      </c>
      <c r="C5" s="2" t="s">
        <v>1523</v>
      </c>
      <c r="D5" s="2" t="s">
        <v>515</v>
      </c>
      <c r="E5" s="5">
        <v>45411.645949074067</v>
      </c>
      <c r="F5" s="2" t="s">
        <v>1524</v>
      </c>
      <c r="G5" s="2">
        <v>7794</v>
      </c>
      <c r="H5" s="2">
        <v>0</v>
      </c>
      <c r="I5" s="2">
        <v>0</v>
      </c>
      <c r="J5" s="2">
        <v>0</v>
      </c>
      <c r="K5" s="2" t="s">
        <v>25</v>
      </c>
      <c r="L5" s="4">
        <v>72.09</v>
      </c>
      <c r="M5" s="2"/>
      <c r="N5" t="s">
        <v>4458</v>
      </c>
    </row>
    <row r="6" spans="1:14" ht="409.6" x14ac:dyDescent="0.3">
      <c r="A6" s="2" t="s">
        <v>1522</v>
      </c>
      <c r="B6" s="2" t="str">
        <f>HYPERLINK("https://1075thefan.com/305594/indy-eleven-owner-questions-mayors-change-in-plans/")</f>
        <v>https://1075thefan.com/305594/indy-eleven-owner-questions-mayors-change-in-plans/</v>
      </c>
      <c r="C6" s="2" t="s">
        <v>1523</v>
      </c>
      <c r="D6" s="2" t="s">
        <v>75</v>
      </c>
      <c r="E6" s="5">
        <v>45411.613888888889</v>
      </c>
      <c r="F6" s="2" t="s">
        <v>1524</v>
      </c>
      <c r="G6" s="2">
        <v>208881</v>
      </c>
      <c r="H6" s="2">
        <v>0</v>
      </c>
      <c r="I6" s="2">
        <v>0</v>
      </c>
      <c r="J6" s="2">
        <v>0</v>
      </c>
      <c r="K6" s="2" t="s">
        <v>25</v>
      </c>
      <c r="L6" s="4">
        <v>1932.15</v>
      </c>
      <c r="M6" s="2"/>
      <c r="N6" t="s">
        <v>4458</v>
      </c>
    </row>
    <row r="7" spans="1:14" ht="409.6" x14ac:dyDescent="0.3">
      <c r="A7" s="2" t="s">
        <v>1525</v>
      </c>
      <c r="B7" s="2" t="str">
        <f>HYPERLINK("https://wibc.com/329131/owner-of-indy-eleven-ersal-ozdemir-responds/")</f>
        <v>https://wibc.com/329131/owner-of-indy-eleven-ersal-ozdemir-responds/</v>
      </c>
      <c r="C7" s="2"/>
      <c r="D7" s="2" t="s">
        <v>322</v>
      </c>
      <c r="E7" s="5">
        <v>45411.47583333333</v>
      </c>
      <c r="F7" s="2" t="s">
        <v>1526</v>
      </c>
      <c r="G7" s="2">
        <v>42815</v>
      </c>
      <c r="H7" s="2">
        <v>0</v>
      </c>
      <c r="I7" s="2">
        <v>0</v>
      </c>
      <c r="J7" s="2">
        <v>1</v>
      </c>
      <c r="K7" s="2" t="s">
        <v>31</v>
      </c>
      <c r="L7" s="4">
        <v>396.04</v>
      </c>
      <c r="M7" s="2"/>
      <c r="N7" t="s">
        <v>4458</v>
      </c>
    </row>
    <row r="8" spans="1:14" ht="409.6" x14ac:dyDescent="0.3">
      <c r="A8" s="2" t="s">
        <v>1522</v>
      </c>
      <c r="B8" s="2" t="str">
        <f>HYPERLINK("https://wibc.com/329290/indy-eleven-owner-questions-mayors-change-in-plans/")</f>
        <v>https://wibc.com/329290/indy-eleven-owner-questions-mayors-change-in-plans/</v>
      </c>
      <c r="C8" s="2" t="s">
        <v>1523</v>
      </c>
      <c r="D8" s="2" t="s">
        <v>322</v>
      </c>
      <c r="E8" s="5">
        <v>45411.445370370369</v>
      </c>
      <c r="F8" s="2" t="s">
        <v>1524</v>
      </c>
      <c r="G8" s="2">
        <v>42815</v>
      </c>
      <c r="H8" s="2">
        <v>0</v>
      </c>
      <c r="I8" s="2">
        <v>0</v>
      </c>
      <c r="J8" s="2">
        <v>1</v>
      </c>
      <c r="K8" s="2" t="s">
        <v>25</v>
      </c>
      <c r="L8" s="4">
        <v>396.04</v>
      </c>
      <c r="M8" s="2"/>
      <c r="N8" t="s">
        <v>4458</v>
      </c>
    </row>
    <row r="9" spans="1:14" ht="409.6" x14ac:dyDescent="0.3">
      <c r="A9" s="2" t="s">
        <v>1527</v>
      </c>
      <c r="B9" s="2" t="str">
        <f>HYPERLINK("https://www.wishtv.com/sports/indy-eleven/indy-eleven-vs-north-carolina-fc-from-april-27-2024/")</f>
        <v>https://www.wishtv.com/sports/indy-eleven/indy-eleven-vs-north-carolina-fc-from-april-27-2024/</v>
      </c>
      <c r="C9" s="2" t="s">
        <v>109</v>
      </c>
      <c r="D9" s="2" t="s">
        <v>38</v>
      </c>
      <c r="E9" s="5">
        <v>45411.38212962963</v>
      </c>
      <c r="F9" s="2" t="s">
        <v>1528</v>
      </c>
      <c r="G9" s="2">
        <v>568116</v>
      </c>
      <c r="H9" s="2">
        <v>0</v>
      </c>
      <c r="I9" s="2">
        <v>0</v>
      </c>
      <c r="J9" s="2">
        <v>0</v>
      </c>
      <c r="K9" s="2" t="s">
        <v>47</v>
      </c>
      <c r="L9" s="4">
        <v>5255.07</v>
      </c>
      <c r="M9" s="2"/>
      <c r="N9" t="s">
        <v>4458</v>
      </c>
    </row>
    <row r="10" spans="1:14" ht="409.6" x14ac:dyDescent="0.3">
      <c r="A10" s="2" t="s">
        <v>1529</v>
      </c>
      <c r="B10" s="2" t="str">
        <f>HYPERLINK("https://wibc.com/playlist/tony-katz-and-the-morning-news-2nd-hr-4-29-24-vision-zero-owner-of-indy-eleven-ersal-ozdemir-kristi-noem-future-of-indianapolis/")</f>
        <v>https://wibc.com/playlist/tony-katz-and-the-morning-news-2nd-hr-4-29-24-vision-zero-owner-of-indy-eleven-ersal-ozdemir-kristi-noem-future-of-indianapolis/</v>
      </c>
      <c r="C10" s="2"/>
      <c r="D10" s="2" t="s">
        <v>322</v>
      </c>
      <c r="E10" s="5">
        <v>45411.346180555563</v>
      </c>
      <c r="F10" s="2" t="s">
        <v>1530</v>
      </c>
      <c r="G10" s="2">
        <v>42815</v>
      </c>
      <c r="H10" s="2">
        <v>0</v>
      </c>
      <c r="I10" s="2">
        <v>0</v>
      </c>
      <c r="J10" s="2">
        <v>0</v>
      </c>
      <c r="K10" s="2" t="s">
        <v>25</v>
      </c>
      <c r="L10" s="4">
        <v>396.04</v>
      </c>
      <c r="M10" s="2"/>
      <c r="N10" t="s">
        <v>4458</v>
      </c>
    </row>
    <row r="11" spans="1:14" ht="66" x14ac:dyDescent="0.3">
      <c r="A11" s="2" t="s">
        <v>1531</v>
      </c>
      <c r="B11" s="2" t="str">
        <f>HYPERLINK("https://www.wishtv.com/contests/win-tickets-to-see-the-indy-eleven-play-at-home-may-18th/")</f>
        <v>https://www.wishtv.com/contests/win-tickets-to-see-the-indy-eleven-play-at-home-may-18th/</v>
      </c>
      <c r="C11" s="2" t="s">
        <v>55</v>
      </c>
      <c r="D11" s="2" t="s">
        <v>38</v>
      </c>
      <c r="E11" s="5">
        <v>45411.333333333343</v>
      </c>
      <c r="F11" s="2"/>
      <c r="G11" s="2">
        <v>568116</v>
      </c>
      <c r="H11" s="2">
        <v>0</v>
      </c>
      <c r="I11" s="2">
        <v>0</v>
      </c>
      <c r="J11" s="2">
        <v>0</v>
      </c>
      <c r="K11" s="2"/>
      <c r="L11" s="4">
        <v>5255.07</v>
      </c>
      <c r="M11" s="2"/>
      <c r="N11" t="s">
        <v>4458</v>
      </c>
    </row>
    <row r="12" spans="1:14" ht="409.6" x14ac:dyDescent="0.3">
      <c r="A12" s="2" t="s">
        <v>1532</v>
      </c>
      <c r="B12" s="2" t="str">
        <f>HYPERLINK("https://www.backheeled.com/usl-power-rankings-dark-day-for-indy-eleven-goals-galore-more-from-week-8/")</f>
        <v>https://www.backheeled.com/usl-power-rankings-dark-day-for-indy-eleven-goals-galore-more-from-week-8/</v>
      </c>
      <c r="C12" s="2" t="s">
        <v>446</v>
      </c>
      <c r="D12" s="2" t="s">
        <v>447</v>
      </c>
      <c r="E12" s="5">
        <v>45410.692939814813</v>
      </c>
      <c r="F12" s="2" t="s">
        <v>1533</v>
      </c>
      <c r="G12" s="2">
        <v>24778</v>
      </c>
      <c r="H12" s="2">
        <v>0</v>
      </c>
      <c r="I12" s="2">
        <v>0</v>
      </c>
      <c r="J12" s="2">
        <v>0</v>
      </c>
      <c r="K12" s="2" t="s">
        <v>25</v>
      </c>
      <c r="L12" s="4">
        <v>229.2</v>
      </c>
      <c r="M12" s="2"/>
      <c r="N12" t="s">
        <v>4457</v>
      </c>
    </row>
    <row r="13" spans="1:14" ht="409.6" x14ac:dyDescent="0.3">
      <c r="A13" s="2" t="s">
        <v>1534</v>
      </c>
      <c r="B13" s="2" t="str">
        <f>HYPERLINK("https://importantville.substack.com/p/inside-the-dispute-between-indy-eleven")</f>
        <v>https://importantville.substack.com/p/inside-the-dispute-between-indy-eleven</v>
      </c>
      <c r="C13" s="2" t="s">
        <v>1535</v>
      </c>
      <c r="D13" s="2" t="s">
        <v>1536</v>
      </c>
      <c r="E13" s="5">
        <v>45410.546805555547</v>
      </c>
      <c r="F13" s="2" t="s">
        <v>1537</v>
      </c>
      <c r="G13" s="2">
        <v>519</v>
      </c>
      <c r="H13" s="2">
        <v>0</v>
      </c>
      <c r="I13" s="2">
        <v>0</v>
      </c>
      <c r="J13" s="2">
        <v>0</v>
      </c>
      <c r="K13" s="2" t="s">
        <v>47</v>
      </c>
      <c r="L13" s="4">
        <v>4.8</v>
      </c>
      <c r="M13" s="2"/>
      <c r="N13" t="s">
        <v>4458</v>
      </c>
    </row>
    <row r="14" spans="1:14" ht="290.39999999999998" x14ac:dyDescent="0.3">
      <c r="A14" s="2" t="s">
        <v>1538</v>
      </c>
      <c r="B14" s="2" t="str">
        <f>HYPERLINK("https://www.nuvo.net/sports/slideshow-emotional-week-ends-in-indy-elevens-first-home-win-of-the-season/collection_78f84fd2-05ad-11ef-af6a-db9d4c69223b.html")</f>
        <v>https://www.nuvo.net/sports/slideshow-emotional-week-ends-in-indy-elevens-first-home-win-of-the-season/collection_78f84fd2-05ad-11ef-af6a-db9d4c69223b.html</v>
      </c>
      <c r="C14" s="2" t="s">
        <v>112</v>
      </c>
      <c r="D14" s="2" t="s">
        <v>113</v>
      </c>
      <c r="E14" s="5">
        <v>45410</v>
      </c>
      <c r="F14" s="2" t="s">
        <v>1539</v>
      </c>
      <c r="G14" s="2">
        <v>8756</v>
      </c>
      <c r="H14" s="2">
        <v>0</v>
      </c>
      <c r="I14" s="2">
        <v>0</v>
      </c>
      <c r="J14" s="2">
        <v>0</v>
      </c>
      <c r="K14" s="2" t="s">
        <v>25</v>
      </c>
      <c r="L14" s="4">
        <v>80.989999999999995</v>
      </c>
      <c r="M14" s="2"/>
      <c r="N14" t="s">
        <v>4458</v>
      </c>
    </row>
    <row r="15" spans="1:14" ht="409.6" x14ac:dyDescent="0.3">
      <c r="A15" s="2" t="s">
        <v>1540</v>
      </c>
      <c r="B15" s="2" t="str">
        <f>HYPERLINK("https://www.oursportscentral.com/services/releases/4-27-2024-indy-eleven-vs-north-carolina-fc--game-highlights/n-6086288")</f>
        <v>https://www.oursportscentral.com/services/releases/4-27-2024-indy-eleven-vs-north-carolina-fc--game-highlights/n-6086288</v>
      </c>
      <c r="C15" s="2"/>
      <c r="D15" s="2" t="s">
        <v>24</v>
      </c>
      <c r="E15" s="5">
        <v>45409.789583333331</v>
      </c>
      <c r="F15" s="2" t="s">
        <v>1541</v>
      </c>
      <c r="G15" s="2">
        <v>40402</v>
      </c>
      <c r="H15" s="2">
        <v>0</v>
      </c>
      <c r="I15" s="2">
        <v>0</v>
      </c>
      <c r="J15" s="2">
        <v>0</v>
      </c>
      <c r="K15" s="2" t="s">
        <v>25</v>
      </c>
      <c r="L15" s="4">
        <v>373.72</v>
      </c>
      <c r="M15" s="2"/>
      <c r="N15" t="s">
        <v>4457</v>
      </c>
    </row>
    <row r="16" spans="1:14" ht="409.6" x14ac:dyDescent="0.3">
      <c r="A16" s="2" t="s">
        <v>34</v>
      </c>
      <c r="B16" s="2" t="str">
        <f>HYPERLINK("https://www.heraldbulletin.com/sports/coming-up/article_6c31d3b8-0409-11ef-ab5e-9b30d6901e77.html")</f>
        <v>https://www.heraldbulletin.com/sports/coming-up/article_6c31d3b8-0409-11ef-ab5e-9b30d6901e77.html</v>
      </c>
      <c r="C16" s="2"/>
      <c r="D16" s="2" t="s">
        <v>35</v>
      </c>
      <c r="E16" s="5">
        <v>45409.295810185176</v>
      </c>
      <c r="F16" s="2" t="s">
        <v>1543</v>
      </c>
      <c r="G16" s="2">
        <v>50260</v>
      </c>
      <c r="H16" s="2">
        <v>0</v>
      </c>
      <c r="I16" s="2">
        <v>0</v>
      </c>
      <c r="J16" s="2">
        <v>3</v>
      </c>
      <c r="K16" s="2" t="s">
        <v>25</v>
      </c>
      <c r="L16" s="4">
        <v>464.9</v>
      </c>
      <c r="M16" s="2"/>
      <c r="N16" t="s">
        <v>4458</v>
      </c>
    </row>
    <row r="17" spans="1:14" ht="409.6" x14ac:dyDescent="0.3">
      <c r="A17" s="2" t="s">
        <v>1544</v>
      </c>
      <c r="B17" s="2" t="str">
        <f>HYPERLINK("https://www.wrtv.com/news/local-news/questions-remain-for-the-future-of-indy-eleven-eleven-park-after-city-announces-bid-for-mls-team")</f>
        <v>https://www.wrtv.com/news/local-news/questions-remain-for-the-future-of-indy-eleven-eleven-park-after-city-announces-bid-for-mls-team</v>
      </c>
      <c r="C17" s="2" t="s">
        <v>1511</v>
      </c>
      <c r="D17" s="2" t="s">
        <v>725</v>
      </c>
      <c r="E17" s="5">
        <v>45408.759872685187</v>
      </c>
      <c r="F17" s="2" t="s">
        <v>1545</v>
      </c>
      <c r="G17" s="2">
        <v>290626</v>
      </c>
      <c r="H17" s="2">
        <v>0</v>
      </c>
      <c r="I17" s="2">
        <v>0</v>
      </c>
      <c r="J17" s="2">
        <v>0</v>
      </c>
      <c r="K17" s="2" t="s">
        <v>31</v>
      </c>
      <c r="L17" s="4">
        <v>2688.29</v>
      </c>
      <c r="M17" s="2"/>
      <c r="N17" t="s">
        <v>4458</v>
      </c>
    </row>
    <row r="18" spans="1:14" ht="409.6" x14ac:dyDescent="0.3">
      <c r="A18" s="2" t="s">
        <v>1546</v>
      </c>
      <c r="B18" s="2" t="str">
        <f>HYPERLINK("https://sports.yahoo.com/club-brickyard-battalion-hurt-indy-182403306.html")</f>
        <v>https://sports.yahoo.com/club-brickyard-battalion-hurt-indy-182403306.html</v>
      </c>
      <c r="C18" s="2" t="s">
        <v>664</v>
      </c>
      <c r="D18" s="2" t="s">
        <v>137</v>
      </c>
      <c r="E18" s="5">
        <v>45408.639456018522</v>
      </c>
      <c r="F18" s="2" t="s">
        <v>1547</v>
      </c>
      <c r="G18" s="2">
        <v>23172409</v>
      </c>
      <c r="H18" s="2">
        <v>0</v>
      </c>
      <c r="I18" s="2">
        <v>0</v>
      </c>
      <c r="J18" s="2">
        <v>0</v>
      </c>
      <c r="K18" s="2" t="s">
        <v>47</v>
      </c>
      <c r="L18" s="4">
        <v>214344.78</v>
      </c>
      <c r="M18" s="2"/>
      <c r="N18" t="s">
        <v>4457</v>
      </c>
    </row>
    <row r="19" spans="1:14" ht="409.6" x14ac:dyDescent="0.3">
      <c r="A19" s="2" t="s">
        <v>1546</v>
      </c>
      <c r="B19" s="2" t="str">
        <f>HYPERLINK("https://www.indystar.com/story/sports/2024/04/26/brickyard-battalion-hurt-by-indys-pursuit-of-mls-team-without-them/73470598007/")</f>
        <v>https://www.indystar.com/story/sports/2024/04/26/brickyard-battalion-hurt-by-indys-pursuit-of-mls-team-without-them/73470598007/</v>
      </c>
      <c r="C19" s="2" t="s">
        <v>664</v>
      </c>
      <c r="D19" s="2" t="s">
        <v>321</v>
      </c>
      <c r="E19" s="5">
        <v>45408.600034722222</v>
      </c>
      <c r="F19" s="2" t="s">
        <v>1547</v>
      </c>
      <c r="G19" s="2">
        <v>3061566</v>
      </c>
      <c r="H19" s="2"/>
      <c r="I19" s="2"/>
      <c r="J19" s="2"/>
      <c r="K19" s="2" t="s">
        <v>47</v>
      </c>
      <c r="L19" s="4">
        <v>28319.49</v>
      </c>
      <c r="M19" s="2"/>
      <c r="N19" t="s">
        <v>4458</v>
      </c>
    </row>
    <row r="20" spans="1:14" ht="409.6" x14ac:dyDescent="0.3">
      <c r="A20" s="2" t="s">
        <v>1548</v>
      </c>
      <c r="B20" s="2" t="str">
        <f>HYPERLINK("https://praiseindy.com/3688346/hogsett-future-of-eleven-park-is-up-to-indy-eleven-erzal-ozdemir/")</f>
        <v>https://praiseindy.com/3688346/hogsett-future-of-eleven-park-is-up-to-indy-eleven-erzal-ozdemir/</v>
      </c>
      <c r="C20" s="2" t="s">
        <v>713</v>
      </c>
      <c r="D20" s="2" t="s">
        <v>504</v>
      </c>
      <c r="E20" s="5">
        <v>45408.505659722221</v>
      </c>
      <c r="F20" s="2" t="s">
        <v>1549</v>
      </c>
      <c r="G20" s="2">
        <v>5231</v>
      </c>
      <c r="H20" s="2"/>
      <c r="I20" s="2"/>
      <c r="J20" s="2"/>
      <c r="K20" s="2" t="s">
        <v>31</v>
      </c>
      <c r="L20" s="4">
        <v>48.39</v>
      </c>
      <c r="M20" s="2"/>
      <c r="N20" t="s">
        <v>4458</v>
      </c>
    </row>
    <row r="21" spans="1:14" ht="356.4" x14ac:dyDescent="0.3">
      <c r="A21" s="2" t="s">
        <v>1548</v>
      </c>
      <c r="B21" s="2" t="str">
        <f>HYPERLINK("https://wtlcfm.com/3864089/hogsett-future-of-eleven-park-is-up-to-indy-eleven-erzal-ozdemir/")</f>
        <v>https://wtlcfm.com/3864089/hogsett-future-of-eleven-park-is-up-to-indy-eleven-erzal-ozdemir/</v>
      </c>
      <c r="C21" s="2" t="s">
        <v>713</v>
      </c>
      <c r="D21" s="2" t="s">
        <v>515</v>
      </c>
      <c r="E21" s="5">
        <v>45408.500462962962</v>
      </c>
      <c r="F21" s="2" t="s">
        <v>1550</v>
      </c>
      <c r="G21" s="2">
        <v>7794</v>
      </c>
      <c r="H21" s="2">
        <v>0</v>
      </c>
      <c r="I21" s="2">
        <v>0</v>
      </c>
      <c r="J21" s="2">
        <v>0</v>
      </c>
      <c r="K21" s="2" t="s">
        <v>31</v>
      </c>
      <c r="L21" s="4">
        <v>72.09</v>
      </c>
      <c r="M21" s="2"/>
      <c r="N21" t="s">
        <v>4458</v>
      </c>
    </row>
    <row r="22" spans="1:14" ht="409.6" x14ac:dyDescent="0.3">
      <c r="A22" s="2" t="s">
        <v>1551</v>
      </c>
      <c r="B22" s="2" t="str">
        <f>HYPERLINK("https://www.oursportscentral.com/services/releases/ncfc-travel-to-indy-eleven/n-6085716")</f>
        <v>https://www.oursportscentral.com/services/releases/ncfc-travel-to-indy-eleven/n-6085716</v>
      </c>
      <c r="C22" s="2"/>
      <c r="D22" s="2" t="s">
        <v>24</v>
      </c>
      <c r="E22" s="5">
        <v>45408.481249999997</v>
      </c>
      <c r="F22" s="2" t="s">
        <v>1552</v>
      </c>
      <c r="G22" s="2">
        <v>40402</v>
      </c>
      <c r="H22" s="2">
        <v>0</v>
      </c>
      <c r="I22" s="2">
        <v>0</v>
      </c>
      <c r="J22" s="2">
        <v>0</v>
      </c>
      <c r="K22" s="2" t="s">
        <v>25</v>
      </c>
      <c r="L22" s="4">
        <v>373.72</v>
      </c>
      <c r="M22" s="2"/>
      <c r="N22" t="s">
        <v>4457</v>
      </c>
    </row>
    <row r="23" spans="1:14" ht="409.6" x14ac:dyDescent="0.3">
      <c r="A23" s="2" t="s">
        <v>1555</v>
      </c>
      <c r="B23" s="2" t="str">
        <f>HYPERLINK("https://www.mywabashvalley.com/news/indiana-news/developer-claims-city-is-backing-out-of-indy-eleven-stadium-deal-hogsett-denies-allegations/")</f>
        <v>https://www.mywabashvalley.com/news/indiana-news/developer-claims-city-is-backing-out-of-indy-eleven-stadium-deal-hogsett-denies-allegations/</v>
      </c>
      <c r="C23" s="2" t="s">
        <v>1556</v>
      </c>
      <c r="D23" s="2" t="s">
        <v>1134</v>
      </c>
      <c r="E23" s="5">
        <v>45408.465173611112</v>
      </c>
      <c r="F23" s="2" t="s">
        <v>1557</v>
      </c>
      <c r="G23" s="2">
        <v>65330</v>
      </c>
      <c r="H23" s="2">
        <v>0</v>
      </c>
      <c r="I23" s="2">
        <v>0</v>
      </c>
      <c r="J23" s="2">
        <v>0</v>
      </c>
      <c r="K23" s="2" t="s">
        <v>47</v>
      </c>
      <c r="L23" s="4">
        <v>604.29999999999995</v>
      </c>
      <c r="M23" s="2"/>
      <c r="N23" t="s">
        <v>4458</v>
      </c>
    </row>
    <row r="24" spans="1:14" ht="356.4" x14ac:dyDescent="0.3">
      <c r="A24" s="2" t="s">
        <v>1548</v>
      </c>
      <c r="B24" s="2" t="str">
        <f>HYPERLINK("https://1075thefan.com/302782/hogsett-future-of-eleven-park-is-up-to-indy-eleven-erzal-ozdemir/")</f>
        <v>https://1075thefan.com/302782/hogsett-future-of-eleven-park-is-up-to-indy-eleven-erzal-ozdemir/</v>
      </c>
      <c r="C24" s="2" t="s">
        <v>713</v>
      </c>
      <c r="D24" s="2" t="s">
        <v>75</v>
      </c>
      <c r="E24" s="5">
        <v>45408.372337962966</v>
      </c>
      <c r="F24" s="2" t="s">
        <v>1550</v>
      </c>
      <c r="G24" s="2">
        <v>208881</v>
      </c>
      <c r="H24" s="2">
        <v>0</v>
      </c>
      <c r="I24" s="2">
        <v>0</v>
      </c>
      <c r="J24" s="2">
        <v>0</v>
      </c>
      <c r="K24" s="2" t="s">
        <v>31</v>
      </c>
      <c r="L24" s="4">
        <v>1932.15</v>
      </c>
      <c r="M24" s="2"/>
      <c r="N24" t="s">
        <v>4458</v>
      </c>
    </row>
    <row r="25" spans="1:14" ht="356.4" x14ac:dyDescent="0.3">
      <c r="A25" s="2" t="s">
        <v>1548</v>
      </c>
      <c r="B25" s="2" t="str">
        <f>HYPERLINK("https://wibc.com/326934/hogsett-future-of-eleven-park-is-up-to-indy-eleven-erzal-ozdemir/")</f>
        <v>https://wibc.com/326934/hogsett-future-of-eleven-park-is-up-to-indy-eleven-erzal-ozdemir/</v>
      </c>
      <c r="C25" s="2" t="s">
        <v>713</v>
      </c>
      <c r="D25" s="2" t="s">
        <v>322</v>
      </c>
      <c r="E25" s="5">
        <v>45408.359699074077</v>
      </c>
      <c r="F25" s="2" t="s">
        <v>1550</v>
      </c>
      <c r="G25" s="2">
        <v>42815</v>
      </c>
      <c r="H25" s="2">
        <v>0</v>
      </c>
      <c r="I25" s="2">
        <v>0</v>
      </c>
      <c r="J25" s="2">
        <v>0</v>
      </c>
      <c r="K25" s="2" t="s">
        <v>31</v>
      </c>
      <c r="L25" s="4">
        <v>396.04</v>
      </c>
      <c r="M25" s="2"/>
      <c r="N25" t="s">
        <v>4458</v>
      </c>
    </row>
    <row r="26" spans="1:14" ht="409.6" x14ac:dyDescent="0.3">
      <c r="A26" s="2" t="s">
        <v>34</v>
      </c>
      <c r="B26" s="2" t="str">
        <f>HYPERLINK("https://www.heraldbulletin.com/sports/coming-up/article_b63d728a-032a-11ef-a491-531d66fcb4fb.html")</f>
        <v>https://www.heraldbulletin.com/sports/coming-up/article_b63d728a-032a-11ef-a491-531d66fcb4fb.html</v>
      </c>
      <c r="C26" s="2"/>
      <c r="D26" s="2" t="s">
        <v>35</v>
      </c>
      <c r="E26" s="5">
        <v>45408.303043981483</v>
      </c>
      <c r="F26" s="2" t="s">
        <v>1543</v>
      </c>
      <c r="G26" s="2">
        <v>50260</v>
      </c>
      <c r="H26" s="2">
        <v>0</v>
      </c>
      <c r="I26" s="2">
        <v>0</v>
      </c>
      <c r="J26" s="2">
        <v>1</v>
      </c>
      <c r="K26" s="2" t="s">
        <v>25</v>
      </c>
      <c r="L26" s="4">
        <v>464.9</v>
      </c>
      <c r="M26" s="2"/>
      <c r="N26" t="s">
        <v>4458</v>
      </c>
    </row>
    <row r="27" spans="1:14" ht="330" x14ac:dyDescent="0.3">
      <c r="A27" s="2" t="s">
        <v>1558</v>
      </c>
      <c r="B27" s="2" t="str">
        <f>HYPERLINK("https://www.axios.com/local/indianapolis/2024/04/26/weekend-things-to-do-symphony-on-the-circle-viking-fest-comedy")</f>
        <v>https://www.axios.com/local/indianapolis/2024/04/26/weekend-things-to-do-symphony-on-the-circle-viking-fest-comedy</v>
      </c>
      <c r="C27" s="2" t="s">
        <v>356</v>
      </c>
      <c r="D27" s="2" t="s">
        <v>144</v>
      </c>
      <c r="E27" s="5">
        <v>45408.280682870369</v>
      </c>
      <c r="F27" s="2" t="s">
        <v>1559</v>
      </c>
      <c r="G27" s="2">
        <v>14450483</v>
      </c>
      <c r="H27" s="2">
        <v>0</v>
      </c>
      <c r="I27" s="2">
        <v>0</v>
      </c>
      <c r="J27" s="2">
        <v>0</v>
      </c>
      <c r="K27" s="2" t="s">
        <v>25</v>
      </c>
      <c r="L27" s="4">
        <v>133666.97</v>
      </c>
      <c r="M27" s="2"/>
      <c r="N27" t="s">
        <v>4458</v>
      </c>
    </row>
    <row r="28" spans="1:14" ht="409.6" x14ac:dyDescent="0.3">
      <c r="A28" s="2" t="s">
        <v>1560</v>
      </c>
      <c r="B28" s="2" t="str">
        <f>HYPERLINK("https://sports.yahoo.com/briggs-dont-weep-indy-eleven-101033013.html")</f>
        <v>https://sports.yahoo.com/briggs-dont-weep-indy-eleven-101033013.html</v>
      </c>
      <c r="C28" s="2" t="s">
        <v>1084</v>
      </c>
      <c r="D28" s="2" t="s">
        <v>137</v>
      </c>
      <c r="E28" s="5">
        <v>45408.257326388892</v>
      </c>
      <c r="F28" s="2" t="s">
        <v>1561</v>
      </c>
      <c r="G28" s="2">
        <v>23172409</v>
      </c>
      <c r="H28" s="2">
        <v>0</v>
      </c>
      <c r="I28" s="2">
        <v>0</v>
      </c>
      <c r="J28" s="2">
        <v>0</v>
      </c>
      <c r="K28" s="2" t="s">
        <v>25</v>
      </c>
      <c r="L28" s="4">
        <v>214344.78</v>
      </c>
      <c r="M28" s="2"/>
      <c r="N28" t="s">
        <v>4457</v>
      </c>
    </row>
    <row r="29" spans="1:14" ht="409.6" x14ac:dyDescent="0.3">
      <c r="A29" s="2" t="s">
        <v>1562</v>
      </c>
      <c r="B29" s="2" t="str">
        <f>HYPERLINK("https://www.indystar.com/story/opinion/columnists/james-briggs/2024/04/26/mayor-joe-hogsett-right-to-chase-mls-without-ersal-ozdemir-indy-eleven/73463023007/")</f>
        <v>https://www.indystar.com/story/opinion/columnists/james-briggs/2024/04/26/mayor-joe-hogsett-right-to-chase-mls-without-ersal-ozdemir-indy-eleven/73463023007/</v>
      </c>
      <c r="C29" s="2" t="s">
        <v>1084</v>
      </c>
      <c r="D29" s="2" t="s">
        <v>321</v>
      </c>
      <c r="E29" s="5">
        <v>45408.257326388892</v>
      </c>
      <c r="F29" s="2" t="s">
        <v>1563</v>
      </c>
      <c r="G29" s="2">
        <v>3061566</v>
      </c>
      <c r="H29" s="2">
        <v>0</v>
      </c>
      <c r="I29" s="2">
        <v>0</v>
      </c>
      <c r="J29" s="2">
        <v>25</v>
      </c>
      <c r="K29" s="2" t="s">
        <v>25</v>
      </c>
      <c r="L29" s="4">
        <v>28319.49</v>
      </c>
      <c r="M29" s="2"/>
      <c r="N29" t="s">
        <v>4458</v>
      </c>
    </row>
    <row r="30" spans="1:14" ht="409.6" x14ac:dyDescent="0.3">
      <c r="A30" s="2" t="s">
        <v>1566</v>
      </c>
      <c r="B30" s="2" t="str">
        <f>HYPERLINK("https://www.usltactics.com/p/on-indy-eleven")</f>
        <v>https://www.usltactics.com/p/on-indy-eleven</v>
      </c>
      <c r="C30" s="2" t="s">
        <v>446</v>
      </c>
      <c r="D30" s="2" t="s">
        <v>1542</v>
      </c>
      <c r="E30" s="5">
        <v>45407.806539351863</v>
      </c>
      <c r="F30" s="2" t="s">
        <v>1567</v>
      </c>
      <c r="G30" s="2"/>
      <c r="H30" s="2">
        <v>1</v>
      </c>
      <c r="I30" s="2">
        <v>20012</v>
      </c>
      <c r="J30" s="2">
        <v>1</v>
      </c>
      <c r="K30" s="2" t="s">
        <v>31</v>
      </c>
      <c r="L30" s="2"/>
      <c r="M30" s="2"/>
      <c r="N30" t="s">
        <v>4457</v>
      </c>
    </row>
    <row r="31" spans="1:14" ht="330" x14ac:dyDescent="0.3">
      <c r="A31" s="2" t="s">
        <v>1568</v>
      </c>
      <c r="B31" s="2" t="str">
        <f>HYPERLINK("https://mirrorindy.org/indy-eleven-soccer-park-indianapolis-keystone-mayor-joe-hogsett-keystone/")</f>
        <v>https://mirrorindy.org/indy-eleven-soccer-park-indianapolis-keystone-mayor-joe-hogsett-keystone/</v>
      </c>
      <c r="C31" s="2" t="s">
        <v>1569</v>
      </c>
      <c r="D31" s="2" t="s">
        <v>132</v>
      </c>
      <c r="E31" s="5">
        <v>45407.688946759263</v>
      </c>
      <c r="F31" s="2" t="s">
        <v>1570</v>
      </c>
      <c r="G31" s="2">
        <v>29972</v>
      </c>
      <c r="H31" s="2">
        <v>1</v>
      </c>
      <c r="I31" s="2">
        <v>1386</v>
      </c>
      <c r="J31" s="2">
        <v>1</v>
      </c>
      <c r="K31" s="2" t="s">
        <v>47</v>
      </c>
      <c r="L31" s="4">
        <v>277.24</v>
      </c>
      <c r="M31" s="2"/>
      <c r="N31" t="s">
        <v>4457</v>
      </c>
    </row>
    <row r="32" spans="1:14" ht="409.6" x14ac:dyDescent="0.3">
      <c r="A32" s="2" t="s">
        <v>1571</v>
      </c>
      <c r="B32" s="2" t="str">
        <f>HYPERLINK("https://upstract.com/x/369ddefca80db903")</f>
        <v>https://upstract.com/x/369ddefca80db903</v>
      </c>
      <c r="C32" s="2"/>
      <c r="D32" s="2" t="s">
        <v>1572</v>
      </c>
      <c r="E32" s="5">
        <v>45407.636840277781</v>
      </c>
      <c r="F32" s="2" t="s">
        <v>1573</v>
      </c>
      <c r="G32" s="2">
        <v>21797</v>
      </c>
      <c r="H32" s="2">
        <v>0</v>
      </c>
      <c r="I32" s="2">
        <v>0</v>
      </c>
      <c r="J32" s="2">
        <v>0</v>
      </c>
      <c r="K32" s="2" t="s">
        <v>47</v>
      </c>
      <c r="L32" s="4">
        <v>201.62</v>
      </c>
      <c r="M32" s="2"/>
      <c r="N32" t="s">
        <v>4459</v>
      </c>
    </row>
    <row r="33" spans="1:14" ht="158.4" x14ac:dyDescent="0.3">
      <c r="A33" s="2" t="s">
        <v>1571</v>
      </c>
      <c r="B33" s="2" t="str">
        <f>HYPERLINK("https://www.yahoo.com/news/keystone-accuses-hogsett-administration-trying-181315568.html")</f>
        <v>https://www.yahoo.com/news/keystone-accuses-hogsett-administration-trying-181315568.html</v>
      </c>
      <c r="C33" s="2" t="s">
        <v>1023</v>
      </c>
      <c r="D33" s="2" t="s">
        <v>435</v>
      </c>
      <c r="E33" s="5">
        <v>45407.635567129633</v>
      </c>
      <c r="F33" s="2" t="s">
        <v>1574</v>
      </c>
      <c r="G33" s="2">
        <v>372878377</v>
      </c>
      <c r="H33" s="2">
        <v>0</v>
      </c>
      <c r="I33" s="2">
        <v>0</v>
      </c>
      <c r="J33" s="2">
        <v>0</v>
      </c>
      <c r="K33" s="2" t="s">
        <v>47</v>
      </c>
      <c r="L33" s="4">
        <v>3449124.99</v>
      </c>
      <c r="M33" s="2"/>
      <c r="N33" t="s">
        <v>4457</v>
      </c>
    </row>
    <row r="34" spans="1:14" ht="409.6" x14ac:dyDescent="0.3">
      <c r="A34" s="2" t="s">
        <v>1575</v>
      </c>
      <c r="B34" s="2" t="str">
        <f>HYPERLINK("https://fox59.com/indiana-news/developer-claims-city-is-backing-out-of-indy-eleven-stadium-deal-as-mayor-joe-hogsett-plans-major-sports-announcement/")</f>
        <v>https://fox59.com/indiana-news/developer-claims-city-is-backing-out-of-indy-eleven-stadium-deal-as-mayor-joe-hogsett-plans-major-sports-announcement/</v>
      </c>
      <c r="C34" s="2" t="s">
        <v>1556</v>
      </c>
      <c r="D34" s="2" t="s">
        <v>147</v>
      </c>
      <c r="E34" s="5">
        <v>45407.600601851853</v>
      </c>
      <c r="F34" s="2" t="s">
        <v>1576</v>
      </c>
      <c r="G34" s="2">
        <v>1351925</v>
      </c>
      <c r="H34" s="2">
        <v>1</v>
      </c>
      <c r="I34" s="2">
        <v>2584</v>
      </c>
      <c r="J34" s="2">
        <v>8</v>
      </c>
      <c r="K34" s="2" t="s">
        <v>25</v>
      </c>
      <c r="L34" s="4">
        <v>12505.31</v>
      </c>
      <c r="M34" s="2"/>
      <c r="N34" t="s">
        <v>4458</v>
      </c>
    </row>
    <row r="35" spans="1:14" ht="409.6" x14ac:dyDescent="0.3">
      <c r="A35" s="2" t="s">
        <v>1577</v>
      </c>
      <c r="B35" s="2" t="str">
        <f>HYPERLINK("https://cbs4indy.com/news/developer-claims-city-is-backing-out-of-indy-eleven-stadium-deal-as-mayor-joe-hogsett-plans-major-sports-announcement/")</f>
        <v>https://cbs4indy.com/news/developer-claims-city-is-backing-out-of-indy-eleven-stadium-deal-as-mayor-joe-hogsett-plans-major-sports-announcement/</v>
      </c>
      <c r="C35" s="2" t="s">
        <v>1556</v>
      </c>
      <c r="D35" s="2" t="s">
        <v>146</v>
      </c>
      <c r="E35" s="5">
        <v>45407.595821759263</v>
      </c>
      <c r="F35" s="2" t="s">
        <v>1557</v>
      </c>
      <c r="G35" s="2">
        <v>153722</v>
      </c>
      <c r="H35" s="2">
        <v>0</v>
      </c>
      <c r="I35" s="2">
        <v>0</v>
      </c>
      <c r="J35" s="2">
        <v>0</v>
      </c>
      <c r="K35" s="2" t="s">
        <v>25</v>
      </c>
      <c r="L35" s="4">
        <v>1421.93</v>
      </c>
      <c r="M35" s="2"/>
      <c r="N35" t="s">
        <v>4458</v>
      </c>
    </row>
    <row r="36" spans="1:14" ht="409.6" x14ac:dyDescent="0.3">
      <c r="A36" s="2" t="s">
        <v>1555</v>
      </c>
      <c r="B36" s="2" t="str">
        <f>HYPERLINK("https://cbs4indy.com/sports/developer-claims-city-is-backing-out-of-indy-eleven-stadium-deal-as-mayor-joe-hogsett-plans-major-sports-announcement/")</f>
        <v>https://cbs4indy.com/sports/developer-claims-city-is-backing-out-of-indy-eleven-stadium-deal-as-mayor-joe-hogsett-plans-major-sports-announcement/</v>
      </c>
      <c r="C36" s="2" t="s">
        <v>1556</v>
      </c>
      <c r="D36" s="2" t="s">
        <v>146</v>
      </c>
      <c r="E36" s="5">
        <v>45407.594178240739</v>
      </c>
      <c r="F36" s="2" t="s">
        <v>1557</v>
      </c>
      <c r="G36" s="2">
        <v>153722</v>
      </c>
      <c r="H36" s="2">
        <v>0</v>
      </c>
      <c r="I36" s="2">
        <v>0</v>
      </c>
      <c r="J36" s="2">
        <v>0</v>
      </c>
      <c r="K36" s="2" t="s">
        <v>47</v>
      </c>
      <c r="L36" s="4">
        <v>1421.93</v>
      </c>
      <c r="M36" s="2"/>
      <c r="N36" t="s">
        <v>4458</v>
      </c>
    </row>
    <row r="37" spans="1:14" ht="158.4" x14ac:dyDescent="0.3">
      <c r="A37" s="2" t="s">
        <v>1571</v>
      </c>
      <c r="B37" s="2" t="str">
        <f>HYPERLINK("https://news.yahoo.com/keystone-accuses-hogsett-administration-trying-181315568.html")</f>
        <v>https://news.yahoo.com/keystone-accuses-hogsett-administration-trying-181315568.html</v>
      </c>
      <c r="C37" s="2" t="s">
        <v>1023</v>
      </c>
      <c r="D37" s="2" t="s">
        <v>436</v>
      </c>
      <c r="E37" s="5">
        <v>45407.592534722222</v>
      </c>
      <c r="F37" s="2" t="s">
        <v>1574</v>
      </c>
      <c r="G37" s="2">
        <v>48118472</v>
      </c>
      <c r="H37" s="2">
        <v>0</v>
      </c>
      <c r="I37" s="2">
        <v>0</v>
      </c>
      <c r="J37" s="2">
        <v>0</v>
      </c>
      <c r="K37" s="2" t="s">
        <v>47</v>
      </c>
      <c r="L37" s="4">
        <v>445095.87</v>
      </c>
      <c r="M37" s="2"/>
      <c r="N37" t="s">
        <v>4457</v>
      </c>
    </row>
    <row r="38" spans="1:14" ht="158.4" x14ac:dyDescent="0.3">
      <c r="A38" s="2" t="s">
        <v>1571</v>
      </c>
      <c r="B38" s="2" t="str">
        <f>HYPERLINK("https://www.indystar.com/story/news/local/2024/04/25/keystone-hogsett-administration-trying-to-walk-away-from-eleven-park/73453991007/")</f>
        <v>https://www.indystar.com/story/news/local/2024/04/25/keystone-hogsett-administration-trying-to-walk-away-from-eleven-park/73453991007/</v>
      </c>
      <c r="C38" s="2" t="s">
        <v>1023</v>
      </c>
      <c r="D38" s="2" t="s">
        <v>321</v>
      </c>
      <c r="E38" s="5">
        <v>45407.592534722222</v>
      </c>
      <c r="F38" s="2" t="s">
        <v>1574</v>
      </c>
      <c r="G38" s="2">
        <v>3061566</v>
      </c>
      <c r="H38" s="2">
        <v>6</v>
      </c>
      <c r="I38" s="2">
        <v>46523</v>
      </c>
      <c r="J38" s="2">
        <v>6</v>
      </c>
      <c r="K38" s="2" t="s">
        <v>47</v>
      </c>
      <c r="L38" s="4">
        <v>28319.49</v>
      </c>
      <c r="M38" s="2"/>
      <c r="N38" t="s">
        <v>4458</v>
      </c>
    </row>
    <row r="39" spans="1:14" ht="409.6" x14ac:dyDescent="0.3">
      <c r="A39" s="2" t="s">
        <v>1579</v>
      </c>
      <c r="B39" s="2" t="str">
        <f>HYPERLINK("https://www.insideindianabusiness.com/articles/keystone-says-city-is-backing-out-of-eleven-park-deal-as-mayor-plans-announcement")</f>
        <v>https://www.insideindianabusiness.com/articles/keystone-says-city-is-backing-out-of-eleven-park-deal-as-mayor-plans-announcement</v>
      </c>
      <c r="C39" s="2" t="s">
        <v>267</v>
      </c>
      <c r="D39" s="2" t="s">
        <v>438</v>
      </c>
      <c r="E39" s="5">
        <v>45407.556967592587</v>
      </c>
      <c r="F39" s="2" t="s">
        <v>1580</v>
      </c>
      <c r="G39" s="2">
        <v>78132</v>
      </c>
      <c r="H39" s="2">
        <v>0</v>
      </c>
      <c r="I39" s="2">
        <v>0</v>
      </c>
      <c r="J39" s="2">
        <v>0</v>
      </c>
      <c r="K39" s="2" t="s">
        <v>25</v>
      </c>
      <c r="L39" s="4">
        <v>722.72</v>
      </c>
      <c r="M39" s="2"/>
      <c r="N39" t="s">
        <v>4458</v>
      </c>
    </row>
    <row r="40" spans="1:14" ht="409.6" x14ac:dyDescent="0.3">
      <c r="A40" s="2" t="s">
        <v>1581</v>
      </c>
      <c r="B40" s="2" t="str">
        <f>HYPERLINK("https://www.ibj.com/articles/keystone-claims-city-trying-to-forego-eleven-park-deal")</f>
        <v>https://www.ibj.com/articles/keystone-claims-city-trying-to-forego-eleven-park-deal</v>
      </c>
      <c r="C40" s="2" t="s">
        <v>267</v>
      </c>
      <c r="D40" s="2" t="s">
        <v>268</v>
      </c>
      <c r="E40" s="5">
        <v>45407.5547337963</v>
      </c>
      <c r="F40" s="2" t="s">
        <v>1580</v>
      </c>
      <c r="G40" s="2">
        <v>112057</v>
      </c>
      <c r="H40" s="2">
        <v>8</v>
      </c>
      <c r="I40" s="2">
        <v>54522</v>
      </c>
      <c r="J40" s="2">
        <v>46</v>
      </c>
      <c r="K40" s="2" t="s">
        <v>25</v>
      </c>
      <c r="L40" s="4">
        <v>1036.53</v>
      </c>
      <c r="M40" s="2"/>
      <c r="N40" t="s">
        <v>4458</v>
      </c>
    </row>
    <row r="41" spans="1:14" ht="409.6" x14ac:dyDescent="0.3">
      <c r="A41" s="2" t="s">
        <v>34</v>
      </c>
      <c r="B41" s="2" t="str">
        <f>HYPERLINK("https://www.heraldbulletin.com/sports/coming-up/article_486eb786-0277-11ef-9236-7781b551b6be.html")</f>
        <v>https://www.heraldbulletin.com/sports/coming-up/article_486eb786-0277-11ef-9236-7781b551b6be.html</v>
      </c>
      <c r="C41" s="2"/>
      <c r="D41" s="2" t="s">
        <v>35</v>
      </c>
      <c r="E41" s="5">
        <v>45407.303067129629</v>
      </c>
      <c r="F41" s="2" t="s">
        <v>1543</v>
      </c>
      <c r="G41" s="2">
        <v>50260</v>
      </c>
      <c r="H41" s="2">
        <v>0</v>
      </c>
      <c r="I41" s="2">
        <v>0</v>
      </c>
      <c r="J41" s="2">
        <v>1</v>
      </c>
      <c r="K41" s="2" t="s">
        <v>25</v>
      </c>
      <c r="L41" s="4">
        <v>464.9</v>
      </c>
      <c r="M41" s="2"/>
      <c r="N41" t="s">
        <v>4458</v>
      </c>
    </row>
    <row r="42" spans="1:14" ht="382.8" x14ac:dyDescent="0.3">
      <c r="A42" s="2" t="s">
        <v>34</v>
      </c>
      <c r="B42" s="2" t="str">
        <f>HYPERLINK("https://www.heraldbulletin.com/sports/coming-up/article_1a6e8f30-019d-11ef-8c6e-7f9cc7a860cb.html")</f>
        <v>https://www.heraldbulletin.com/sports/coming-up/article_1a6e8f30-019d-11ef-8c6e-7f9cc7a860cb.html</v>
      </c>
      <c r="C42" s="2"/>
      <c r="D42" s="2" t="s">
        <v>35</v>
      </c>
      <c r="E42" s="5">
        <v>45406.300196759257</v>
      </c>
      <c r="F42" s="2" t="s">
        <v>1582</v>
      </c>
      <c r="G42" s="2">
        <v>50260</v>
      </c>
      <c r="H42" s="2">
        <v>0</v>
      </c>
      <c r="I42" s="2">
        <v>0</v>
      </c>
      <c r="J42" s="2">
        <v>30</v>
      </c>
      <c r="K42" s="2" t="s">
        <v>25</v>
      </c>
      <c r="L42" s="4">
        <v>464.9</v>
      </c>
      <c r="M42" s="2"/>
      <c r="N42" t="s">
        <v>4458</v>
      </c>
    </row>
    <row r="43" spans="1:14" ht="409.6" x14ac:dyDescent="0.3">
      <c r="A43" s="2" t="s">
        <v>1583</v>
      </c>
      <c r="B43" s="2" t="str">
        <f>HYPERLINK("https://footballsierraleone.net/2024/04/23/augustine-williams-rescues-a-point-for-indy-eleven/")</f>
        <v>https://footballsierraleone.net/2024/04/23/augustine-williams-rescues-a-point-for-indy-eleven/</v>
      </c>
      <c r="C43" s="2" t="s">
        <v>790</v>
      </c>
      <c r="D43" s="2" t="s">
        <v>190</v>
      </c>
      <c r="E43" s="5">
        <v>45405.56045138889</v>
      </c>
      <c r="F43" s="2" t="s">
        <v>1584</v>
      </c>
      <c r="G43" s="2">
        <v>991</v>
      </c>
      <c r="H43" s="2"/>
      <c r="I43" s="2"/>
      <c r="J43" s="2"/>
      <c r="K43" s="2" t="s">
        <v>25</v>
      </c>
      <c r="L43" s="4">
        <v>9.17</v>
      </c>
      <c r="M43" s="2"/>
      <c r="N43" t="s">
        <v>4459</v>
      </c>
    </row>
    <row r="44" spans="1:14" ht="79.2" x14ac:dyDescent="0.3">
      <c r="A44" s="2" t="s">
        <v>1583</v>
      </c>
      <c r="B44" s="2" t="str">
        <f>HYPERLINK("https://article.wn.com/view/2024/04/23/Augustine_Williams_rescues_a_point_for_Indy_Eleven/")</f>
        <v>https://article.wn.com/view/2024/04/23/Augustine_Williams_rescues_a_point_for_Indy_Eleven/</v>
      </c>
      <c r="C44" s="2"/>
      <c r="D44" s="2" t="s">
        <v>632</v>
      </c>
      <c r="E44" s="5">
        <v>45405</v>
      </c>
      <c r="F44" s="2"/>
      <c r="G44" s="2">
        <v>185918</v>
      </c>
      <c r="H44" s="2"/>
      <c r="I44" s="2"/>
      <c r="J44" s="2"/>
      <c r="K44" s="2"/>
      <c r="L44" s="4">
        <v>1719.74</v>
      </c>
      <c r="M44" s="2"/>
      <c r="N44" t="s">
        <v>4459</v>
      </c>
    </row>
    <row r="45" spans="1:14" ht="409.6" x14ac:dyDescent="0.3">
      <c r="A45" s="2" t="s">
        <v>1585</v>
      </c>
      <c r="B45" s="2" t="str">
        <f>HYPERLINK("https://sportson.co.za/2024/04/wahab-ackwei-sees-red-in-colorado-springs-switchbacks-fcs-draw-with-indy-eleven/")</f>
        <v>https://sportson.co.za/2024/04/wahab-ackwei-sees-red-in-colorado-springs-switchbacks-fcs-draw-with-indy-eleven/</v>
      </c>
      <c r="C45" s="2" t="s">
        <v>769</v>
      </c>
      <c r="D45" s="2" t="s">
        <v>770</v>
      </c>
      <c r="E45" s="5">
        <v>45404.644328703696</v>
      </c>
      <c r="F45" s="2" t="s">
        <v>1586</v>
      </c>
      <c r="G45" s="2">
        <v>0</v>
      </c>
      <c r="H45" s="2">
        <v>0</v>
      </c>
      <c r="I45" s="2">
        <v>0</v>
      </c>
      <c r="J45" s="2">
        <v>0</v>
      </c>
      <c r="K45" s="2" t="s">
        <v>31</v>
      </c>
      <c r="L45" s="2"/>
      <c r="M45" s="2"/>
      <c r="N45" t="s">
        <v>4459</v>
      </c>
    </row>
    <row r="46" spans="1:14" ht="66" x14ac:dyDescent="0.3">
      <c r="A46" s="2" t="s">
        <v>1587</v>
      </c>
      <c r="B46" s="2" t="str">
        <f>HYPERLINK("https://www.wishtv.com/contests/win-an-indy-eleven-racing-night-prize-pack/")</f>
        <v>https://www.wishtv.com/contests/win-an-indy-eleven-racing-night-prize-pack/</v>
      </c>
      <c r="C46" s="2" t="s">
        <v>55</v>
      </c>
      <c r="D46" s="2" t="s">
        <v>38</v>
      </c>
      <c r="E46" s="5">
        <v>45404.333333333343</v>
      </c>
      <c r="F46" s="2"/>
      <c r="G46" s="2">
        <v>568116</v>
      </c>
      <c r="H46" s="2"/>
      <c r="I46" s="2"/>
      <c r="J46" s="2"/>
      <c r="K46" s="2"/>
      <c r="L46" s="4">
        <v>5255.07</v>
      </c>
      <c r="M46" s="2"/>
      <c r="N46" t="s">
        <v>4458</v>
      </c>
    </row>
    <row r="47" spans="1:14" ht="409.6" x14ac:dyDescent="0.3">
      <c r="A47" s="2" t="s">
        <v>1588</v>
      </c>
      <c r="B47" s="2" t="str">
        <f>HYPERLINK("https://bvmsports.com/2024/04/21/indy-eleven-vs-san-antonio-fc-in-lamar-hunt-u-s-open-cup-round-of-32-clash/")</f>
        <v>https://bvmsports.com/2024/04/21/indy-eleven-vs-san-antonio-fc-in-lamar-hunt-u-s-open-cup-round-of-32-clash/</v>
      </c>
      <c r="C47" s="2" t="s">
        <v>270</v>
      </c>
      <c r="D47" s="2" t="s">
        <v>271</v>
      </c>
      <c r="E47" s="5">
        <v>45403.502187500002</v>
      </c>
      <c r="F47" s="2" t="s">
        <v>1589</v>
      </c>
      <c r="G47" s="2">
        <v>2152626</v>
      </c>
      <c r="H47" s="2">
        <v>0</v>
      </c>
      <c r="I47" s="2">
        <v>0</v>
      </c>
      <c r="J47" s="2">
        <v>0</v>
      </c>
      <c r="K47" s="2" t="s">
        <v>31</v>
      </c>
      <c r="L47" s="4">
        <v>19911.79</v>
      </c>
      <c r="M47" s="2"/>
      <c r="N47" t="s">
        <v>4459</v>
      </c>
    </row>
    <row r="48" spans="1:14" ht="409.6" x14ac:dyDescent="0.3">
      <c r="A48" s="2" t="s">
        <v>1590</v>
      </c>
      <c r="B48" s="2" t="str">
        <f>HYPERLINK("https://www.oursportscentral.com/services/releases/switchbacks-earn-their-first-draw-in-the-2024-season-against-indy-eleven/n-6083385")</f>
        <v>https://www.oursportscentral.com/services/releases/switchbacks-earn-their-first-draw-in-the-2024-season-against-indy-eleven/n-6083385</v>
      </c>
      <c r="C48" s="2"/>
      <c r="D48" s="2" t="s">
        <v>24</v>
      </c>
      <c r="E48" s="5">
        <v>45403.07708333333</v>
      </c>
      <c r="F48" s="2" t="s">
        <v>1591</v>
      </c>
      <c r="G48" s="2">
        <v>40402</v>
      </c>
      <c r="H48" s="2">
        <v>0</v>
      </c>
      <c r="I48" s="2">
        <v>0</v>
      </c>
      <c r="J48" s="2">
        <v>0</v>
      </c>
      <c r="K48" s="2" t="s">
        <v>31</v>
      </c>
      <c r="L48" s="4">
        <v>373.72</v>
      </c>
      <c r="M48" s="2"/>
      <c r="N48" t="s">
        <v>4457</v>
      </c>
    </row>
    <row r="49" spans="1:14" ht="409.6" x14ac:dyDescent="0.3">
      <c r="A49" s="2" t="s">
        <v>1592</v>
      </c>
      <c r="B49" s="2" t="str">
        <f>HYPERLINK("https://www.uslchampionship.com/coloradospringsswitchbacksfc-indyeleven-2416276")</f>
        <v>https://www.uslchampionship.com/coloradospringsswitchbacksfc-indyeleven-2416276</v>
      </c>
      <c r="C49" s="2"/>
      <c r="D49" s="2" t="s">
        <v>28</v>
      </c>
      <c r="E49" s="5">
        <v>45402.929351851853</v>
      </c>
      <c r="F49" s="2" t="s">
        <v>1593</v>
      </c>
      <c r="G49" s="2">
        <v>44392</v>
      </c>
      <c r="H49" s="2">
        <v>0</v>
      </c>
      <c r="I49" s="2">
        <v>0</v>
      </c>
      <c r="J49" s="2">
        <v>0</v>
      </c>
      <c r="K49" s="2" t="s">
        <v>47</v>
      </c>
      <c r="L49" s="4">
        <v>410.63</v>
      </c>
      <c r="M49" s="2"/>
      <c r="N49" t="s">
        <v>4457</v>
      </c>
    </row>
    <row r="50" spans="1:14" ht="409.6" x14ac:dyDescent="0.3">
      <c r="A50" s="2" t="s">
        <v>1594</v>
      </c>
      <c r="B50" s="2" t="str">
        <f>HYPERLINK("https://www.oursportscentral.com/services/releases/switchbacks-earn-their-first-draw-in-the-2024-season-against-indy-eleven/n-6083327")</f>
        <v>https://www.oursportscentral.com/services/releases/switchbacks-earn-their-first-draw-in-the-2024-season-against-indy-eleven/n-6083327</v>
      </c>
      <c r="C50" s="2"/>
      <c r="D50" s="2" t="s">
        <v>24</v>
      </c>
      <c r="E50" s="5">
        <v>45402.850694444453</v>
      </c>
      <c r="F50" s="2" t="s">
        <v>1595</v>
      </c>
      <c r="G50" s="2">
        <v>40402</v>
      </c>
      <c r="H50" s="2">
        <v>0</v>
      </c>
      <c r="I50" s="2">
        <v>0</v>
      </c>
      <c r="J50" s="2">
        <v>0</v>
      </c>
      <c r="K50" s="2" t="s">
        <v>25</v>
      </c>
      <c r="L50" s="4">
        <v>373.72</v>
      </c>
      <c r="M50" s="2"/>
      <c r="N50" t="s">
        <v>4457</v>
      </c>
    </row>
    <row r="51" spans="1:14" ht="409.6" x14ac:dyDescent="0.3">
      <c r="A51" s="2" t="s">
        <v>1596</v>
      </c>
      <c r="B51" s="2" t="str">
        <f>HYPERLINK("https://www.oursportscentral.com/services/releases/indy-eleven-draw-colorado-springs-switchbacks-fc-1-1/n-6083235")</f>
        <v>https://www.oursportscentral.com/services/releases/indy-eleven-draw-colorado-springs-switchbacks-fc-1-1/n-6083235</v>
      </c>
      <c r="C51" s="2"/>
      <c r="D51" s="2" t="s">
        <v>24</v>
      </c>
      <c r="E51" s="5">
        <v>45402.811805555553</v>
      </c>
      <c r="F51" s="2" t="s">
        <v>1597</v>
      </c>
      <c r="G51" s="2">
        <v>40402</v>
      </c>
      <c r="H51" s="2">
        <v>0</v>
      </c>
      <c r="I51" s="2">
        <v>0</v>
      </c>
      <c r="J51" s="2">
        <v>0</v>
      </c>
      <c r="K51" s="2" t="s">
        <v>31</v>
      </c>
      <c r="L51" s="4">
        <v>373.72</v>
      </c>
      <c r="M51" s="2"/>
      <c r="N51" t="s">
        <v>4457</v>
      </c>
    </row>
    <row r="52" spans="1:14" ht="409.6" x14ac:dyDescent="0.3">
      <c r="A52" s="2" t="s">
        <v>1598</v>
      </c>
      <c r="B52" s="2" t="str">
        <f>HYPERLINK("https://www.oursportscentral.com/services/releases/4-20-2024-colorado-springs-switchbacks-fc-vs-indy-eleven--game-highlights/n-6083208")</f>
        <v>https://www.oursportscentral.com/services/releases/4-20-2024-colorado-springs-switchbacks-fc-vs-indy-eleven--game-highlights/n-6083208</v>
      </c>
      <c r="C52" s="2"/>
      <c r="D52" s="2" t="s">
        <v>24</v>
      </c>
      <c r="E52" s="5">
        <v>45402.807638888888</v>
      </c>
      <c r="F52" s="2" t="s">
        <v>1599</v>
      </c>
      <c r="G52" s="2">
        <v>40402</v>
      </c>
      <c r="H52" s="2">
        <v>0</v>
      </c>
      <c r="I52" s="2">
        <v>0</v>
      </c>
      <c r="J52" s="2">
        <v>0</v>
      </c>
      <c r="K52" s="2" t="s">
        <v>25</v>
      </c>
      <c r="L52" s="4">
        <v>373.72</v>
      </c>
      <c r="M52" s="2"/>
      <c r="N52" t="s">
        <v>4457</v>
      </c>
    </row>
    <row r="53" spans="1:14" ht="409.6" x14ac:dyDescent="0.3">
      <c r="A53" s="2" t="s">
        <v>34</v>
      </c>
      <c r="B53" s="2" t="str">
        <f>HYPERLINK("https://www.heraldbulletin.com/sports/coming-up/article_ee8ded86-fe8e-11ee-add9-ef987de502a1.html")</f>
        <v>https://www.heraldbulletin.com/sports/coming-up/article_ee8ded86-fe8e-11ee-add9-ef987de502a1.html</v>
      </c>
      <c r="C53" s="2"/>
      <c r="D53" s="2" t="s">
        <v>35</v>
      </c>
      <c r="E53" s="5">
        <v>45402.329386574071</v>
      </c>
      <c r="F53" s="2" t="s">
        <v>1600</v>
      </c>
      <c r="G53" s="2">
        <v>50260</v>
      </c>
      <c r="H53" s="2">
        <v>0</v>
      </c>
      <c r="I53" s="2">
        <v>0</v>
      </c>
      <c r="J53" s="2">
        <v>15</v>
      </c>
      <c r="K53" s="2" t="s">
        <v>25</v>
      </c>
      <c r="L53" s="4">
        <v>464.9</v>
      </c>
      <c r="M53" s="2"/>
      <c r="N53" t="s">
        <v>4458</v>
      </c>
    </row>
    <row r="54" spans="1:14" ht="409.6" x14ac:dyDescent="0.3">
      <c r="A54" s="2" t="s">
        <v>34</v>
      </c>
      <c r="B54" s="2" t="str">
        <f>HYPERLINK("https://www.heraldbulletin.com/sports/coming-up/article_59500d48-fdcc-11ee-b8e1-3fe313fd53b0.html")</f>
        <v>https://www.heraldbulletin.com/sports/coming-up/article_59500d48-fdcc-11ee-b8e1-3fe313fd53b0.html</v>
      </c>
      <c r="C54" s="2"/>
      <c r="D54" s="2" t="s">
        <v>35</v>
      </c>
      <c r="E54" s="5">
        <v>45401.307488425933</v>
      </c>
      <c r="F54" s="2" t="s">
        <v>1600</v>
      </c>
      <c r="G54" s="2">
        <v>50260</v>
      </c>
      <c r="H54" s="2">
        <v>0</v>
      </c>
      <c r="I54" s="2">
        <v>0</v>
      </c>
      <c r="J54" s="2">
        <v>1</v>
      </c>
      <c r="K54" s="2" t="s">
        <v>25</v>
      </c>
      <c r="L54" s="4">
        <v>464.9</v>
      </c>
      <c r="M54" s="2"/>
      <c r="N54" t="s">
        <v>4458</v>
      </c>
    </row>
    <row r="55" spans="1:14" ht="409.6" x14ac:dyDescent="0.3">
      <c r="A55" s="2" t="s">
        <v>1603</v>
      </c>
      <c r="B55" s="2" t="str">
        <f>HYPERLINK("https://ontapsportsnet.com/fire/chicago-fire-ii-indy-eleven-score-recap-2024-us-open-cup-results")</f>
        <v>https://ontapsportsnet.com/fire/chicago-fire-ii-indy-eleven-score-recap-2024-us-open-cup-results</v>
      </c>
      <c r="C55" s="2" t="s">
        <v>1604</v>
      </c>
      <c r="D55" s="2" t="s">
        <v>1605</v>
      </c>
      <c r="E55" s="5">
        <v>45400.486851851849</v>
      </c>
      <c r="F55" s="2" t="s">
        <v>1606</v>
      </c>
      <c r="G55" s="2">
        <v>33077</v>
      </c>
      <c r="H55" s="2">
        <v>0</v>
      </c>
      <c r="I55" s="2">
        <v>0</v>
      </c>
      <c r="J55" s="2">
        <v>0</v>
      </c>
      <c r="K55" s="2" t="s">
        <v>47</v>
      </c>
      <c r="L55" s="4">
        <v>305.95999999999998</v>
      </c>
      <c r="M55" s="2"/>
      <c r="N55" t="s">
        <v>4457</v>
      </c>
    </row>
    <row r="56" spans="1:14" ht="409.6" x14ac:dyDescent="0.3">
      <c r="A56" s="2" t="s">
        <v>34</v>
      </c>
      <c r="B56" s="2" t="str">
        <f>HYPERLINK("https://www.heraldbulletin.com/sports/coming-up/article_ffd6c1e0-fcf8-11ee-b029-33e4a518a840.html")</f>
        <v>https://www.heraldbulletin.com/sports/coming-up/article_ffd6c1e0-fcf8-11ee-b029-33e4a518a840.html</v>
      </c>
      <c r="C56" s="2"/>
      <c r="D56" s="2" t="s">
        <v>35</v>
      </c>
      <c r="E56" s="5">
        <v>45400.298819444448</v>
      </c>
      <c r="F56" s="2" t="s">
        <v>1600</v>
      </c>
      <c r="G56" s="2">
        <v>50260</v>
      </c>
      <c r="H56" s="2">
        <v>0</v>
      </c>
      <c r="I56" s="2">
        <v>0</v>
      </c>
      <c r="J56" s="2">
        <v>8</v>
      </c>
      <c r="K56" s="2" t="s">
        <v>25</v>
      </c>
      <c r="L56" s="4">
        <v>464.9</v>
      </c>
      <c r="M56" s="2"/>
      <c r="N56" t="s">
        <v>4458</v>
      </c>
    </row>
    <row r="57" spans="1:14" ht="409.6" x14ac:dyDescent="0.3">
      <c r="A57" s="2" t="s">
        <v>1607</v>
      </c>
      <c r="B57" s="2" t="str">
        <f>HYPERLINK("https://www.chicagofirefc.com/two/news/chicago-fire-fc-ii-falls-1-0-to-indy-eleven-in-third-round-of-2024-lamar-hunt-u-s-open-cup")</f>
        <v>https://www.chicagofirefc.com/two/news/chicago-fire-fc-ii-falls-1-0-to-indy-eleven-in-third-round-of-2024-lamar-hunt-u-s-open-cup</v>
      </c>
      <c r="C57" s="2" t="s">
        <v>1608</v>
      </c>
      <c r="D57" s="2" t="s">
        <v>320</v>
      </c>
      <c r="E57" s="5">
        <v>45399.973923611113</v>
      </c>
      <c r="F57" s="2" t="s">
        <v>1609</v>
      </c>
      <c r="G57" s="2">
        <v>67040</v>
      </c>
      <c r="H57" s="2">
        <v>0</v>
      </c>
      <c r="I57" s="2">
        <v>0</v>
      </c>
      <c r="J57" s="2">
        <v>0</v>
      </c>
      <c r="K57" s="2" t="s">
        <v>47</v>
      </c>
      <c r="L57" s="4">
        <v>620.12</v>
      </c>
      <c r="M57" s="2"/>
      <c r="N57" t="s">
        <v>4457</v>
      </c>
    </row>
    <row r="58" spans="1:14" ht="409.6" x14ac:dyDescent="0.3">
      <c r="A58" s="2" t="s">
        <v>1610</v>
      </c>
      <c r="B58" s="2" t="str">
        <f>HYPERLINK("https://euro.eseuro.com/trends/2420320.html")</f>
        <v>https://euro.eseuro.com/trends/2420320.html</v>
      </c>
      <c r="C58" s="2"/>
      <c r="D58" s="2" t="s">
        <v>1611</v>
      </c>
      <c r="E58" s="5">
        <v>45399.957094907397</v>
      </c>
      <c r="F58" s="2" t="s">
        <v>1612</v>
      </c>
      <c r="G58" s="2">
        <v>728</v>
      </c>
      <c r="H58" s="2">
        <v>0</v>
      </c>
      <c r="I58" s="2">
        <v>0</v>
      </c>
      <c r="J58" s="2">
        <v>0</v>
      </c>
      <c r="K58" s="2" t="s">
        <v>47</v>
      </c>
      <c r="L58" s="4">
        <v>6.73</v>
      </c>
      <c r="M58" s="2"/>
      <c r="N58" t="s">
        <v>4459</v>
      </c>
    </row>
    <row r="59" spans="1:14" ht="409.6" x14ac:dyDescent="0.3">
      <c r="A59" s="2" t="s">
        <v>1613</v>
      </c>
      <c r="B59" s="2" t="str">
        <f>HYPERLINK("https://www.oursportscentral.com/services/releases/chicago-fire-fc-ii-falls-1-0-to-indy-eleven-in-third-round-of-2024-lamar-hunt-u-s-open-cup/n-6081690")</f>
        <v>https://www.oursportscentral.com/services/releases/chicago-fire-fc-ii-falls-1-0-to-indy-eleven-in-third-round-of-2024-lamar-hunt-u-s-open-cup/n-6081690</v>
      </c>
      <c r="C59" s="2"/>
      <c r="D59" s="2" t="s">
        <v>24</v>
      </c>
      <c r="E59" s="5">
        <v>45399.852083333331</v>
      </c>
      <c r="F59" s="2" t="s">
        <v>1614</v>
      </c>
      <c r="G59" s="2">
        <v>40402</v>
      </c>
      <c r="H59" s="2">
        <v>0</v>
      </c>
      <c r="I59" s="2">
        <v>0</v>
      </c>
      <c r="J59" s="2">
        <v>0</v>
      </c>
      <c r="K59" s="2" t="s">
        <v>47</v>
      </c>
      <c r="L59" s="4">
        <v>373.72</v>
      </c>
      <c r="M59" s="2"/>
      <c r="N59" t="s">
        <v>4457</v>
      </c>
    </row>
    <row r="60" spans="1:14" ht="343.2" x14ac:dyDescent="0.3">
      <c r="A60" s="2" t="s">
        <v>34</v>
      </c>
      <c r="B60" s="2" t="str">
        <f>HYPERLINK("https://www.heraldbulletin.com/sports/coming-up/article_b4d307ce-fc1e-11ee-9440-4f1dbfde8bed.html")</f>
        <v>https://www.heraldbulletin.com/sports/coming-up/article_b4d307ce-fc1e-11ee-9440-4f1dbfde8bed.html</v>
      </c>
      <c r="C60" s="2"/>
      <c r="D60" s="2" t="s">
        <v>35</v>
      </c>
      <c r="E60" s="5">
        <v>45399.310300925928</v>
      </c>
      <c r="F60" s="2" t="s">
        <v>1615</v>
      </c>
      <c r="G60" s="2">
        <v>50260</v>
      </c>
      <c r="H60" s="2">
        <v>0</v>
      </c>
      <c r="I60" s="2">
        <v>0</v>
      </c>
      <c r="J60" s="2">
        <v>2</v>
      </c>
      <c r="K60" s="2" t="s">
        <v>47</v>
      </c>
      <c r="L60" s="4">
        <v>464.9</v>
      </c>
      <c r="M60" s="2"/>
      <c r="N60" t="s">
        <v>4458</v>
      </c>
    </row>
    <row r="61" spans="1:14" ht="382.8" x14ac:dyDescent="0.3">
      <c r="A61" s="2" t="s">
        <v>1616</v>
      </c>
      <c r="B61" s="2" t="str">
        <f>HYPERLINK("https://www.oursportscentral.com/services/releases/hamilton-north-fc-joins-indy-eleven-club-affiliate-program/n-6080889")</f>
        <v>https://www.oursportscentral.com/services/releases/hamilton-north-fc-joins-indy-eleven-club-affiliate-program/n-6080889</v>
      </c>
      <c r="C61" s="2"/>
      <c r="D61" s="2" t="s">
        <v>24</v>
      </c>
      <c r="E61" s="5">
        <v>45398.490277777782</v>
      </c>
      <c r="F61" s="2" t="s">
        <v>1617</v>
      </c>
      <c r="G61" s="2">
        <v>40402</v>
      </c>
      <c r="H61" s="2">
        <v>0</v>
      </c>
      <c r="I61" s="2">
        <v>0</v>
      </c>
      <c r="J61" s="2">
        <v>0</v>
      </c>
      <c r="K61" s="2" t="s">
        <v>25</v>
      </c>
      <c r="L61" s="4">
        <v>373.72</v>
      </c>
      <c r="M61" s="2"/>
      <c r="N61" t="s">
        <v>4457</v>
      </c>
    </row>
    <row r="62" spans="1:14" ht="382.8" x14ac:dyDescent="0.3">
      <c r="A62" s="2" t="s">
        <v>1618</v>
      </c>
      <c r="B62" s="2" t="str">
        <f>HYPERLINK("https://www.timbers.com/news/loan-watch-tega-ikoba-scores-first-goal-with-indy-eleven")</f>
        <v>https://www.timbers.com/news/loan-watch-tega-ikoba-scores-first-goal-with-indy-eleven</v>
      </c>
      <c r="C62" s="2"/>
      <c r="D62" s="2" t="s">
        <v>49</v>
      </c>
      <c r="E62" s="5">
        <v>45397.811689814807</v>
      </c>
      <c r="F62" s="2" t="s">
        <v>1619</v>
      </c>
      <c r="G62" s="2">
        <v>63318</v>
      </c>
      <c r="H62" s="2">
        <v>0</v>
      </c>
      <c r="I62" s="2">
        <v>0</v>
      </c>
      <c r="J62" s="2">
        <v>0</v>
      </c>
      <c r="K62" s="2" t="s">
        <v>47</v>
      </c>
      <c r="L62" s="4">
        <v>585.69000000000005</v>
      </c>
      <c r="M62" s="2"/>
      <c r="N62" t="s">
        <v>4457</v>
      </c>
    </row>
    <row r="63" spans="1:14" ht="409.6" x14ac:dyDescent="0.3">
      <c r="A63" s="2" t="s">
        <v>1620</v>
      </c>
      <c r="B63" s="2" t="str">
        <f>HYPERLINK("https://indianapolisrecorder.com/recorder-rewind-charleston-battery-versus-indy-eleven-april-2024/")</f>
        <v>https://indianapolisrecorder.com/recorder-rewind-charleston-battery-versus-indy-eleven-april-2024/</v>
      </c>
      <c r="C63" s="2" t="s">
        <v>1621</v>
      </c>
      <c r="D63" s="2" t="s">
        <v>1622</v>
      </c>
      <c r="E63" s="5">
        <v>45397.513888888891</v>
      </c>
      <c r="F63" s="2" t="s">
        <v>1623</v>
      </c>
      <c r="G63" s="2">
        <v>34257</v>
      </c>
      <c r="H63" s="2"/>
      <c r="I63" s="2"/>
      <c r="J63" s="2"/>
      <c r="K63" s="2" t="s">
        <v>31</v>
      </c>
      <c r="L63" s="4">
        <v>316.88</v>
      </c>
      <c r="M63" s="2"/>
      <c r="N63" t="s">
        <v>4458</v>
      </c>
    </row>
    <row r="64" spans="1:14" ht="409.6" x14ac:dyDescent="0.3">
      <c r="A64" s="2" t="s">
        <v>1624</v>
      </c>
      <c r="B64" s="2" t="str">
        <f>HYPERLINK("https://www.wishtv.com/sports/indy-eleven/indy-eleven-vs-charleston-battery-fc-from-april-13-2024/")</f>
        <v>https://www.wishtv.com/sports/indy-eleven/indy-eleven-vs-charleston-battery-fc-from-april-13-2024/</v>
      </c>
      <c r="C64" s="2" t="s">
        <v>109</v>
      </c>
      <c r="D64" s="2" t="s">
        <v>38</v>
      </c>
      <c r="E64" s="5">
        <v>45397.342627314807</v>
      </c>
      <c r="F64" s="2" t="s">
        <v>1625</v>
      </c>
      <c r="G64" s="2">
        <v>568116</v>
      </c>
      <c r="H64" s="2"/>
      <c r="I64" s="2"/>
      <c r="J64" s="2"/>
      <c r="K64" s="2" t="s">
        <v>47</v>
      </c>
      <c r="L64" s="4">
        <v>5255.07</v>
      </c>
      <c r="M64" s="2"/>
      <c r="N64" t="s">
        <v>4458</v>
      </c>
    </row>
    <row r="65" spans="1:14" ht="79.2" x14ac:dyDescent="0.3">
      <c r="A65" s="2" t="s">
        <v>1620</v>
      </c>
      <c r="B65" s="2" t="str">
        <f>HYPERLINK("https://article.wn.com/view/2024/04/15/Recorder_rewind_Charleston_Battery_at_Indy_Eleven/")</f>
        <v>https://article.wn.com/view/2024/04/15/Recorder_rewind_Charleston_Battery_at_Indy_Eleven/</v>
      </c>
      <c r="C65" s="2"/>
      <c r="D65" s="2" t="s">
        <v>632</v>
      </c>
      <c r="E65" s="5">
        <v>45397</v>
      </c>
      <c r="F65" s="2"/>
      <c r="G65" s="2">
        <v>185918</v>
      </c>
      <c r="H65" s="2"/>
      <c r="I65" s="2"/>
      <c r="J65" s="2"/>
      <c r="K65" s="2"/>
      <c r="L65" s="4">
        <v>1719.74</v>
      </c>
      <c r="M65" s="2"/>
      <c r="N65" t="s">
        <v>4459</v>
      </c>
    </row>
    <row r="66" spans="1:14" ht="409.6" x14ac:dyDescent="0.3">
      <c r="A66" s="2" t="s">
        <v>1626</v>
      </c>
      <c r="B66" s="2" t="str">
        <f>HYPERLINK("http://holycitysinner.com/sports/battery-battle-back-for-2-4-victory-over-indy-ycaza-markanic/")</f>
        <v>http://holycitysinner.com/sports/battery-battle-back-for-2-4-victory-over-indy-ycaza-markanic/</v>
      </c>
      <c r="C66" s="2"/>
      <c r="D66" s="2" t="s">
        <v>301</v>
      </c>
      <c r="E66" s="5">
        <v>45396.741944444453</v>
      </c>
      <c r="F66" s="2" t="s">
        <v>1627</v>
      </c>
      <c r="G66" s="2">
        <v>17205</v>
      </c>
      <c r="H66" s="2">
        <v>1</v>
      </c>
      <c r="I66" s="2">
        <v>59966</v>
      </c>
      <c r="J66" s="2">
        <v>13</v>
      </c>
      <c r="K66" s="2" t="s">
        <v>47</v>
      </c>
      <c r="L66" s="4">
        <v>159.15</v>
      </c>
      <c r="M66" s="2"/>
      <c r="N66" t="s">
        <v>4457</v>
      </c>
    </row>
    <row r="67" spans="1:14" ht="237.6" x14ac:dyDescent="0.3">
      <c r="A67" s="2" t="s">
        <v>1628</v>
      </c>
      <c r="B67" s="2" t="str">
        <f>HYPERLINK("https://www.nuvo.net/sports/slideshow-indy-elevens-poor-start-to-the-season-continues/collection_ed24ea82-faa9-11ee-8e32-0f2eebcecffd.html")</f>
        <v>https://www.nuvo.net/sports/slideshow-indy-elevens-poor-start-to-the-season-continues/collection_ed24ea82-faa9-11ee-8e32-0f2eebcecffd.html</v>
      </c>
      <c r="C67" s="2" t="s">
        <v>112</v>
      </c>
      <c r="D67" s="2" t="s">
        <v>113</v>
      </c>
      <c r="E67" s="5">
        <v>45396</v>
      </c>
      <c r="F67" s="2" t="s">
        <v>1629</v>
      </c>
      <c r="G67" s="2">
        <v>8756</v>
      </c>
      <c r="H67" s="2">
        <v>0</v>
      </c>
      <c r="I67" s="2">
        <v>0</v>
      </c>
      <c r="J67" s="2">
        <v>0</v>
      </c>
      <c r="K67" s="2" t="s">
        <v>47</v>
      </c>
      <c r="L67" s="4">
        <v>80.989999999999995</v>
      </c>
      <c r="M67" s="2"/>
      <c r="N67" t="s">
        <v>4458</v>
      </c>
    </row>
    <row r="68" spans="1:14" ht="409.6" x14ac:dyDescent="0.3">
      <c r="A68" s="2" t="s">
        <v>1630</v>
      </c>
      <c r="B68" s="2" t="str">
        <f>HYPERLINK("https://bvmsports.com/2024/04/13/charleston-battery-clinch-2-4-comeback-win-against-indy-eleven-ycaza-markanich-and-myers-shine/")</f>
        <v>https://bvmsports.com/2024/04/13/charleston-battery-clinch-2-4-comeback-win-against-indy-eleven-ycaza-markanich-and-myers-shine/</v>
      </c>
      <c r="C68" s="2" t="s">
        <v>270</v>
      </c>
      <c r="D68" s="2" t="s">
        <v>271</v>
      </c>
      <c r="E68" s="5">
        <v>45395.991550925923</v>
      </c>
      <c r="F68" s="2" t="s">
        <v>1631</v>
      </c>
      <c r="G68" s="2">
        <v>2152626</v>
      </c>
      <c r="H68" s="2">
        <v>0</v>
      </c>
      <c r="I68" s="2">
        <v>0</v>
      </c>
      <c r="J68" s="2">
        <v>0</v>
      </c>
      <c r="K68" s="2" t="s">
        <v>25</v>
      </c>
      <c r="L68" s="4">
        <v>19911.79</v>
      </c>
      <c r="M68" s="2"/>
      <c r="N68" t="s">
        <v>4459</v>
      </c>
    </row>
    <row r="69" spans="1:14" ht="382.8" x14ac:dyDescent="0.3">
      <c r="A69" s="2" t="s">
        <v>1632</v>
      </c>
      <c r="B69" s="2" t="str">
        <f>HYPERLINK("https://www.live5news.com/2024/04/14/battery-battle-back-2-4-victory-over-indy-ycaza-markanich-myers-score/")</f>
        <v>https://www.live5news.com/2024/04/14/battery-battle-back-2-4-victory-over-indy-ycaza-markanich-myers-score/</v>
      </c>
      <c r="C69" s="2"/>
      <c r="D69" s="2" t="s">
        <v>304</v>
      </c>
      <c r="E69" s="5">
        <v>45395.991365740738</v>
      </c>
      <c r="F69" s="2" t="s">
        <v>1633</v>
      </c>
      <c r="G69" s="2">
        <v>611839</v>
      </c>
      <c r="H69" s="2">
        <v>0</v>
      </c>
      <c r="I69" s="2">
        <v>0</v>
      </c>
      <c r="J69" s="2">
        <v>0</v>
      </c>
      <c r="K69" s="2" t="s">
        <v>47</v>
      </c>
      <c r="L69" s="4">
        <v>5659.51</v>
      </c>
      <c r="M69" s="2"/>
      <c r="N69" t="s">
        <v>4457</v>
      </c>
    </row>
    <row r="70" spans="1:14" ht="409.6" x14ac:dyDescent="0.3">
      <c r="A70" s="2" t="s">
        <v>1634</v>
      </c>
      <c r="B70" s="2" t="str">
        <f>HYPERLINK("https://www.oursportscentral.com/services/releases/indy-eleven-downed-by-charleston-battery/n-6079653")</f>
        <v>https://www.oursportscentral.com/services/releases/indy-eleven-downed-by-charleston-battery/n-6079653</v>
      </c>
      <c r="C70" s="2"/>
      <c r="D70" s="2" t="s">
        <v>24</v>
      </c>
      <c r="E70" s="5">
        <v>45395.854166666657</v>
      </c>
      <c r="F70" s="2" t="s">
        <v>1635</v>
      </c>
      <c r="G70" s="2">
        <v>40402</v>
      </c>
      <c r="H70" s="2">
        <v>0</v>
      </c>
      <c r="I70" s="2">
        <v>0</v>
      </c>
      <c r="J70" s="2">
        <v>0</v>
      </c>
      <c r="K70" s="2" t="s">
        <v>25</v>
      </c>
      <c r="L70" s="4">
        <v>373.72</v>
      </c>
      <c r="M70" s="2"/>
      <c r="N70" t="s">
        <v>4457</v>
      </c>
    </row>
    <row r="71" spans="1:14" ht="409.6" x14ac:dyDescent="0.3">
      <c r="A71" s="2" t="s">
        <v>1636</v>
      </c>
      <c r="B71" s="2" t="str">
        <f>HYPERLINK("https://www.oursportscentral.com/services/releases/battery-battle-back-for-2-4-victory-over-indy-ycaza-markanich-and-myers-score/n-6079611")</f>
        <v>https://www.oursportscentral.com/services/releases/battery-battle-back-for-2-4-victory-over-indy-ycaza-markanich-and-myers-score/n-6079611</v>
      </c>
      <c r="C71" s="2"/>
      <c r="D71" s="2" t="s">
        <v>24</v>
      </c>
      <c r="E71" s="5">
        <v>45395.847222222219</v>
      </c>
      <c r="F71" s="2" t="s">
        <v>1637</v>
      </c>
      <c r="G71" s="2">
        <v>40402</v>
      </c>
      <c r="H71" s="2">
        <v>0</v>
      </c>
      <c r="I71" s="2">
        <v>0</v>
      </c>
      <c r="J71" s="2">
        <v>0</v>
      </c>
      <c r="K71" s="2" t="s">
        <v>47</v>
      </c>
      <c r="L71" s="4">
        <v>373.72</v>
      </c>
      <c r="M71" s="2"/>
      <c r="N71" t="s">
        <v>4457</v>
      </c>
    </row>
    <row r="72" spans="1:14" ht="105.6" x14ac:dyDescent="0.3">
      <c r="A72" s="2" t="s">
        <v>1638</v>
      </c>
      <c r="B72" s="2" t="str">
        <f>HYPERLINK("https://www.oursportscentral.com/services/releases/all-goals-from-indy-eleven-vs-charleston-battery-in-the-1st-half/n-6079440")</f>
        <v>https://www.oursportscentral.com/services/releases/all-goals-from-indy-eleven-vs-charleston-battery-in-the-1st-half/n-6079440</v>
      </c>
      <c r="C72" s="2"/>
      <c r="D72" s="2" t="s">
        <v>24</v>
      </c>
      <c r="E72" s="5">
        <v>45395.796527777777</v>
      </c>
      <c r="F72" s="2" t="s">
        <v>175</v>
      </c>
      <c r="G72" s="2">
        <v>40402</v>
      </c>
      <c r="H72" s="2"/>
      <c r="I72" s="2"/>
      <c r="J72" s="2"/>
      <c r="K72" s="2" t="s">
        <v>47</v>
      </c>
      <c r="L72" s="4">
        <v>373.72</v>
      </c>
      <c r="M72" s="2"/>
      <c r="N72" t="s">
        <v>4457</v>
      </c>
    </row>
    <row r="73" spans="1:14" ht="409.6" x14ac:dyDescent="0.3">
      <c r="A73" s="2" t="s">
        <v>1639</v>
      </c>
      <c r="B73" s="2" t="str">
        <f>HYPERLINK("https://www.oursportscentral.com/services/releases/4-13-2024-indy-eleven-vs-charleston-battery--game-highlights/n-6079437")</f>
        <v>https://www.oursportscentral.com/services/releases/4-13-2024-indy-eleven-vs-charleston-battery--game-highlights/n-6079437</v>
      </c>
      <c r="C73" s="2"/>
      <c r="D73" s="2" t="s">
        <v>24</v>
      </c>
      <c r="E73" s="5">
        <v>45395.79583333333</v>
      </c>
      <c r="F73" s="2" t="s">
        <v>1640</v>
      </c>
      <c r="G73" s="2">
        <v>40402</v>
      </c>
      <c r="H73" s="2">
        <v>0</v>
      </c>
      <c r="I73" s="2">
        <v>0</v>
      </c>
      <c r="J73" s="2">
        <v>0</v>
      </c>
      <c r="K73" s="2" t="s">
        <v>25</v>
      </c>
      <c r="L73" s="4">
        <v>373.72</v>
      </c>
      <c r="M73" s="2"/>
      <c r="N73" t="s">
        <v>4457</v>
      </c>
    </row>
    <row r="74" spans="1:14" ht="409.6" x14ac:dyDescent="0.3">
      <c r="A74" s="2" t="s">
        <v>34</v>
      </c>
      <c r="B74" s="2" t="str">
        <f>HYPERLINK("https://www.heraldbulletin.com/sports/coming-up/article_f88d397a-f918-11ee-a21f-93a17347c899.html")</f>
        <v>https://www.heraldbulletin.com/sports/coming-up/article_f88d397a-f918-11ee-a21f-93a17347c899.html</v>
      </c>
      <c r="C74" s="2"/>
      <c r="D74" s="2" t="s">
        <v>35</v>
      </c>
      <c r="E74" s="5">
        <v>45395.321689814817</v>
      </c>
      <c r="F74" s="2" t="s">
        <v>1641</v>
      </c>
      <c r="G74" s="2">
        <v>50260</v>
      </c>
      <c r="H74" s="2">
        <v>0</v>
      </c>
      <c r="I74" s="2">
        <v>0</v>
      </c>
      <c r="J74" s="2">
        <v>1</v>
      </c>
      <c r="K74" s="2" t="s">
        <v>25</v>
      </c>
      <c r="L74" s="4">
        <v>464.9</v>
      </c>
      <c r="M74" s="2"/>
      <c r="N74" t="s">
        <v>4458</v>
      </c>
    </row>
    <row r="75" spans="1:14" ht="343.2" x14ac:dyDescent="0.3">
      <c r="A75" s="2" t="s">
        <v>1642</v>
      </c>
      <c r="B75" s="2" t="str">
        <f>HYPERLINK("https://bvmsports.com/2024/04/12/usl-championship-charleston-battery-vs-indy-eleven-match-preview-key-players-to-watch/")</f>
        <v>https://bvmsports.com/2024/04/12/usl-championship-charleston-battery-vs-indy-eleven-match-preview-key-players-to-watch/</v>
      </c>
      <c r="C75" s="2" t="s">
        <v>270</v>
      </c>
      <c r="D75" s="2" t="s">
        <v>271</v>
      </c>
      <c r="E75" s="5">
        <v>45394.487361111111</v>
      </c>
      <c r="F75" s="2" t="s">
        <v>1643</v>
      </c>
      <c r="G75" s="2">
        <v>2152626</v>
      </c>
      <c r="H75" s="2"/>
      <c r="I75" s="2"/>
      <c r="J75" s="2"/>
      <c r="K75" s="2" t="s">
        <v>25</v>
      </c>
      <c r="L75" s="4">
        <v>19911.79</v>
      </c>
      <c r="M75" s="2"/>
      <c r="N75" t="s">
        <v>4459</v>
      </c>
    </row>
    <row r="76" spans="1:14" ht="356.4" x14ac:dyDescent="0.3">
      <c r="A76" s="2" t="s">
        <v>1644</v>
      </c>
      <c r="B76" s="2" t="str">
        <f>HYPERLINK("https://www.oursportscentral.com/services/releases/battery-travel-to-indy-for-saturday-clash/n-6078676")</f>
        <v>https://www.oursportscentral.com/services/releases/battery-travel-to-indy-for-saturday-clash/n-6078676</v>
      </c>
      <c r="C76" s="2"/>
      <c r="D76" s="2" t="s">
        <v>24</v>
      </c>
      <c r="E76" s="5">
        <v>45394.370833333327</v>
      </c>
      <c r="F76" s="2" t="s">
        <v>1645</v>
      </c>
      <c r="G76" s="2">
        <v>40402</v>
      </c>
      <c r="H76" s="2">
        <v>0</v>
      </c>
      <c r="I76" s="2">
        <v>0</v>
      </c>
      <c r="J76" s="2">
        <v>0</v>
      </c>
      <c r="K76" s="2" t="s">
        <v>31</v>
      </c>
      <c r="L76" s="4">
        <v>373.72</v>
      </c>
      <c r="M76" s="2"/>
      <c r="N76" t="s">
        <v>4457</v>
      </c>
    </row>
    <row r="77" spans="1:14" ht="396" x14ac:dyDescent="0.3">
      <c r="A77" s="2" t="s">
        <v>1646</v>
      </c>
      <c r="B77" s="2" t="str">
        <f>HYPERLINK("https://www.uslchampionship.com/news_article/show/1306798")</f>
        <v>https://www.uslchampionship.com/news_article/show/1306798</v>
      </c>
      <c r="C77" s="2" t="s">
        <v>45</v>
      </c>
      <c r="D77" s="2" t="s">
        <v>28</v>
      </c>
      <c r="E77" s="5">
        <v>45394.309027777781</v>
      </c>
      <c r="F77" s="2" t="s">
        <v>1647</v>
      </c>
      <c r="G77" s="2">
        <v>44392</v>
      </c>
      <c r="H77" s="2">
        <v>0</v>
      </c>
      <c r="I77" s="2">
        <v>0</v>
      </c>
      <c r="J77" s="2">
        <v>1025</v>
      </c>
      <c r="K77" s="2" t="s">
        <v>25</v>
      </c>
      <c r="L77" s="4">
        <v>410.63</v>
      </c>
      <c r="M77" s="2"/>
      <c r="N77" t="s">
        <v>4457</v>
      </c>
    </row>
    <row r="78" spans="1:14" ht="396" x14ac:dyDescent="0.3">
      <c r="A78" s="2" t="s">
        <v>1646</v>
      </c>
      <c r="B78" s="2" t="str">
        <f>HYPERLINK("https://www.uslsoccer.com/news_article/show/1306798")</f>
        <v>https://www.uslsoccer.com/news_article/show/1306798</v>
      </c>
      <c r="C78" s="2" t="s">
        <v>45</v>
      </c>
      <c r="D78" s="2" t="s">
        <v>625</v>
      </c>
      <c r="E78" s="5">
        <v>45394.309027777781</v>
      </c>
      <c r="F78" s="2" t="s">
        <v>1647</v>
      </c>
      <c r="G78" s="2">
        <v>35863</v>
      </c>
      <c r="H78" s="2">
        <v>0</v>
      </c>
      <c r="I78" s="2">
        <v>0</v>
      </c>
      <c r="J78" s="2">
        <v>0</v>
      </c>
      <c r="K78" s="2" t="s">
        <v>25</v>
      </c>
      <c r="L78" s="4">
        <v>331.73</v>
      </c>
      <c r="M78" s="2"/>
      <c r="N78" t="s">
        <v>4457</v>
      </c>
    </row>
    <row r="79" spans="1:14" ht="409.6" x14ac:dyDescent="0.3">
      <c r="A79" s="2" t="s">
        <v>34</v>
      </c>
      <c r="B79" s="2" t="str">
        <f>HYPERLINK("https://www.heraldbulletin.com/sports/coming-up/article_92c7b47c-f85e-11ee-9fd7-4ffdaece6c66.html")</f>
        <v>https://www.heraldbulletin.com/sports/coming-up/article_92c7b47c-f85e-11ee-9fd7-4ffdaece6c66.html</v>
      </c>
      <c r="C79" s="2"/>
      <c r="D79" s="2" t="s">
        <v>35</v>
      </c>
      <c r="E79" s="5">
        <v>45394.300578703696</v>
      </c>
      <c r="F79" s="2" t="s">
        <v>1641</v>
      </c>
      <c r="G79" s="2">
        <v>50260</v>
      </c>
      <c r="H79" s="2">
        <v>0</v>
      </c>
      <c r="I79" s="2">
        <v>0</v>
      </c>
      <c r="J79" s="2">
        <v>25</v>
      </c>
      <c r="K79" s="2" t="s">
        <v>25</v>
      </c>
      <c r="L79" s="4">
        <v>464.9</v>
      </c>
      <c r="M79" s="2"/>
      <c r="N79" t="s">
        <v>4458</v>
      </c>
    </row>
    <row r="80" spans="1:14" ht="409.6" x14ac:dyDescent="0.3">
      <c r="A80" s="2" t="s">
        <v>1648</v>
      </c>
      <c r="B80" s="2" t="str">
        <f>HYPERLINK("https://www.newsbreak.com/indianapolis-in/3400532831278-what-to-know-about-indy-eleven-s-11th-season")</f>
        <v>https://www.newsbreak.com/indianapolis-in/3400532831278-what-to-know-about-indy-eleven-s-11th-season</v>
      </c>
      <c r="C80" s="2" t="s">
        <v>143</v>
      </c>
      <c r="D80" s="2" t="s">
        <v>360</v>
      </c>
      <c r="E80" s="5">
        <v>45394.282442129632</v>
      </c>
      <c r="F80" s="2" t="s">
        <v>855</v>
      </c>
      <c r="G80" s="2">
        <v>18777858</v>
      </c>
      <c r="H80" s="2">
        <v>0</v>
      </c>
      <c r="I80" s="2">
        <v>0</v>
      </c>
      <c r="J80" s="2">
        <v>0</v>
      </c>
      <c r="K80" s="2" t="s">
        <v>25</v>
      </c>
      <c r="L80" s="4">
        <v>173695.19</v>
      </c>
      <c r="M80" s="2"/>
      <c r="N80" t="s">
        <v>4458</v>
      </c>
    </row>
    <row r="81" spans="1:14" ht="409.6" x14ac:dyDescent="0.3">
      <c r="A81" s="2" t="s">
        <v>1649</v>
      </c>
      <c r="B81" s="2" t="str">
        <f>HYPERLINK("https://www.axios.com/local/indianapolis/2024/04/12/what-to-know-indy-eleven-11th-season")</f>
        <v>https://www.axios.com/local/indianapolis/2024/04/12/what-to-know-indy-eleven-11th-season</v>
      </c>
      <c r="C81" s="2" t="s">
        <v>143</v>
      </c>
      <c r="D81" s="2" t="s">
        <v>144</v>
      </c>
      <c r="E81" s="5">
        <v>45394.277233796303</v>
      </c>
      <c r="F81" s="2" t="s">
        <v>1650</v>
      </c>
      <c r="G81" s="2">
        <v>14450483</v>
      </c>
      <c r="H81" s="2">
        <v>0</v>
      </c>
      <c r="I81" s="2">
        <v>0</v>
      </c>
      <c r="J81" s="2">
        <v>0</v>
      </c>
      <c r="K81" s="2" t="s">
        <v>25</v>
      </c>
      <c r="L81" s="4">
        <v>133666.97</v>
      </c>
      <c r="M81" s="2"/>
      <c r="N81" t="s">
        <v>4458</v>
      </c>
    </row>
    <row r="82" spans="1:14" ht="330" x14ac:dyDescent="0.3">
      <c r="A82" s="2" t="s">
        <v>1652</v>
      </c>
      <c r="B82" s="2" t="str">
        <f>HYPERLINK("https://indytoday.6amcity.com/city-guide/play/sports-teams-indianapolis-in")</f>
        <v>https://indytoday.6amcity.com/city-guide/play/sports-teams-indianapolis-in</v>
      </c>
      <c r="C82" s="2" t="s">
        <v>1653</v>
      </c>
      <c r="D82" s="2" t="s">
        <v>380</v>
      </c>
      <c r="E82" s="5">
        <v>45393.640775462962</v>
      </c>
      <c r="F82" s="2" t="s">
        <v>1654</v>
      </c>
      <c r="G82" s="2">
        <v>14733</v>
      </c>
      <c r="H82" s="2">
        <v>0</v>
      </c>
      <c r="I82" s="2">
        <v>0</v>
      </c>
      <c r="J82" s="2">
        <v>2</v>
      </c>
      <c r="K82" s="2" t="s">
        <v>25</v>
      </c>
      <c r="L82" s="4">
        <v>136.28</v>
      </c>
      <c r="M82" s="2"/>
      <c r="N82" t="s">
        <v>4458</v>
      </c>
    </row>
    <row r="83" spans="1:14" ht="409.6" x14ac:dyDescent="0.3">
      <c r="A83" s="2" t="s">
        <v>1655</v>
      </c>
      <c r="B83" s="2" t="str">
        <f>HYPERLINK("https://beyondthe90.substack.com/p/breaking-news-miami-fc-shuffles-roster?triedRedirect=true")</f>
        <v>https://beyondthe90.substack.com/p/breaking-news-miami-fc-shuffles-roster?triedRedirect=true</v>
      </c>
      <c r="C83" s="2" t="s">
        <v>1656</v>
      </c>
      <c r="D83" s="2" t="s">
        <v>1329</v>
      </c>
      <c r="E83" s="5">
        <v>45393.632731481477</v>
      </c>
      <c r="F83" s="2" t="s">
        <v>1657</v>
      </c>
      <c r="G83" s="2">
        <v>42217281</v>
      </c>
      <c r="H83" s="2"/>
      <c r="I83" s="2"/>
      <c r="J83" s="2"/>
      <c r="K83" s="2" t="s">
        <v>25</v>
      </c>
      <c r="L83" s="4">
        <v>390509.85</v>
      </c>
      <c r="M83" s="2"/>
      <c r="N83" t="s">
        <v>4459</v>
      </c>
    </row>
    <row r="84" spans="1:14" ht="409.6" x14ac:dyDescent="0.3">
      <c r="A84" s="2" t="s">
        <v>1658</v>
      </c>
      <c r="B84" s="2" t="str">
        <f>HYPERLINK("https://www.oursportscentral.com/services/releases/miami-fc-trades-ben-ofeimu-and-ben-mines-to-indy-eleven/n-6078283")</f>
        <v>https://www.oursportscentral.com/services/releases/miami-fc-trades-ben-ofeimu-and-ben-mines-to-indy-eleven/n-6078283</v>
      </c>
      <c r="C84" s="2"/>
      <c r="D84" s="2" t="s">
        <v>24</v>
      </c>
      <c r="E84" s="5">
        <v>45393.593055555553</v>
      </c>
      <c r="F84" s="2" t="s">
        <v>1659</v>
      </c>
      <c r="G84" s="2">
        <v>40402</v>
      </c>
      <c r="H84" s="2">
        <v>0</v>
      </c>
      <c r="I84" s="2">
        <v>0</v>
      </c>
      <c r="J84" s="2">
        <v>0</v>
      </c>
      <c r="K84" s="2" t="s">
        <v>25</v>
      </c>
      <c r="L84" s="4">
        <v>373.72</v>
      </c>
      <c r="M84" s="2"/>
      <c r="N84" t="s">
        <v>4457</v>
      </c>
    </row>
    <row r="85" spans="1:14" ht="409.6" x14ac:dyDescent="0.3">
      <c r="A85" s="2" t="s">
        <v>1660</v>
      </c>
      <c r="B85" s="2" t="str">
        <f>HYPERLINK("https://www.oursportscentral.com/services/releases/indy-eleven-announces-acquisition-of-ofeimu-mines-from-miami-fc/n-6078270")</f>
        <v>https://www.oursportscentral.com/services/releases/indy-eleven-announces-acquisition-of-ofeimu-mines-from-miami-fc/n-6078270</v>
      </c>
      <c r="C85" s="2"/>
      <c r="D85" s="2" t="s">
        <v>24</v>
      </c>
      <c r="E85" s="5">
        <v>45393.513888888891</v>
      </c>
      <c r="F85" s="2" t="s">
        <v>1661</v>
      </c>
      <c r="G85" s="2">
        <v>40402</v>
      </c>
      <c r="H85" s="2">
        <v>0</v>
      </c>
      <c r="I85" s="2">
        <v>0</v>
      </c>
      <c r="J85" s="2">
        <v>0</v>
      </c>
      <c r="K85" s="2" t="s">
        <v>31</v>
      </c>
      <c r="L85" s="4">
        <v>373.72</v>
      </c>
      <c r="M85" s="2"/>
      <c r="N85" t="s">
        <v>4457</v>
      </c>
    </row>
    <row r="86" spans="1:14" ht="409.6" x14ac:dyDescent="0.3">
      <c r="A86" s="2" t="s">
        <v>34</v>
      </c>
      <c r="B86" s="2" t="str">
        <f>HYPERLINK("https://www.heraldbulletin.com/sports/coming-up/article_3f23dff0-f785-11ee-aae5-3f38955ccc30.html")</f>
        <v>https://www.heraldbulletin.com/sports/coming-up/article_3f23dff0-f785-11ee-aae5-3f38955ccc30.html</v>
      </c>
      <c r="C86" s="2"/>
      <c r="D86" s="2" t="s">
        <v>35</v>
      </c>
      <c r="E86" s="5">
        <v>45393.313333333332</v>
      </c>
      <c r="F86" s="2" t="s">
        <v>1641</v>
      </c>
      <c r="G86" s="2">
        <v>50260</v>
      </c>
      <c r="H86" s="2">
        <v>0</v>
      </c>
      <c r="I86" s="2">
        <v>0</v>
      </c>
      <c r="J86" s="2">
        <v>44</v>
      </c>
      <c r="K86" s="2" t="s">
        <v>25</v>
      </c>
      <c r="L86" s="4">
        <v>464.9</v>
      </c>
      <c r="M86" s="2"/>
      <c r="N86" t="s">
        <v>4458</v>
      </c>
    </row>
    <row r="87" spans="1:14" ht="92.4" x14ac:dyDescent="0.3">
      <c r="A87" s="2" t="s">
        <v>34</v>
      </c>
      <c r="B87" s="2" t="str">
        <f>HYPERLINK("https://www.heraldbulletin.com/sports/coming-up/article_ab3c81a4-f6b0-11ee-bc8b-a7ffb73fcffd.html")</f>
        <v>https://www.heraldbulletin.com/sports/coming-up/article_ab3c81a4-f6b0-11ee-bc8b-a7ffb73fcffd.html</v>
      </c>
      <c r="C87" s="2"/>
      <c r="D87" s="2" t="s">
        <v>35</v>
      </c>
      <c r="E87" s="5">
        <v>45392.318854166668</v>
      </c>
      <c r="F87" s="2" t="s">
        <v>1664</v>
      </c>
      <c r="G87" s="2">
        <v>50260</v>
      </c>
      <c r="H87" s="2">
        <v>0</v>
      </c>
      <c r="I87" s="2">
        <v>0</v>
      </c>
      <c r="J87" s="2">
        <v>11</v>
      </c>
      <c r="K87" s="2" t="s">
        <v>31</v>
      </c>
      <c r="L87" s="4">
        <v>464.9</v>
      </c>
      <c r="M87" s="2"/>
      <c r="N87" t="s">
        <v>4458</v>
      </c>
    </row>
    <row r="88" spans="1:14" ht="409.6" x14ac:dyDescent="0.3">
      <c r="A88" s="2" t="s">
        <v>1665</v>
      </c>
      <c r="B88" s="2" t="str">
        <f>HYPERLINK("https://podcasts.apple.com/us/podcast/star-wars-night-with-the-indy-eleven-saturday-april-13th/id1494496112?i=1000652060639")</f>
        <v>https://podcasts.apple.com/us/podcast/star-wars-night-with-the-indy-eleven-saturday-april-13th/id1494496112?i=1000652060639</v>
      </c>
      <c r="C88" s="2"/>
      <c r="D88" s="2" t="s">
        <v>1601</v>
      </c>
      <c r="E88" s="5">
        <v>45392</v>
      </c>
      <c r="F88" s="2" t="s">
        <v>1666</v>
      </c>
      <c r="G88" s="2">
        <v>7999572</v>
      </c>
      <c r="H88" s="2">
        <v>0</v>
      </c>
      <c r="I88" s="2">
        <v>0</v>
      </c>
      <c r="J88" s="2">
        <v>0</v>
      </c>
      <c r="K88" s="2" t="s">
        <v>47</v>
      </c>
      <c r="L88" s="4">
        <v>73996.039999999994</v>
      </c>
      <c r="M88" s="2"/>
      <c r="N88" t="s">
        <v>4459</v>
      </c>
    </row>
    <row r="89" spans="1:14" ht="409.6" x14ac:dyDescent="0.3">
      <c r="A89" s="2" t="s">
        <v>1668</v>
      </c>
      <c r="B89" s="2" t="str">
        <f>HYPERLINK("https://www.oursportscentral.com/services/releases/blake-earns-third-uslc-team-of-the-week-nod/n-6077260")</f>
        <v>https://www.oursportscentral.com/services/releases/blake-earns-third-uslc-team-of-the-week-nod/n-6077260</v>
      </c>
      <c r="C89" s="2"/>
      <c r="D89" s="2" t="s">
        <v>24</v>
      </c>
      <c r="E89" s="5">
        <v>45391.495833333327</v>
      </c>
      <c r="F89" s="2" t="s">
        <v>1669</v>
      </c>
      <c r="G89" s="2">
        <v>40402</v>
      </c>
      <c r="H89" s="2">
        <v>0</v>
      </c>
      <c r="I89" s="2">
        <v>0</v>
      </c>
      <c r="J89" s="2">
        <v>0</v>
      </c>
      <c r="K89" s="2" t="s">
        <v>25</v>
      </c>
      <c r="L89" s="4">
        <v>373.72</v>
      </c>
      <c r="M89" s="2"/>
      <c r="N89" t="s">
        <v>4457</v>
      </c>
    </row>
    <row r="90" spans="1:14" ht="66" x14ac:dyDescent="0.3">
      <c r="A90" s="2" t="s">
        <v>1670</v>
      </c>
      <c r="B90" s="2" t="str">
        <f>HYPERLINK("https://www.wishtv.com/contests/win-tickets-to-see-the-indy-eleven-play-at-home-april-27th/")</f>
        <v>https://www.wishtv.com/contests/win-tickets-to-see-the-indy-eleven-play-at-home-april-27th/</v>
      </c>
      <c r="C90" s="2" t="s">
        <v>55</v>
      </c>
      <c r="D90" s="2" t="s">
        <v>38</v>
      </c>
      <c r="E90" s="5">
        <v>45391.333333333343</v>
      </c>
      <c r="F90" s="2"/>
      <c r="G90" s="2">
        <v>568116</v>
      </c>
      <c r="H90" s="2">
        <v>0</v>
      </c>
      <c r="I90" s="2">
        <v>0</v>
      </c>
      <c r="J90" s="2">
        <v>0</v>
      </c>
      <c r="K90" s="2"/>
      <c r="L90" s="4">
        <v>5255.07</v>
      </c>
      <c r="M90" s="2"/>
      <c r="N90" t="s">
        <v>4458</v>
      </c>
    </row>
    <row r="91" spans="1:14" ht="409.6" x14ac:dyDescent="0.3">
      <c r="A91" s="2" t="s">
        <v>1672</v>
      </c>
      <c r="B91" s="2" t="str">
        <f>HYPERLINK("https://www.wdrb.com/sports/louisville-city-fc/harris-hat-trick-lifts-loucity-to-match-best-ever-start-in-5-3-win-over/article_a0a276fc-f450-11ee-8f55-bf8f92f55813.html")</f>
        <v>https://www.wdrb.com/sports/louisville-city-fc/harris-hat-trick-lifts-loucity-to-match-best-ever-start-in-5-3-win-over/article_a0a276fc-f450-11ee-8f55-bf8f92f55813.html</v>
      </c>
      <c r="C91" s="2" t="s">
        <v>1667</v>
      </c>
      <c r="D91" s="2" t="s">
        <v>222</v>
      </c>
      <c r="E91" s="5">
        <v>45389.45989583333</v>
      </c>
      <c r="F91" s="2" t="s">
        <v>1673</v>
      </c>
      <c r="G91" s="2">
        <v>888525</v>
      </c>
      <c r="H91" s="2">
        <v>0</v>
      </c>
      <c r="I91" s="2">
        <v>0</v>
      </c>
      <c r="J91" s="2">
        <v>0</v>
      </c>
      <c r="K91" s="2" t="s">
        <v>25</v>
      </c>
      <c r="L91" s="4">
        <v>8218.86</v>
      </c>
      <c r="M91" s="2"/>
      <c r="N91" t="s">
        <v>4457</v>
      </c>
    </row>
    <row r="92" spans="1:14" ht="409.6" x14ac:dyDescent="0.3">
      <c r="A92" s="2" t="s">
        <v>1675</v>
      </c>
      <c r="B92" s="2" t="str">
        <f>HYPERLINK("https://www.whas11.com/article/sports/soccer/wilson-harris-hat-trick-lou-city-indy-eleven/417-10a96e86-76c9-4371-8623-3010fc195d74")</f>
        <v>https://www.whas11.com/article/sports/soccer/wilson-harris-hat-trick-lou-city-indy-eleven/417-10a96e86-76c9-4371-8623-3010fc195d74</v>
      </c>
      <c r="C92" s="2" t="s">
        <v>1676</v>
      </c>
      <c r="D92" s="2" t="s">
        <v>242</v>
      </c>
      <c r="E92" s="5">
        <v>45388.985891203702</v>
      </c>
      <c r="F92" s="2" t="s">
        <v>1677</v>
      </c>
      <c r="G92" s="2">
        <v>817696</v>
      </c>
      <c r="H92" s="2">
        <v>0</v>
      </c>
      <c r="I92" s="2">
        <v>0</v>
      </c>
      <c r="J92" s="2">
        <v>0</v>
      </c>
      <c r="K92" s="2" t="s">
        <v>25</v>
      </c>
      <c r="L92" s="4">
        <v>7563.69</v>
      </c>
      <c r="M92" s="2"/>
      <c r="N92" t="s">
        <v>4457</v>
      </c>
    </row>
    <row r="93" spans="1:14" ht="343.2" x14ac:dyDescent="0.3">
      <c r="A93" s="2" t="s">
        <v>1678</v>
      </c>
      <c r="B93" s="2" t="str">
        <f>HYPERLINK("https://www.uslchampionship.com/news_article/show/1306250")</f>
        <v>https://www.uslchampionship.com/news_article/show/1306250</v>
      </c>
      <c r="C93" s="2" t="s">
        <v>45</v>
      </c>
      <c r="D93" s="2" t="s">
        <v>28</v>
      </c>
      <c r="E93" s="5">
        <v>45388.788194444453</v>
      </c>
      <c r="F93" s="2" t="s">
        <v>1679</v>
      </c>
      <c r="G93" s="2">
        <v>44392</v>
      </c>
      <c r="H93" s="2">
        <v>0</v>
      </c>
      <c r="I93" s="2">
        <v>0</v>
      </c>
      <c r="J93" s="2">
        <v>0</v>
      </c>
      <c r="K93" s="2" t="s">
        <v>25</v>
      </c>
      <c r="L93" s="4">
        <v>410.63</v>
      </c>
      <c r="M93" s="2"/>
      <c r="N93" t="s">
        <v>4457</v>
      </c>
    </row>
    <row r="94" spans="1:14" ht="409.6" x14ac:dyDescent="0.3">
      <c r="A94" s="2" t="s">
        <v>1680</v>
      </c>
      <c r="B94" s="2" t="str">
        <f>HYPERLINK("https://www.uslchampionship.com/louisvillecityfc-indyeleven-2416246")</f>
        <v>https://www.uslchampionship.com/louisvillecityfc-indyeleven-2416246</v>
      </c>
      <c r="C94" s="2"/>
      <c r="D94" s="2" t="s">
        <v>28</v>
      </c>
      <c r="E94" s="5">
        <v>45388.781851851847</v>
      </c>
      <c r="F94" s="2" t="s">
        <v>1681</v>
      </c>
      <c r="G94" s="2">
        <v>44392</v>
      </c>
      <c r="H94" s="2"/>
      <c r="I94" s="2"/>
      <c r="J94" s="2"/>
      <c r="K94" s="2" t="s">
        <v>47</v>
      </c>
      <c r="L94" s="4">
        <v>410.63</v>
      </c>
      <c r="M94" s="2"/>
      <c r="N94" t="s">
        <v>4457</v>
      </c>
    </row>
    <row r="95" spans="1:14" ht="369.6" x14ac:dyDescent="0.3">
      <c r="A95" s="2" t="s">
        <v>1682</v>
      </c>
      <c r="B95" s="2" t="str">
        <f>HYPERLINK("https://www.wdrb.com/sports/louisville-city-fc/harriss-hat-trick-lifts-loucity-to-match-best-ever-start-in-5-3-win-over/article_a0a276fc-f450-11ee-8f55-bf8f92f55813.html")</f>
        <v>https://www.wdrb.com/sports/louisville-city-fc/harriss-hat-trick-lifts-loucity-to-match-best-ever-start-in-5-3-win-over/article_a0a276fc-f450-11ee-8f55-bf8f92f55813.html</v>
      </c>
      <c r="C95" s="2" t="s">
        <v>1667</v>
      </c>
      <c r="D95" s="2" t="s">
        <v>222</v>
      </c>
      <c r="E95" s="5">
        <v>45388.763402777768</v>
      </c>
      <c r="F95" s="2" t="s">
        <v>1683</v>
      </c>
      <c r="G95" s="2">
        <v>888525</v>
      </c>
      <c r="H95" s="2">
        <v>1</v>
      </c>
      <c r="I95" s="2">
        <v>8592</v>
      </c>
      <c r="J95" s="2">
        <v>33</v>
      </c>
      <c r="K95" s="2" t="s">
        <v>25</v>
      </c>
      <c r="L95" s="4">
        <v>8218.86</v>
      </c>
      <c r="M95" s="2"/>
      <c r="N95" t="s">
        <v>4457</v>
      </c>
    </row>
    <row r="96" spans="1:14" ht="409.6" x14ac:dyDescent="0.3">
      <c r="A96" s="2" t="s">
        <v>1684</v>
      </c>
      <c r="B96" s="2" t="str">
        <f>HYPERLINK("https://www.oursportscentral.com/services/releases/4-6-2024-louisville-city-fc-vs-indy-eleven--game-highlights/n-6076109")</f>
        <v>https://www.oursportscentral.com/services/releases/4-6-2024-louisville-city-fc-vs-indy-eleven--game-highlights/n-6076109</v>
      </c>
      <c r="C96" s="2"/>
      <c r="D96" s="2" t="s">
        <v>24</v>
      </c>
      <c r="E96" s="5">
        <v>45388.706944444442</v>
      </c>
      <c r="F96" s="2" t="s">
        <v>1685</v>
      </c>
      <c r="G96" s="2">
        <v>40402</v>
      </c>
      <c r="H96" s="2">
        <v>0</v>
      </c>
      <c r="I96" s="2">
        <v>0</v>
      </c>
      <c r="J96" s="2">
        <v>0</v>
      </c>
      <c r="K96" s="2" t="s">
        <v>25</v>
      </c>
      <c r="L96" s="4">
        <v>373.72</v>
      </c>
      <c r="M96" s="2"/>
      <c r="N96" t="s">
        <v>4457</v>
      </c>
    </row>
    <row r="97" spans="1:14" ht="184.8" x14ac:dyDescent="0.3">
      <c r="A97" s="2" t="s">
        <v>1686</v>
      </c>
      <c r="B97" s="2" t="str">
        <f>HYPERLINK("https://www.oursportscentral.com/services/releases/harris-bags-a-hat-trick-loucity-rolls-past-indy-eleven-on-cbs/n-6076106")</f>
        <v>https://www.oursportscentral.com/services/releases/harris-bags-a-hat-trick-loucity-rolls-past-indy-eleven-on-cbs/n-6076106</v>
      </c>
      <c r="C97" s="2"/>
      <c r="D97" s="2" t="s">
        <v>24</v>
      </c>
      <c r="E97" s="5">
        <v>45388.706250000003</v>
      </c>
      <c r="F97" s="2" t="s">
        <v>1687</v>
      </c>
      <c r="G97" s="2">
        <v>40402</v>
      </c>
      <c r="H97" s="2">
        <v>0</v>
      </c>
      <c r="I97" s="2">
        <v>0</v>
      </c>
      <c r="J97" s="2">
        <v>0</v>
      </c>
      <c r="K97" s="2" t="s">
        <v>31</v>
      </c>
      <c r="L97" s="4">
        <v>373.72</v>
      </c>
      <c r="M97" s="2"/>
      <c r="N97" t="s">
        <v>4457</v>
      </c>
    </row>
    <row r="98" spans="1:14" ht="409.6" x14ac:dyDescent="0.3">
      <c r="A98" s="2" t="s">
        <v>1688</v>
      </c>
      <c r="B98" s="2" t="str">
        <f>HYPERLINK("https://www.oursportscentral.com/services/releases/three-goals-not-enough-for-indy-eleven/n-6076089")</f>
        <v>https://www.oursportscentral.com/services/releases/three-goals-not-enough-for-indy-eleven/n-6076089</v>
      </c>
      <c r="C98" s="2"/>
      <c r="D98" s="2" t="s">
        <v>24</v>
      </c>
      <c r="E98" s="5">
        <v>45388.701388888891</v>
      </c>
      <c r="F98" s="2" t="s">
        <v>1689</v>
      </c>
      <c r="G98" s="2">
        <v>40402</v>
      </c>
      <c r="H98" s="2">
        <v>0</v>
      </c>
      <c r="I98" s="2">
        <v>0</v>
      </c>
      <c r="J98" s="2">
        <v>0</v>
      </c>
      <c r="K98" s="2" t="s">
        <v>31</v>
      </c>
      <c r="L98" s="4">
        <v>373.72</v>
      </c>
      <c r="M98" s="2"/>
      <c r="N98" t="s">
        <v>4457</v>
      </c>
    </row>
    <row r="99" spans="1:14" ht="409.6" x14ac:dyDescent="0.3">
      <c r="A99" s="2" t="s">
        <v>34</v>
      </c>
      <c r="B99" s="2" t="str">
        <f>HYPERLINK("https://www.heraldbulletin.com/sports/coming-up/article_6a7dbbea-f365-11ee-a1da-e701b7c575e0.html")</f>
        <v>https://www.heraldbulletin.com/sports/coming-up/article_6a7dbbea-f365-11ee-a1da-e701b7c575e0.html</v>
      </c>
      <c r="C99" s="2"/>
      <c r="D99" s="2" t="s">
        <v>35</v>
      </c>
      <c r="E99" s="5">
        <v>45388.336388888893</v>
      </c>
      <c r="F99" s="2" t="s">
        <v>1690</v>
      </c>
      <c r="G99" s="2">
        <v>50260</v>
      </c>
      <c r="H99" s="2">
        <v>0</v>
      </c>
      <c r="I99" s="2">
        <v>0</v>
      </c>
      <c r="J99" s="2">
        <v>1</v>
      </c>
      <c r="K99" s="2" t="s">
        <v>25</v>
      </c>
      <c r="L99" s="4">
        <v>464.9</v>
      </c>
      <c r="M99" s="2"/>
      <c r="N99" t="s">
        <v>4458</v>
      </c>
    </row>
    <row r="100" spans="1:14" ht="145.19999999999999" x14ac:dyDescent="0.3">
      <c r="A100" s="2" t="s">
        <v>1692</v>
      </c>
      <c r="B100" s="2" t="str">
        <f>HYPERLINK("https://www.wishtv.com/contests/win-tickets-to-see-the-indy-eleven-play-at-home-april-13th/")</f>
        <v>https://www.wishtv.com/contests/win-tickets-to-see-the-indy-eleven-play-at-home-april-13th/</v>
      </c>
      <c r="C100" s="2" t="s">
        <v>55</v>
      </c>
      <c r="D100" s="2" t="s">
        <v>38</v>
      </c>
      <c r="E100" s="5">
        <v>45387.807939814818</v>
      </c>
      <c r="F100" s="2" t="s">
        <v>1693</v>
      </c>
      <c r="G100" s="2">
        <v>568116</v>
      </c>
      <c r="H100" s="2"/>
      <c r="I100" s="2"/>
      <c r="J100" s="2"/>
      <c r="K100" s="2" t="s">
        <v>25</v>
      </c>
      <c r="L100" s="4">
        <v>5255.07</v>
      </c>
      <c r="M100" s="2"/>
      <c r="N100" t="s">
        <v>4458</v>
      </c>
    </row>
    <row r="101" spans="1:14" ht="409.6" x14ac:dyDescent="0.3">
      <c r="A101" s="2" t="s">
        <v>1696</v>
      </c>
      <c r="B101" s="2" t="str">
        <f>HYPERLINK("https://www.oursportscentral.com/services/releases/louisville-city-fc-indy-eleven-rivalry-to-feature-in-historic-network-television-debut-saturday-on-cbs/n-6075517")</f>
        <v>https://www.oursportscentral.com/services/releases/louisville-city-fc-indy-eleven-rivalry-to-feature-in-historic-network-television-debut-saturday-on-cbs/n-6075517</v>
      </c>
      <c r="C101" s="2"/>
      <c r="D101" s="2" t="s">
        <v>24</v>
      </c>
      <c r="E101" s="5">
        <v>45387.545138888891</v>
      </c>
      <c r="F101" s="2" t="s">
        <v>1697</v>
      </c>
      <c r="G101" s="2">
        <v>40402</v>
      </c>
      <c r="H101" s="2">
        <v>0</v>
      </c>
      <c r="I101" s="2">
        <v>0</v>
      </c>
      <c r="J101" s="2">
        <v>0</v>
      </c>
      <c r="K101" s="2" t="s">
        <v>25</v>
      </c>
      <c r="L101" s="4">
        <v>373.72</v>
      </c>
      <c r="M101" s="2"/>
      <c r="N101" t="s">
        <v>4457</v>
      </c>
    </row>
    <row r="102" spans="1:14" ht="409.6" x14ac:dyDescent="0.3">
      <c r="A102" s="2" t="s">
        <v>34</v>
      </c>
      <c r="B102" s="2" t="str">
        <f>HYPERLINK("https://www.heraldbulletin.com/sports/coming-up/article_122f0290-f2a3-11ee-9669-47dc49533a6c.html")</f>
        <v>https://www.heraldbulletin.com/sports/coming-up/article_122f0290-f2a3-11ee-9669-47dc49533a6c.html</v>
      </c>
      <c r="C102" s="2"/>
      <c r="D102" s="2" t="s">
        <v>35</v>
      </c>
      <c r="E102" s="5">
        <v>45387.331863425927</v>
      </c>
      <c r="F102" s="2" t="s">
        <v>1690</v>
      </c>
      <c r="G102" s="2">
        <v>50260</v>
      </c>
      <c r="H102" s="2">
        <v>0</v>
      </c>
      <c r="I102" s="2">
        <v>0</v>
      </c>
      <c r="J102" s="2">
        <v>16</v>
      </c>
      <c r="K102" s="2" t="s">
        <v>25</v>
      </c>
      <c r="L102" s="4">
        <v>464.9</v>
      </c>
      <c r="M102" s="2"/>
      <c r="N102" t="s">
        <v>4458</v>
      </c>
    </row>
    <row r="103" spans="1:14" ht="409.6" x14ac:dyDescent="0.3">
      <c r="A103" s="2" t="s">
        <v>1699</v>
      </c>
      <c r="B103" s="2" t="str">
        <f>HYPERLINK("https://www.oursportscentral.com/services/releases/what-to-watch-for-when-loucity-hosts-indy-eleven-on-cbs/n-6075322")</f>
        <v>https://www.oursportscentral.com/services/releases/what-to-watch-for-when-loucity-hosts-indy-eleven-on-cbs/n-6075322</v>
      </c>
      <c r="C103" s="2"/>
      <c r="D103" s="2" t="s">
        <v>24</v>
      </c>
      <c r="E103" s="5">
        <v>45387.25</v>
      </c>
      <c r="F103" s="2" t="s">
        <v>1700</v>
      </c>
      <c r="G103" s="2">
        <v>40402</v>
      </c>
      <c r="H103" s="2">
        <v>0</v>
      </c>
      <c r="I103" s="2">
        <v>0</v>
      </c>
      <c r="J103" s="2">
        <v>0</v>
      </c>
      <c r="K103" s="2" t="s">
        <v>25</v>
      </c>
      <c r="L103" s="4">
        <v>373.72</v>
      </c>
      <c r="M103" s="2"/>
      <c r="N103" t="s">
        <v>4457</v>
      </c>
    </row>
    <row r="104" spans="1:14" ht="409.6" x14ac:dyDescent="0.3">
      <c r="A104" s="2" t="s">
        <v>1702</v>
      </c>
      <c r="B104" s="2" t="str">
        <f>HYPERLINK("https://euro.eseuro.com/trends/2373945.html")</f>
        <v>https://euro.eseuro.com/trends/2373945.html</v>
      </c>
      <c r="C104" s="2"/>
      <c r="D104" s="2" t="s">
        <v>1611</v>
      </c>
      <c r="E104" s="5">
        <v>45386.804236111107</v>
      </c>
      <c r="F104" s="2" t="s">
        <v>1703</v>
      </c>
      <c r="G104" s="2">
        <v>728</v>
      </c>
      <c r="H104" s="2">
        <v>0</v>
      </c>
      <c r="I104" s="2">
        <v>0</v>
      </c>
      <c r="J104" s="2">
        <v>0</v>
      </c>
      <c r="K104" s="2" t="s">
        <v>47</v>
      </c>
      <c r="L104" s="4">
        <v>6.73</v>
      </c>
      <c r="M104" s="2"/>
      <c r="N104" t="s">
        <v>4459</v>
      </c>
    </row>
    <row r="105" spans="1:14" ht="409.6" x14ac:dyDescent="0.3">
      <c r="A105" s="2" t="s">
        <v>1704</v>
      </c>
      <c r="B105" s="2" t="str">
        <f>HYPERLINK("https://www.chicagofirefc.com/two/news/chicago-fire-fc-ii-to-face-indy-eleven-in-third-round-of-the-2024-lamar-hunt-u-s")</f>
        <v>https://www.chicagofirefc.com/two/news/chicago-fire-fc-ii-to-face-indy-eleven-in-third-round-of-the-2024-lamar-hunt-u-s</v>
      </c>
      <c r="C105" s="2" t="s">
        <v>1608</v>
      </c>
      <c r="D105" s="2" t="s">
        <v>320</v>
      </c>
      <c r="E105" s="5">
        <v>45386.765335648153</v>
      </c>
      <c r="F105" s="2" t="s">
        <v>1705</v>
      </c>
      <c r="G105" s="2">
        <v>67040</v>
      </c>
      <c r="H105" s="2">
        <v>0</v>
      </c>
      <c r="I105" s="2">
        <v>0</v>
      </c>
      <c r="J105" s="2">
        <v>0</v>
      </c>
      <c r="K105" s="2" t="s">
        <v>47</v>
      </c>
      <c r="L105" s="4">
        <v>620.12</v>
      </c>
      <c r="M105" s="2"/>
      <c r="N105" t="s">
        <v>4457</v>
      </c>
    </row>
    <row r="106" spans="1:14" ht="409.6" x14ac:dyDescent="0.3">
      <c r="A106" s="2" t="s">
        <v>1707</v>
      </c>
      <c r="B106" s="2" t="str">
        <f>HYPERLINK("https://www.oursportscentral.com/services/releases/indy-eleven-to-play-chicago-fire-fc-ii-in-u-s-open-cup-third-round/n-6075113")</f>
        <v>https://www.oursportscentral.com/services/releases/indy-eleven-to-play-chicago-fire-fc-ii-in-u-s-open-cup-third-round/n-6075113</v>
      </c>
      <c r="C106" s="2"/>
      <c r="D106" s="2" t="s">
        <v>24</v>
      </c>
      <c r="E106" s="5">
        <v>45386.602083333331</v>
      </c>
      <c r="F106" s="2" t="s">
        <v>1708</v>
      </c>
      <c r="G106" s="2">
        <v>40402</v>
      </c>
      <c r="H106" s="2">
        <v>0</v>
      </c>
      <c r="I106" s="2">
        <v>0</v>
      </c>
      <c r="J106" s="2">
        <v>0</v>
      </c>
      <c r="K106" s="2" t="s">
        <v>25</v>
      </c>
      <c r="L106" s="4">
        <v>373.72</v>
      </c>
      <c r="M106" s="2"/>
      <c r="N106" t="s">
        <v>4457</v>
      </c>
    </row>
    <row r="107" spans="1:14" ht="409.6" x14ac:dyDescent="0.3">
      <c r="A107" s="2" t="s">
        <v>1709</v>
      </c>
      <c r="B107" s="2" t="str">
        <f>HYPERLINK("https://www.tvb.org/news/industry-news/wish-and-wndy-to-broadcast-usls-indy-eleven-games-again/")</f>
        <v>https://www.tvb.org/news/industry-news/wish-and-wndy-to-broadcast-usls-indy-eleven-games-again/</v>
      </c>
      <c r="C107" s="2" t="s">
        <v>1710</v>
      </c>
      <c r="D107" s="2" t="s">
        <v>1711</v>
      </c>
      <c r="E107" s="5">
        <v>45386.496782407397</v>
      </c>
      <c r="F107" s="2" t="s">
        <v>1712</v>
      </c>
      <c r="G107" s="2">
        <v>3448</v>
      </c>
      <c r="H107" s="2">
        <v>0</v>
      </c>
      <c r="I107" s="2">
        <v>0</v>
      </c>
      <c r="J107" s="2">
        <v>0</v>
      </c>
      <c r="K107" s="2" t="s">
        <v>25</v>
      </c>
      <c r="L107" s="4">
        <v>31.89</v>
      </c>
      <c r="M107" s="2"/>
      <c r="N107" t="s">
        <v>4459</v>
      </c>
    </row>
    <row r="108" spans="1:14" ht="409.6" x14ac:dyDescent="0.3">
      <c r="A108" s="2" t="s">
        <v>1713</v>
      </c>
      <c r="B108" s="2" t="str">
        <f>HYPERLINK("https://www.wishtv.com/podcast-episode/indy-eleven-coaches-show-episode-2/")</f>
        <v>https://www.wishtv.com/podcast-episode/indy-eleven-coaches-show-episode-2/</v>
      </c>
      <c r="C108" s="2"/>
      <c r="D108" s="2" t="s">
        <v>38</v>
      </c>
      <c r="E108" s="5">
        <v>45386.395949074067</v>
      </c>
      <c r="F108" s="2" t="s">
        <v>1714</v>
      </c>
      <c r="G108" s="2">
        <v>568116</v>
      </c>
      <c r="H108" s="2">
        <v>0</v>
      </c>
      <c r="I108" s="2">
        <v>0</v>
      </c>
      <c r="J108" s="2">
        <v>0</v>
      </c>
      <c r="K108" s="2" t="s">
        <v>25</v>
      </c>
      <c r="L108" s="4">
        <v>5255.07</v>
      </c>
      <c r="M108" s="2"/>
      <c r="N108" t="s">
        <v>4458</v>
      </c>
    </row>
    <row r="109" spans="1:14" ht="184.8" x14ac:dyDescent="0.3">
      <c r="A109" s="2" t="s">
        <v>1715</v>
      </c>
      <c r="B109" s="2" t="str">
        <f>HYPERLINK("https://tvnewscheck.com/programming/article/wish-and-wndy-to-broadcast-usls-indy-eleven-games-again/")</f>
        <v>https://tvnewscheck.com/programming/article/wish-and-wndy-to-broadcast-usls-indy-eleven-games-again/</v>
      </c>
      <c r="C109" s="2" t="s">
        <v>1716</v>
      </c>
      <c r="D109" s="2" t="s">
        <v>1717</v>
      </c>
      <c r="E109" s="5">
        <v>45386.359571759262</v>
      </c>
      <c r="F109" s="2" t="s">
        <v>1718</v>
      </c>
      <c r="G109" s="2">
        <v>56116</v>
      </c>
      <c r="H109" s="2">
        <v>0</v>
      </c>
      <c r="I109" s="2">
        <v>0</v>
      </c>
      <c r="J109" s="2">
        <v>0</v>
      </c>
      <c r="K109" s="2" t="s">
        <v>25</v>
      </c>
      <c r="L109" s="4">
        <v>519.07000000000005</v>
      </c>
      <c r="M109" s="2"/>
      <c r="N109" t="s">
        <v>4459</v>
      </c>
    </row>
    <row r="110" spans="1:14" ht="409.6" x14ac:dyDescent="0.3">
      <c r="A110" s="2" t="s">
        <v>34</v>
      </c>
      <c r="B110" s="2" t="str">
        <f>HYPERLINK("https://www.heraldbulletin.com/sports/coming-up/article_5b6034f0-f20a-11ee-af04-97ef8e98651a.html")</f>
        <v>https://www.heraldbulletin.com/sports/coming-up/article_5b6034f0-f20a-11ee-af04-97ef8e98651a.html</v>
      </c>
      <c r="C110" s="2"/>
      <c r="D110" s="2" t="s">
        <v>35</v>
      </c>
      <c r="E110" s="5">
        <v>45386.299976851849</v>
      </c>
      <c r="F110" s="2" t="s">
        <v>1690</v>
      </c>
      <c r="G110" s="2">
        <v>50260</v>
      </c>
      <c r="H110" s="2">
        <v>0</v>
      </c>
      <c r="I110" s="2">
        <v>0</v>
      </c>
      <c r="J110" s="2">
        <v>5</v>
      </c>
      <c r="K110" s="2" t="s">
        <v>25</v>
      </c>
      <c r="L110" s="4">
        <v>464.9</v>
      </c>
      <c r="M110" s="2"/>
      <c r="N110" t="s">
        <v>4458</v>
      </c>
    </row>
    <row r="111" spans="1:14" ht="184.8" x14ac:dyDescent="0.3">
      <c r="A111" s="2" t="s">
        <v>1719</v>
      </c>
      <c r="B111" s="2" t="str">
        <f>HYPERLINK("https://www.uslchampionship.com/news_article/show/1306001")</f>
        <v>https://www.uslchampionship.com/news_article/show/1306001</v>
      </c>
      <c r="C111" s="2" t="s">
        <v>45</v>
      </c>
      <c r="D111" s="2" t="s">
        <v>28</v>
      </c>
      <c r="E111" s="5">
        <v>45385.673611111109</v>
      </c>
      <c r="F111" s="2" t="s">
        <v>1720</v>
      </c>
      <c r="G111" s="2">
        <v>44392</v>
      </c>
      <c r="H111" s="2">
        <v>0</v>
      </c>
      <c r="I111" s="2">
        <v>0</v>
      </c>
      <c r="J111" s="2">
        <v>39</v>
      </c>
      <c r="K111" s="2" t="s">
        <v>25</v>
      </c>
      <c r="L111" s="4">
        <v>410.63</v>
      </c>
      <c r="M111" s="2"/>
      <c r="N111" t="s">
        <v>4457</v>
      </c>
    </row>
    <row r="112" spans="1:14" ht="382.8" x14ac:dyDescent="0.3">
      <c r="A112" s="2" t="s">
        <v>1721</v>
      </c>
      <c r="B112" s="2" t="str">
        <f>HYPERLINK("https://www.uslchampionship.com/news_article/show/1305973")</f>
        <v>https://www.uslchampionship.com/news_article/show/1305973</v>
      </c>
      <c r="C112" s="2" t="s">
        <v>26</v>
      </c>
      <c r="D112" s="2" t="s">
        <v>28</v>
      </c>
      <c r="E112" s="5">
        <v>45385.522222222222</v>
      </c>
      <c r="F112" s="2" t="s">
        <v>1722</v>
      </c>
      <c r="G112" s="2">
        <v>44392</v>
      </c>
      <c r="H112" s="2">
        <v>0</v>
      </c>
      <c r="I112" s="2">
        <v>0</v>
      </c>
      <c r="J112" s="2">
        <v>0</v>
      </c>
      <c r="K112" s="2" t="s">
        <v>47</v>
      </c>
      <c r="L112" s="4">
        <v>410.63</v>
      </c>
      <c r="M112" s="2"/>
      <c r="N112" t="s">
        <v>4457</v>
      </c>
    </row>
    <row r="113" spans="1:14" ht="409.6" x14ac:dyDescent="0.3">
      <c r="A113" s="2" t="s">
        <v>34</v>
      </c>
      <c r="B113" s="2" t="str">
        <f>HYPERLINK("https://www.heraldbulletin.com/sports/coming-up/article_91cd175a-f13e-11ee-8930-ab54aee0f957.html")</f>
        <v>https://www.heraldbulletin.com/sports/coming-up/article_91cd175a-f13e-11ee-8930-ab54aee0f957.html</v>
      </c>
      <c r="C113" s="2"/>
      <c r="D113" s="2" t="s">
        <v>35</v>
      </c>
      <c r="E113" s="5">
        <v>45385.330104166656</v>
      </c>
      <c r="F113" s="2" t="s">
        <v>1690</v>
      </c>
      <c r="G113" s="2">
        <v>50260</v>
      </c>
      <c r="H113" s="2">
        <v>0</v>
      </c>
      <c r="I113" s="2">
        <v>0</v>
      </c>
      <c r="J113" s="2">
        <v>28</v>
      </c>
      <c r="K113" s="2" t="s">
        <v>25</v>
      </c>
      <c r="L113" s="4">
        <v>464.9</v>
      </c>
      <c r="M113" s="2"/>
      <c r="N113" t="s">
        <v>4458</v>
      </c>
    </row>
    <row r="114" spans="1:14" ht="409.6" x14ac:dyDescent="0.3">
      <c r="A114" s="2" t="s">
        <v>1723</v>
      </c>
      <c r="B114" s="2" t="str">
        <f>HYPERLINK("https://mwsn.net/archives/historic-usl-match-between-louisville-city-and-indy-eleven-to-air-on-cbs-television-network/")</f>
        <v>https://mwsn.net/archives/historic-usl-match-between-louisville-city-and-indy-eleven-to-air-on-cbs-television-network/</v>
      </c>
      <c r="C114" s="2" t="s">
        <v>1724</v>
      </c>
      <c r="D114" s="2" t="s">
        <v>1725</v>
      </c>
      <c r="E114" s="5">
        <v>45384.543738425928</v>
      </c>
      <c r="F114" s="2" t="s">
        <v>1726</v>
      </c>
      <c r="G114" s="2">
        <v>107</v>
      </c>
      <c r="H114" s="2">
        <v>0</v>
      </c>
      <c r="I114" s="2">
        <v>0</v>
      </c>
      <c r="J114" s="2">
        <v>0</v>
      </c>
      <c r="K114" s="2" t="s">
        <v>25</v>
      </c>
      <c r="L114" s="4">
        <v>0.99</v>
      </c>
      <c r="M114" s="2"/>
      <c r="N114" t="s">
        <v>4457</v>
      </c>
    </row>
    <row r="115" spans="1:14" ht="409.6" x14ac:dyDescent="0.3">
      <c r="A115" s="2" t="s">
        <v>1727</v>
      </c>
      <c r="B115" s="2" t="str">
        <f>HYPERLINK("https://www.oursportscentral.com/services/releases/clark-county-joins-indy-eleven-club-affiliate-program/n-6074062")</f>
        <v>https://www.oursportscentral.com/services/releases/clark-county-joins-indy-eleven-club-affiliate-program/n-6074062</v>
      </c>
      <c r="C115" s="2"/>
      <c r="D115" s="2" t="s">
        <v>24</v>
      </c>
      <c r="E115" s="5">
        <v>45384.506249999999</v>
      </c>
      <c r="F115" s="2" t="s">
        <v>1728</v>
      </c>
      <c r="G115" s="2">
        <v>40402</v>
      </c>
      <c r="H115" s="2">
        <v>0</v>
      </c>
      <c r="I115" s="2">
        <v>0</v>
      </c>
      <c r="J115" s="2">
        <v>0</v>
      </c>
      <c r="K115" s="2" t="s">
        <v>25</v>
      </c>
      <c r="L115" s="4">
        <v>373.72</v>
      </c>
      <c r="M115" s="2"/>
      <c r="N115" t="s">
        <v>4457</v>
      </c>
    </row>
    <row r="116" spans="1:14" ht="409.6" x14ac:dyDescent="0.3">
      <c r="A116" s="2" t="s">
        <v>1729</v>
      </c>
      <c r="B116" s="2" t="str">
        <f>HYPERLINK("https://www.oursportscentral.com/services/releases/detroit-city-fc-midfielder-maxi-rodriguez-voted-player-of-the-week-after-goal-assist-in-comeback-against-indy-eleven/n-6074030")</f>
        <v>https://www.oursportscentral.com/services/releases/detroit-city-fc-midfielder-maxi-rodriguez-voted-player-of-the-week-after-goal-assist-in-comeback-against-indy-eleven/n-6074030</v>
      </c>
      <c r="C116" s="2"/>
      <c r="D116" s="2" t="s">
        <v>24</v>
      </c>
      <c r="E116" s="5">
        <v>45384.481249999997</v>
      </c>
      <c r="F116" s="2" t="s">
        <v>1730</v>
      </c>
      <c r="G116" s="2">
        <v>40402</v>
      </c>
      <c r="H116" s="2">
        <v>0</v>
      </c>
      <c r="I116" s="2">
        <v>0</v>
      </c>
      <c r="J116" s="2">
        <v>0</v>
      </c>
      <c r="K116" s="2" t="s">
        <v>25</v>
      </c>
      <c r="L116" s="4">
        <v>373.72</v>
      </c>
      <c r="M116" s="2"/>
      <c r="N116" t="s">
        <v>4457</v>
      </c>
    </row>
    <row r="117" spans="1:14" ht="409.6" x14ac:dyDescent="0.3">
      <c r="A117" s="2" t="s">
        <v>1731</v>
      </c>
      <c r="B117" s="2" t="str">
        <f>HYPERLINK("https://www.wishtv.com/community/wish-tv-and-myindy-tv-23-to-broadcast-indy-eleven-games-for-the-11th-consecutive-year/")</f>
        <v>https://www.wishtv.com/community/wish-tv-and-myindy-tv-23-to-broadcast-indy-eleven-games-for-the-11th-consecutive-year/</v>
      </c>
      <c r="C117" s="2" t="s">
        <v>134</v>
      </c>
      <c r="D117" s="2" t="s">
        <v>38</v>
      </c>
      <c r="E117" s="5">
        <v>45383.696064814823</v>
      </c>
      <c r="F117" s="2" t="s">
        <v>1732</v>
      </c>
      <c r="G117" s="2">
        <v>568116</v>
      </c>
      <c r="H117" s="2"/>
      <c r="I117" s="2"/>
      <c r="J117" s="2"/>
      <c r="K117" s="2" t="s">
        <v>25</v>
      </c>
      <c r="L117" s="4">
        <v>5255.07</v>
      </c>
      <c r="M117" s="2"/>
      <c r="N117" t="s">
        <v>4458</v>
      </c>
    </row>
    <row r="118" spans="1:14" ht="409.6" x14ac:dyDescent="0.3">
      <c r="A118" s="2" t="s">
        <v>1733</v>
      </c>
      <c r="B118" s="2" t="str">
        <f>HYPERLINK("https://www.wishtv.com/sports/indy-eleven/indy-eleven-vs-detroit-city-fc-from-march-30-2024/")</f>
        <v>https://www.wishtv.com/sports/indy-eleven/indy-eleven-vs-detroit-city-fc-from-march-30-2024/</v>
      </c>
      <c r="C118" s="2" t="s">
        <v>627</v>
      </c>
      <c r="D118" s="2" t="s">
        <v>38</v>
      </c>
      <c r="E118" s="5">
        <v>45383.228645833333</v>
      </c>
      <c r="F118" s="2" t="s">
        <v>1734</v>
      </c>
      <c r="G118" s="2">
        <v>568116</v>
      </c>
      <c r="H118" s="2"/>
      <c r="I118" s="2"/>
      <c r="J118" s="2"/>
      <c r="K118" s="2" t="s">
        <v>47</v>
      </c>
      <c r="L118" s="4">
        <v>5255.07</v>
      </c>
      <c r="M118" s="2"/>
      <c r="N118" t="s">
        <v>4458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2C9A8-5F38-47B0-86B1-0CFAC361E62A}">
  <dimension ref="A1:N225"/>
  <sheetViews>
    <sheetView workbookViewId="0">
      <selection activeCell="D122" sqref="D122"/>
    </sheetView>
  </sheetViews>
  <sheetFormatPr defaultRowHeight="14.4" x14ac:dyDescent="0.3"/>
  <cols>
    <col min="1" max="1" width="24.5546875" customWidth="1"/>
    <col min="2" max="2" width="17.6640625" customWidth="1"/>
    <col min="4" max="4" width="18.6640625" customWidth="1"/>
    <col min="5" max="5" width="27.6640625" customWidth="1"/>
    <col min="7" max="7" width="11" bestFit="1" customWidth="1"/>
    <col min="13" max="13" width="15.109375" bestFit="1" customWidth="1"/>
    <col min="14" max="14" width="17.33203125" bestFit="1" customWidth="1"/>
  </cols>
  <sheetData>
    <row r="1" spans="1:14" x14ac:dyDescent="0.3">
      <c r="A1" s="1" t="s">
        <v>13</v>
      </c>
      <c r="B1" s="1" t="s">
        <v>2</v>
      </c>
      <c r="C1" s="1" t="s">
        <v>14</v>
      </c>
      <c r="D1" s="1" t="s">
        <v>15</v>
      </c>
      <c r="E1" s="1" t="s">
        <v>16</v>
      </c>
      <c r="F1" s="1" t="s">
        <v>17</v>
      </c>
      <c r="G1" s="1" t="s">
        <v>18</v>
      </c>
      <c r="H1" s="1" t="s">
        <v>19</v>
      </c>
      <c r="I1" s="1" t="s">
        <v>20</v>
      </c>
      <c r="J1" s="1" t="s">
        <v>7</v>
      </c>
      <c r="K1" s="1" t="s">
        <v>21</v>
      </c>
      <c r="L1" s="1" t="s">
        <v>22</v>
      </c>
      <c r="M1" s="1" t="s">
        <v>23</v>
      </c>
      <c r="N1" s="1" t="s">
        <v>4456</v>
      </c>
    </row>
    <row r="2" spans="1:14" ht="409.6" x14ac:dyDescent="0.3">
      <c r="A2" s="2" t="s">
        <v>1124</v>
      </c>
      <c r="B2" s="2" t="str">
        <f>HYPERLINK("https://www.oursportscentral.com/services/releases/huntsville-city-fc-signs-midfielder-ethan-obrien-on-loan-from-indy-eleven/n-6102360")</f>
        <v>https://www.oursportscentral.com/services/releases/huntsville-city-fc-signs-midfielder-ethan-obrien-on-loan-from-indy-eleven/n-6102360</v>
      </c>
      <c r="C2" s="2"/>
      <c r="D2" s="2" t="s">
        <v>24</v>
      </c>
      <c r="E2" s="5">
        <v>45443.837500000001</v>
      </c>
      <c r="F2" s="2" t="s">
        <v>1125</v>
      </c>
      <c r="G2" s="2">
        <v>40402</v>
      </c>
      <c r="H2" s="2">
        <v>0</v>
      </c>
      <c r="I2" s="2">
        <v>0</v>
      </c>
      <c r="J2" s="2">
        <v>0</v>
      </c>
      <c r="K2" s="2" t="s">
        <v>25</v>
      </c>
      <c r="L2" s="4">
        <v>373.72</v>
      </c>
      <c r="M2" s="2"/>
      <c r="N2" t="s">
        <v>4457</v>
      </c>
    </row>
    <row r="3" spans="1:14" ht="79.2" x14ac:dyDescent="0.3">
      <c r="A3" s="2" t="s">
        <v>1126</v>
      </c>
      <c r="B3" s="2" t="str">
        <f>HYPERLINK("https://dailysports.net/predictions/pittsburgh-vs-indy-eleven-prediction-and-betting-tips-june-2-2024/")</f>
        <v>https://dailysports.net/predictions/pittsburgh-vs-indy-eleven-prediction-and-betting-tips-june-2-2024/</v>
      </c>
      <c r="C3" s="2" t="s">
        <v>284</v>
      </c>
      <c r="D3" s="2" t="s">
        <v>285</v>
      </c>
      <c r="E3" s="5">
        <v>45443.804571759261</v>
      </c>
      <c r="F3" s="2" t="s">
        <v>1127</v>
      </c>
      <c r="G3" s="2"/>
      <c r="H3" s="2">
        <v>0</v>
      </c>
      <c r="I3" s="2">
        <v>0</v>
      </c>
      <c r="J3" s="2">
        <v>0</v>
      </c>
      <c r="K3" s="2" t="s">
        <v>25</v>
      </c>
      <c r="L3" s="2"/>
      <c r="M3" s="2"/>
      <c r="N3" t="s">
        <v>4459</v>
      </c>
    </row>
    <row r="4" spans="1:14" ht="409.2" x14ac:dyDescent="0.3">
      <c r="A4" s="2" t="s">
        <v>34</v>
      </c>
      <c r="B4" s="2" t="str">
        <f>HYPERLINK("https://www.heraldbulletin.com/sports/coming-up/article_8bb5c08a-1ecd-11ef-aa7b-9f8980eb72ed.html")</f>
        <v>https://www.heraldbulletin.com/sports/coming-up/article_8bb5c08a-1ecd-11ef-aa7b-9f8980eb72ed.html</v>
      </c>
      <c r="C4" s="2"/>
      <c r="D4" s="2" t="s">
        <v>35</v>
      </c>
      <c r="E4" s="5">
        <v>45443.297719907408</v>
      </c>
      <c r="F4" s="2" t="s">
        <v>1120</v>
      </c>
      <c r="G4" s="2">
        <v>50260</v>
      </c>
      <c r="H4" s="2">
        <v>0</v>
      </c>
      <c r="I4" s="2">
        <v>0</v>
      </c>
      <c r="J4" s="2">
        <v>1</v>
      </c>
      <c r="K4" s="2" t="s">
        <v>25</v>
      </c>
      <c r="L4" s="4">
        <v>464.9</v>
      </c>
      <c r="M4" s="2"/>
      <c r="N4" t="s">
        <v>4458</v>
      </c>
    </row>
    <row r="5" spans="1:14" ht="409.6" x14ac:dyDescent="0.3">
      <c r="A5" s="2" t="s">
        <v>1132</v>
      </c>
      <c r="B5" s="2" t="str">
        <f>HYPERLINK("https://fox59.com/indiana-news/indy-eleven-owner-says-stadium-construction-can-begin-next-month/")</f>
        <v>https://fox59.com/indiana-news/indy-eleven-owner-says-stadium-construction-can-begin-next-month/</v>
      </c>
      <c r="C5" s="2" t="s">
        <v>1129</v>
      </c>
      <c r="D5" s="2" t="s">
        <v>147</v>
      </c>
      <c r="E5" s="5">
        <v>45442.728391203702</v>
      </c>
      <c r="F5" s="2" t="s">
        <v>1133</v>
      </c>
      <c r="G5" s="2">
        <v>1351925</v>
      </c>
      <c r="H5" s="2">
        <v>0</v>
      </c>
      <c r="I5" s="2">
        <v>0</v>
      </c>
      <c r="J5" s="2">
        <v>1</v>
      </c>
      <c r="K5" s="2" t="s">
        <v>31</v>
      </c>
      <c r="L5" s="4">
        <v>12505.31</v>
      </c>
      <c r="M5" s="2"/>
      <c r="N5" t="s">
        <v>4458</v>
      </c>
    </row>
    <row r="6" spans="1:14" ht="356.4" x14ac:dyDescent="0.3">
      <c r="A6" s="2" t="s">
        <v>1128</v>
      </c>
      <c r="B6" s="2" t="str">
        <f>HYPERLINK("https://cbs4indy.com/indiana-news/indy-eleven-owner-says-stadium-construction-can-begin-next-month/")</f>
        <v>https://cbs4indy.com/indiana-news/indy-eleven-owner-says-stadium-construction-can-begin-next-month/</v>
      </c>
      <c r="C6" s="2" t="s">
        <v>1129</v>
      </c>
      <c r="D6" s="2" t="s">
        <v>146</v>
      </c>
      <c r="E6" s="5">
        <v>45442.71466435185</v>
      </c>
      <c r="F6" s="2" t="s">
        <v>1131</v>
      </c>
      <c r="G6" s="2">
        <v>153722</v>
      </c>
      <c r="H6" s="2">
        <v>0</v>
      </c>
      <c r="I6" s="2">
        <v>0</v>
      </c>
      <c r="J6" s="2">
        <v>18</v>
      </c>
      <c r="K6" s="2" t="s">
        <v>31</v>
      </c>
      <c r="L6" s="4">
        <v>1421.93</v>
      </c>
      <c r="M6" s="2"/>
      <c r="N6" t="s">
        <v>4458</v>
      </c>
    </row>
    <row r="7" spans="1:14" ht="145.19999999999999" x14ac:dyDescent="0.3">
      <c r="A7" s="2" t="s">
        <v>1135</v>
      </c>
      <c r="B7" s="2" t="str">
        <f>HYPERLINK("https://www.oursportscentral.com/services/releases/preview-hounds-vs-indy-eleven/n-6101959")</f>
        <v>https://www.oursportscentral.com/services/releases/preview-hounds-vs-indy-eleven/n-6101959</v>
      </c>
      <c r="C7" s="2"/>
      <c r="D7" s="2" t="s">
        <v>24</v>
      </c>
      <c r="E7" s="5">
        <v>45442.533333333333</v>
      </c>
      <c r="F7" s="2" t="s">
        <v>1136</v>
      </c>
      <c r="G7" s="2">
        <v>40402</v>
      </c>
      <c r="H7" s="2">
        <v>0</v>
      </c>
      <c r="I7" s="2">
        <v>0</v>
      </c>
      <c r="J7" s="2">
        <v>0</v>
      </c>
      <c r="K7" s="2" t="s">
        <v>31</v>
      </c>
      <c r="L7" s="4">
        <v>373.72</v>
      </c>
      <c r="M7" s="2"/>
      <c r="N7" t="s">
        <v>4457</v>
      </c>
    </row>
    <row r="8" spans="1:14" ht="409.2" x14ac:dyDescent="0.3">
      <c r="A8" s="2" t="s">
        <v>34</v>
      </c>
      <c r="B8" s="2" t="str">
        <f>HYPERLINK("https://www.heraldbulletin.com/sports/coming-up/article_34958a20-1deb-11ef-8a7a-bb347e9f504b.html")</f>
        <v>https://www.heraldbulletin.com/sports/coming-up/article_34958a20-1deb-11ef-8a7a-bb347e9f504b.html</v>
      </c>
      <c r="C8" s="2"/>
      <c r="D8" s="2" t="s">
        <v>35</v>
      </c>
      <c r="E8" s="5">
        <v>45442.297210648147</v>
      </c>
      <c r="F8" s="2" t="s">
        <v>1120</v>
      </c>
      <c r="G8" s="2">
        <v>50260</v>
      </c>
      <c r="H8" s="2">
        <v>0</v>
      </c>
      <c r="I8" s="2">
        <v>0</v>
      </c>
      <c r="J8" s="2">
        <v>16</v>
      </c>
      <c r="K8" s="2" t="s">
        <v>25</v>
      </c>
      <c r="L8" s="4">
        <v>464.9</v>
      </c>
      <c r="M8" s="2"/>
      <c r="N8" t="s">
        <v>4458</v>
      </c>
    </row>
    <row r="9" spans="1:14" ht="409.6" x14ac:dyDescent="0.3">
      <c r="A9" s="2" t="s">
        <v>1139</v>
      </c>
      <c r="B9" s="2" t="str">
        <f>HYPERLINK("https://www.oursportscentral.com/services/releases/indy-eleven-victorious-over-st-charles-fc/n-6101459")</f>
        <v>https://www.oursportscentral.com/services/releases/indy-eleven-victorious-over-st-charles-fc/n-6101459</v>
      </c>
      <c r="C9" s="2"/>
      <c r="D9" s="2" t="s">
        <v>24</v>
      </c>
      <c r="E9" s="5">
        <v>45441.799305555563</v>
      </c>
      <c r="F9" s="2" t="s">
        <v>1140</v>
      </c>
      <c r="G9" s="2">
        <v>40402</v>
      </c>
      <c r="H9" s="2">
        <v>0</v>
      </c>
      <c r="I9" s="2">
        <v>0</v>
      </c>
      <c r="J9" s="2">
        <v>0</v>
      </c>
      <c r="K9" s="2" t="s">
        <v>25</v>
      </c>
      <c r="L9" s="4">
        <v>373.72</v>
      </c>
      <c r="M9" s="2"/>
      <c r="N9" t="s">
        <v>4457</v>
      </c>
    </row>
    <row r="10" spans="1:14" ht="409.6" x14ac:dyDescent="0.3">
      <c r="A10" s="2" t="s">
        <v>1141</v>
      </c>
      <c r="B10" s="2" t="str">
        <f>HYPERLINK("https://www.uslchampionship.com/news_article/show/1311252")</f>
        <v>https://www.uslchampionship.com/news_article/show/1311252</v>
      </c>
      <c r="C10" s="2" t="s">
        <v>26</v>
      </c>
      <c r="D10" s="2" t="s">
        <v>28</v>
      </c>
      <c r="E10" s="5">
        <v>45441.621527777781</v>
      </c>
      <c r="F10" s="2" t="s">
        <v>1142</v>
      </c>
      <c r="G10" s="2">
        <v>44392</v>
      </c>
      <c r="H10" s="2">
        <v>0</v>
      </c>
      <c r="I10" s="2">
        <v>0</v>
      </c>
      <c r="J10" s="2">
        <v>0</v>
      </c>
      <c r="K10" s="2" t="s">
        <v>25</v>
      </c>
      <c r="L10" s="4">
        <v>410.63</v>
      </c>
      <c r="M10" s="2"/>
      <c r="N10" t="s">
        <v>4457</v>
      </c>
    </row>
    <row r="11" spans="1:14" ht="277.2" x14ac:dyDescent="0.3">
      <c r="A11" s="2" t="s">
        <v>1143</v>
      </c>
      <c r="B11" s="2" t="str">
        <f>HYPERLINK("https://www.yahoo.com/news/indianapolis-council-committee-passes-stadium-025447433.html")</f>
        <v>https://www.yahoo.com/news/indianapolis-council-committee-passes-stadium-025447433.html</v>
      </c>
      <c r="C11" s="2" t="s">
        <v>1023</v>
      </c>
      <c r="D11" s="2" t="s">
        <v>435</v>
      </c>
      <c r="E11" s="5">
        <v>45441.515300925923</v>
      </c>
      <c r="F11" s="2" t="s">
        <v>1144</v>
      </c>
      <c r="G11" s="2">
        <v>372878377</v>
      </c>
      <c r="H11" s="2">
        <v>0</v>
      </c>
      <c r="I11" s="2">
        <v>0</v>
      </c>
      <c r="J11" s="2">
        <v>0</v>
      </c>
      <c r="K11" s="2" t="s">
        <v>31</v>
      </c>
      <c r="L11" s="4">
        <v>3449124.99</v>
      </c>
      <c r="M11" s="2"/>
      <c r="N11" t="s">
        <v>4457</v>
      </c>
    </row>
    <row r="12" spans="1:14" ht="409.6" x14ac:dyDescent="0.3">
      <c r="A12" s="2" t="s">
        <v>1145</v>
      </c>
      <c r="B12" s="2" t="str">
        <f>HYPERLINK("https://www.oursportscentral.com/services/releases/why-new-mexico-united-and-indy-eleven-are-on-the-rise-usl-all-access/n-6101343")</f>
        <v>https://www.oursportscentral.com/services/releases/why-new-mexico-united-and-indy-eleven-are-on-the-rise-usl-all-access/n-6101343</v>
      </c>
      <c r="C12" s="2"/>
      <c r="D12" s="2" t="s">
        <v>24</v>
      </c>
      <c r="E12" s="5">
        <v>45441.508333333331</v>
      </c>
      <c r="F12" s="2" t="s">
        <v>1146</v>
      </c>
      <c r="G12" s="2">
        <v>40402</v>
      </c>
      <c r="H12" s="2">
        <v>0</v>
      </c>
      <c r="I12" s="2">
        <v>0</v>
      </c>
      <c r="J12" s="2">
        <v>0</v>
      </c>
      <c r="K12" s="2" t="s">
        <v>25</v>
      </c>
      <c r="L12" s="4">
        <v>373.72</v>
      </c>
      <c r="M12" s="2"/>
      <c r="N12" t="s">
        <v>4457</v>
      </c>
    </row>
    <row r="13" spans="1:14" ht="409.6" x14ac:dyDescent="0.3">
      <c r="A13" s="2" t="s">
        <v>1147</v>
      </c>
      <c r="B13" s="2" t="str">
        <f>HYPERLINK("https://wishtv.com/podcast-episode/announcer-for-indy-fuel-and-indy-eleven-dies-in-crash/")</f>
        <v>https://wishtv.com/podcast-episode/announcer-for-indy-fuel-and-indy-eleven-dies-in-crash/</v>
      </c>
      <c r="C13" s="2"/>
      <c r="D13" s="2" t="s">
        <v>38</v>
      </c>
      <c r="E13" s="5">
        <v>45441.395335648151</v>
      </c>
      <c r="F13" s="2" t="s">
        <v>1148</v>
      </c>
      <c r="G13" s="2">
        <v>568116</v>
      </c>
      <c r="H13" s="2">
        <v>0</v>
      </c>
      <c r="I13" s="2">
        <v>0</v>
      </c>
      <c r="J13" s="2">
        <v>0</v>
      </c>
      <c r="K13" s="2" t="s">
        <v>47</v>
      </c>
      <c r="L13" s="4">
        <v>5255.07</v>
      </c>
      <c r="M13" s="2"/>
      <c r="N13" t="s">
        <v>4458</v>
      </c>
    </row>
    <row r="14" spans="1:14" ht="409.6" x14ac:dyDescent="0.3">
      <c r="A14" s="2" t="s">
        <v>1149</v>
      </c>
      <c r="B14" s="2" t="str">
        <f>HYPERLINK("https://ourcommunitynow.com/P/scott-alan-announcer-for-indy-fuel-and-indy-eleven-dies-in-crash")</f>
        <v>https://ourcommunitynow.com/P/scott-alan-announcer-for-indy-fuel-and-indy-eleven-dies-in-crash</v>
      </c>
      <c r="C14" s="2"/>
      <c r="D14" s="2" t="s">
        <v>59</v>
      </c>
      <c r="E14" s="5">
        <v>45441.342627314807</v>
      </c>
      <c r="F14" s="2" t="s">
        <v>1150</v>
      </c>
      <c r="G14" s="2">
        <v>8184</v>
      </c>
      <c r="H14" s="2"/>
      <c r="I14" s="2"/>
      <c r="J14" s="2"/>
      <c r="K14" s="2" t="s">
        <v>47</v>
      </c>
      <c r="L14" s="4">
        <v>75.7</v>
      </c>
      <c r="M14" s="2"/>
      <c r="N14" t="s">
        <v>4458</v>
      </c>
    </row>
    <row r="15" spans="1:14" ht="409.6" x14ac:dyDescent="0.3">
      <c r="A15" s="2" t="s">
        <v>34</v>
      </c>
      <c r="B15" s="2" t="str">
        <f>HYPERLINK("https://www.heraldbulletin.com/sports/coming-up/article_14b90104-1d29-11ef-bbe9-73deca1eca7e.html")</f>
        <v>https://www.heraldbulletin.com/sports/coming-up/article_14b90104-1d29-11ef-bbe9-73deca1eca7e.html</v>
      </c>
      <c r="C15" s="2"/>
      <c r="D15" s="2" t="s">
        <v>35</v>
      </c>
      <c r="E15" s="5">
        <v>45441.298703703702</v>
      </c>
      <c r="F15" s="2" t="s">
        <v>1151</v>
      </c>
      <c r="G15" s="2">
        <v>50260</v>
      </c>
      <c r="H15" s="2">
        <v>0</v>
      </c>
      <c r="I15" s="2">
        <v>0</v>
      </c>
      <c r="J15" s="2">
        <v>0</v>
      </c>
      <c r="K15" s="2" t="s">
        <v>25</v>
      </c>
      <c r="L15" s="4">
        <v>464.9</v>
      </c>
      <c r="M15" s="2"/>
      <c r="N15" t="s">
        <v>4458</v>
      </c>
    </row>
    <row r="16" spans="1:14" ht="409.6" x14ac:dyDescent="0.3">
      <c r="A16" s="2" t="s">
        <v>1149</v>
      </c>
      <c r="B16" s="2" t="str">
        <f>HYPERLINK("https://www.wishtv.com/news/local-news/scott-alan-announcer-for-indy-fuel-and-indy-eleven-dies-in-crash/")</f>
        <v>https://www.wishtv.com/news/local-news/scott-alan-announcer-for-indy-fuel-and-indy-eleven-dies-in-crash/</v>
      </c>
      <c r="C16" s="2" t="s">
        <v>1152</v>
      </c>
      <c r="D16" s="2" t="s">
        <v>38</v>
      </c>
      <c r="E16" s="5">
        <v>45441.221296296288</v>
      </c>
      <c r="F16" s="2" t="s">
        <v>1153</v>
      </c>
      <c r="G16" s="2">
        <v>568116</v>
      </c>
      <c r="H16" s="2">
        <v>1</v>
      </c>
      <c r="I16" s="2">
        <v>4765</v>
      </c>
      <c r="J16" s="2">
        <v>5</v>
      </c>
      <c r="K16" s="2" t="s">
        <v>47</v>
      </c>
      <c r="L16" s="4">
        <v>5255.07</v>
      </c>
      <c r="M16" s="2"/>
      <c r="N16" t="s">
        <v>4458</v>
      </c>
    </row>
    <row r="17" spans="1:14" ht="409.6" x14ac:dyDescent="0.3">
      <c r="A17" s="2" t="s">
        <v>1158</v>
      </c>
      <c r="B17" s="2" t="str">
        <f>HYPERLINK("https://sportsfieldmanagementonline.com/2024/05/25/indy-eleven-stadium-plans-on-hold-after-human-remains-found/16791/")</f>
        <v>https://sportsfieldmanagementonline.com/2024/05/25/indy-eleven-stadium-plans-on-hold-after-human-remains-found/16791/</v>
      </c>
      <c r="C17" s="2"/>
      <c r="D17" s="2" t="s">
        <v>1159</v>
      </c>
      <c r="E17" s="5">
        <v>45440.504074074073</v>
      </c>
      <c r="F17" s="2" t="s">
        <v>1160</v>
      </c>
      <c r="G17" s="2">
        <v>2019</v>
      </c>
      <c r="H17" s="2">
        <v>0</v>
      </c>
      <c r="I17" s="2">
        <v>0</v>
      </c>
      <c r="J17" s="2">
        <v>0</v>
      </c>
      <c r="K17" s="2" t="s">
        <v>47</v>
      </c>
      <c r="L17" s="4">
        <v>18.68</v>
      </c>
      <c r="M17" s="2"/>
      <c r="N17" t="s">
        <v>4457</v>
      </c>
    </row>
    <row r="18" spans="1:14" ht="409.6" x14ac:dyDescent="0.3">
      <c r="A18" s="2" t="s">
        <v>1161</v>
      </c>
      <c r="B18" s="2" t="str">
        <f>HYPERLINK("https://www.oursportscentral.com/services/releases/blake-named-to-usl-championship-team-of-the-week/n-6100770")</f>
        <v>https://www.oursportscentral.com/services/releases/blake-named-to-usl-championship-team-of-the-week/n-6100770</v>
      </c>
      <c r="C18" s="2"/>
      <c r="D18" s="2" t="s">
        <v>24</v>
      </c>
      <c r="E18" s="5">
        <v>45440.496527777781</v>
      </c>
      <c r="F18" s="2" t="s">
        <v>1162</v>
      </c>
      <c r="G18" s="2">
        <v>40402</v>
      </c>
      <c r="H18" s="2">
        <v>0</v>
      </c>
      <c r="I18" s="2">
        <v>0</v>
      </c>
      <c r="J18" s="2">
        <v>0</v>
      </c>
      <c r="K18" s="2" t="s">
        <v>25</v>
      </c>
      <c r="L18" s="4">
        <v>373.72</v>
      </c>
      <c r="M18" s="2"/>
      <c r="N18" t="s">
        <v>4457</v>
      </c>
    </row>
    <row r="19" spans="1:14" ht="396" x14ac:dyDescent="0.3">
      <c r="A19" s="2" t="s">
        <v>1163</v>
      </c>
      <c r="B19" s="2" t="str">
        <f>HYPERLINK("https://www.athleticbusiness.com/facilities/stadium-arena/article/15673557/human-remains-unearthed-at-indy-eleven-soccer-stadium-site-in-indianapolis")</f>
        <v>https://www.athleticbusiness.com/facilities/stadium-arena/article/15673557/human-remains-unearthed-at-indy-eleven-soccer-stadium-site-in-indianapolis</v>
      </c>
      <c r="C19" s="2" t="s">
        <v>1164</v>
      </c>
      <c r="D19" s="2" t="s">
        <v>1082</v>
      </c>
      <c r="E19" s="5">
        <v>45440.43712962963</v>
      </c>
      <c r="F19" s="2" t="s">
        <v>1165</v>
      </c>
      <c r="G19" s="2">
        <v>36091</v>
      </c>
      <c r="H19" s="2">
        <v>0</v>
      </c>
      <c r="I19" s="2">
        <v>0</v>
      </c>
      <c r="J19" s="2">
        <v>0</v>
      </c>
      <c r="K19" s="2" t="s">
        <v>25</v>
      </c>
      <c r="L19" s="4">
        <v>333.84</v>
      </c>
      <c r="M19" s="2"/>
      <c r="N19" t="s">
        <v>4457</v>
      </c>
    </row>
    <row r="20" spans="1:14" ht="409.6" x14ac:dyDescent="0.3">
      <c r="A20" s="2" t="s">
        <v>34</v>
      </c>
      <c r="B20" s="2" t="str">
        <f>HYPERLINK("https://www.heraldbulletin.com/sports/coming-up/article_a00a7f66-1c3f-11ef-b339-174fc6958267.html")</f>
        <v>https://www.heraldbulletin.com/sports/coming-up/article_a00a7f66-1c3f-11ef-b339-174fc6958267.html</v>
      </c>
      <c r="C20" s="2"/>
      <c r="D20" s="2" t="s">
        <v>35</v>
      </c>
      <c r="E20" s="5">
        <v>45440.3125</v>
      </c>
      <c r="F20" s="2" t="s">
        <v>1151</v>
      </c>
      <c r="G20" s="2">
        <v>50260</v>
      </c>
      <c r="H20" s="2">
        <v>0</v>
      </c>
      <c r="I20" s="2">
        <v>0</v>
      </c>
      <c r="J20" s="2">
        <v>8</v>
      </c>
      <c r="K20" s="2" t="s">
        <v>47</v>
      </c>
      <c r="L20" s="4">
        <v>464.9</v>
      </c>
      <c r="M20" s="2"/>
      <c r="N20" t="s">
        <v>4458</v>
      </c>
    </row>
    <row r="21" spans="1:14" ht="409.6" x14ac:dyDescent="0.3">
      <c r="A21" s="2" t="s">
        <v>1166</v>
      </c>
      <c r="B21" s="2" t="str">
        <f>HYPERLINK("https://www.ibj.com/articles/ibj-podcast-downtown-soccer-battle-update-stadium-design-burial-sites-simon-family-land")</f>
        <v>https://www.ibj.com/articles/ibj-podcast-downtown-soccer-battle-update-stadium-design-burial-sites-simon-family-land</v>
      </c>
      <c r="C21" s="2" t="s">
        <v>970</v>
      </c>
      <c r="D21" s="2" t="s">
        <v>268</v>
      </c>
      <c r="E21" s="5">
        <v>45440.278460648151</v>
      </c>
      <c r="F21" s="2" t="s">
        <v>1167</v>
      </c>
      <c r="G21" s="2">
        <v>112057</v>
      </c>
      <c r="H21" s="2">
        <v>2</v>
      </c>
      <c r="I21" s="2">
        <v>26305</v>
      </c>
      <c r="J21" s="2">
        <v>3</v>
      </c>
      <c r="K21" s="2" t="s">
        <v>47</v>
      </c>
      <c r="L21" s="4">
        <v>1036.53</v>
      </c>
      <c r="M21" s="2"/>
      <c r="N21" t="s">
        <v>4458</v>
      </c>
    </row>
    <row r="22" spans="1:14" ht="409.6" x14ac:dyDescent="0.3">
      <c r="A22" s="2" t="s">
        <v>1168</v>
      </c>
      <c r="B22" s="2" t="str">
        <f>HYPERLINK("https://news.knowledia.com/GB/en/articles/football-team-s-plan-for-new-stadium-put-on-hold-after-human-remains-found-c6e5b8462fd15de286b2b77a8a3146b1947f42d2")</f>
        <v>https://news.knowledia.com/GB/en/articles/football-team-s-plan-for-new-stadium-put-on-hold-after-human-remains-found-c6e5b8462fd15de286b2b77a8a3146b1947f42d2</v>
      </c>
      <c r="C22" s="2"/>
      <c r="D22" s="2" t="s">
        <v>281</v>
      </c>
      <c r="E22" s="5">
        <v>45440.068460648137</v>
      </c>
      <c r="F22" s="2" t="s">
        <v>1169</v>
      </c>
      <c r="G22" s="2">
        <v>21594</v>
      </c>
      <c r="H22" s="2">
        <v>0</v>
      </c>
      <c r="I22" s="2">
        <v>0</v>
      </c>
      <c r="J22" s="2">
        <v>0</v>
      </c>
      <c r="K22" s="2" t="s">
        <v>25</v>
      </c>
      <c r="L22" s="4">
        <v>199.74</v>
      </c>
      <c r="M22" s="2"/>
      <c r="N22" t="s">
        <v>4459</v>
      </c>
    </row>
    <row r="23" spans="1:14" ht="158.4" x14ac:dyDescent="0.3">
      <c r="A23" s="2" t="s">
        <v>1170</v>
      </c>
      <c r="B23" s="2" t="str">
        <f>HYPERLINK("https://stayhappening.com/e/miami-fc-vs-indy-eleven-ET6DEGHYN9Y")</f>
        <v>https://stayhappening.com/e/miami-fc-vs-indy-eleven-ET6DEGHYN9Y</v>
      </c>
      <c r="C23" s="2"/>
      <c r="D23" s="2" t="s">
        <v>1171</v>
      </c>
      <c r="E23" s="5">
        <v>45440</v>
      </c>
      <c r="F23" s="2" t="s">
        <v>1172</v>
      </c>
      <c r="G23" s="2">
        <v>119453</v>
      </c>
      <c r="H23" s="2"/>
      <c r="I23" s="2"/>
      <c r="J23" s="2"/>
      <c r="K23" s="2" t="s">
        <v>25</v>
      </c>
      <c r="L23" s="4">
        <v>1104.94</v>
      </c>
      <c r="M23" s="2"/>
      <c r="N23" t="s">
        <v>4459</v>
      </c>
    </row>
    <row r="24" spans="1:14" ht="409.6" x14ac:dyDescent="0.3">
      <c r="A24" s="2" t="s">
        <v>1168</v>
      </c>
      <c r="B24" s="2" t="str">
        <f>HYPERLINK("https://www.newsgroove.co.uk/football-teams-plan-for-new-stadium-put-on-hold-after-human-remains-found/")</f>
        <v>https://www.newsgroove.co.uk/football-teams-plan-for-new-stadium-put-on-hold-after-human-remains-found/</v>
      </c>
      <c r="C24" s="2"/>
      <c r="D24" s="2" t="s">
        <v>1173</v>
      </c>
      <c r="E24" s="5">
        <v>45439.95753472222</v>
      </c>
      <c r="F24" s="2" t="s">
        <v>1174</v>
      </c>
      <c r="G24" s="2">
        <v>3105</v>
      </c>
      <c r="H24" s="2"/>
      <c r="I24" s="2"/>
      <c r="J24" s="2"/>
      <c r="K24" s="2" t="s">
        <v>47</v>
      </c>
      <c r="L24" s="4">
        <v>28.72</v>
      </c>
      <c r="M24" s="2"/>
      <c r="N24" t="s">
        <v>4459</v>
      </c>
    </row>
    <row r="25" spans="1:14" ht="343.2" x14ac:dyDescent="0.3">
      <c r="A25" s="2" t="s">
        <v>1168</v>
      </c>
      <c r="B25" s="2" t="str">
        <f>HYPERLINK("https://www.football-addict.com/en/article/home/football-team-s-plan-for-new-stadium-put-on-hold-after-human-remains-found/66553e554f74122d950dd0c2")</f>
        <v>https://www.football-addict.com/en/article/home/football-team-s-plan-for-new-stadium-put-on-hold-after-human-remains-found/66553e554f74122d950dd0c2</v>
      </c>
      <c r="C25" s="2"/>
      <c r="D25" s="2" t="s">
        <v>287</v>
      </c>
      <c r="E25" s="5">
        <v>45439.929502314822</v>
      </c>
      <c r="F25" s="2" t="s">
        <v>1175</v>
      </c>
      <c r="G25" s="2">
        <v>113660</v>
      </c>
      <c r="H25" s="2">
        <v>0</v>
      </c>
      <c r="I25" s="2">
        <v>0</v>
      </c>
      <c r="J25" s="2">
        <v>0</v>
      </c>
      <c r="K25" s="2" t="s">
        <v>47</v>
      </c>
      <c r="L25" s="4">
        <v>1051.3599999999999</v>
      </c>
      <c r="M25" s="2"/>
      <c r="N25" t="s">
        <v>4459</v>
      </c>
    </row>
    <row r="26" spans="1:14" ht="409.6" x14ac:dyDescent="0.3">
      <c r="A26" s="2" t="s">
        <v>1176</v>
      </c>
      <c r="B26" s="2" t="str">
        <f>HYPERLINK("https://www.mirror.co.uk/sport/football/news/soccer-team-stadium-human-remains-32905139")</f>
        <v>https://www.mirror.co.uk/sport/football/news/soccer-team-stadium-human-remains-32905139</v>
      </c>
      <c r="C26" s="2" t="s">
        <v>1177</v>
      </c>
      <c r="D26" s="2" t="s">
        <v>1178</v>
      </c>
      <c r="E26" s="5">
        <v>45439.921099537038</v>
      </c>
      <c r="F26" s="2" t="s">
        <v>1179</v>
      </c>
      <c r="G26" s="2">
        <v>16792908</v>
      </c>
      <c r="H26" s="2">
        <v>0</v>
      </c>
      <c r="I26" s="2">
        <v>0</v>
      </c>
      <c r="J26" s="2">
        <v>0</v>
      </c>
      <c r="K26" s="2" t="s">
        <v>25</v>
      </c>
      <c r="L26" s="4">
        <v>155334.39999999999</v>
      </c>
      <c r="M26" s="2"/>
      <c r="N26" t="s">
        <v>4459</v>
      </c>
    </row>
    <row r="27" spans="1:14" ht="409.6" x14ac:dyDescent="0.3">
      <c r="A27" s="2" t="s">
        <v>1180</v>
      </c>
      <c r="B27" s="2" t="str">
        <f>HYPERLINK("https://www.ivoox.com/en/downtown-soccer-battle-update-burial-sites-stadium-design-simon-audios-mp3_rf_129469111_1.html")</f>
        <v>https://www.ivoox.com/en/downtown-soccer-battle-update-burial-sites-stadium-design-simon-audios-mp3_rf_129469111_1.html</v>
      </c>
      <c r="C27" s="2"/>
      <c r="D27" s="2" t="s">
        <v>1181</v>
      </c>
      <c r="E27" s="5">
        <v>45439.914097222223</v>
      </c>
      <c r="F27" s="2" t="s">
        <v>1182</v>
      </c>
      <c r="G27" s="2">
        <v>1151457</v>
      </c>
      <c r="H27" s="2">
        <v>0</v>
      </c>
      <c r="I27" s="2">
        <v>0</v>
      </c>
      <c r="J27" s="2">
        <v>0</v>
      </c>
      <c r="K27" s="2" t="s">
        <v>47</v>
      </c>
      <c r="L27" s="4">
        <v>10650.98</v>
      </c>
      <c r="M27" s="2"/>
      <c r="N27" t="s">
        <v>4459</v>
      </c>
    </row>
    <row r="28" spans="1:14" ht="290.39999999999998" x14ac:dyDescent="0.3">
      <c r="A28" s="2" t="s">
        <v>1183</v>
      </c>
      <c r="B28" s="2" t="str">
        <f>HYPERLINK("https://www.dcourier.com/sports/rising-falls-2-1-to-indy-eleven/article_ccc3eb64-1c67-11ef-abe8-47a1be3ddd32.html")</f>
        <v>https://www.dcourier.com/sports/rising-falls-2-1-to-indy-eleven/article_ccc3eb64-1c67-11ef-abe8-47a1be3ddd32.html</v>
      </c>
      <c r="C28" s="2"/>
      <c r="D28" s="2" t="s">
        <v>1184</v>
      </c>
      <c r="E28" s="5">
        <v>45439.862037037034</v>
      </c>
      <c r="F28" s="2" t="s">
        <v>1185</v>
      </c>
      <c r="G28" s="2">
        <v>53524</v>
      </c>
      <c r="H28" s="2">
        <v>0</v>
      </c>
      <c r="I28" s="2">
        <v>0</v>
      </c>
      <c r="J28" s="2">
        <v>0</v>
      </c>
      <c r="K28" s="2" t="s">
        <v>31</v>
      </c>
      <c r="L28" s="4">
        <v>495.1</v>
      </c>
      <c r="M28" s="2"/>
      <c r="N28" t="s">
        <v>4457</v>
      </c>
    </row>
    <row r="29" spans="1:14" ht="409.6" x14ac:dyDescent="0.3">
      <c r="A29" s="2" t="s">
        <v>1186</v>
      </c>
      <c r="B29" s="2" t="str">
        <f>HYPERLINK("https://en.pressbee.net/show2948833.html?title=huge-new-1-billion-stadium-construction-halted-indefinitely-after")</f>
        <v>https://en.pressbee.net/show2948833.html?title=huge-new-1-billion-stadium-construction-halted-indefinitely-after</v>
      </c>
      <c r="C29" s="2"/>
      <c r="D29" s="2" t="s">
        <v>1187</v>
      </c>
      <c r="E29" s="5">
        <v>45439.753668981481</v>
      </c>
      <c r="F29" s="2" t="s">
        <v>1188</v>
      </c>
      <c r="G29" s="2">
        <v>166659</v>
      </c>
      <c r="H29" s="2">
        <v>0</v>
      </c>
      <c r="I29" s="2">
        <v>0</v>
      </c>
      <c r="J29" s="2">
        <v>0</v>
      </c>
      <c r="K29" s="2" t="s">
        <v>31</v>
      </c>
      <c r="L29" s="4">
        <v>1541.6</v>
      </c>
      <c r="M29" s="2"/>
      <c r="N29" t="s">
        <v>4457</v>
      </c>
    </row>
    <row r="30" spans="1:14" ht="409.6" x14ac:dyDescent="0.3">
      <c r="A30" s="2" t="s">
        <v>1189</v>
      </c>
      <c r="B30" s="2" t="str">
        <f>HYPERLINK("https://www.themirror.com/sport/soccer/indy-eleven-mls-soccer-remains-508823")</f>
        <v>https://www.themirror.com/sport/soccer/indy-eleven-mls-soccer-remains-508823</v>
      </c>
      <c r="C30" s="2" t="s">
        <v>1177</v>
      </c>
      <c r="D30" s="2" t="s">
        <v>1190</v>
      </c>
      <c r="E30" s="5">
        <v>45439.724363425928</v>
      </c>
      <c r="F30" s="2" t="s">
        <v>1191</v>
      </c>
      <c r="G30" s="2">
        <v>9254015</v>
      </c>
      <c r="H30" s="2">
        <v>0</v>
      </c>
      <c r="I30" s="2">
        <v>0</v>
      </c>
      <c r="J30" s="2">
        <v>0</v>
      </c>
      <c r="K30" s="2" t="s">
        <v>25</v>
      </c>
      <c r="L30" s="4">
        <v>85599.64</v>
      </c>
      <c r="M30" s="2"/>
      <c r="N30" t="s">
        <v>4457</v>
      </c>
    </row>
    <row r="31" spans="1:14" ht="316.8" x14ac:dyDescent="0.3">
      <c r="A31" s="2" t="s">
        <v>1192</v>
      </c>
      <c r="B31" s="2" t="str">
        <f>HYPERLINK("https://tr.im/sports/construction-of-indianapolis-soccer-stadium-halted-after-discovery-of-human-remains")</f>
        <v>https://tr.im/sports/construction-of-indianapolis-soccer-stadium-halted-after-discovery-of-human-remains</v>
      </c>
      <c r="C31" s="2"/>
      <c r="D31" s="2" t="s">
        <v>1193</v>
      </c>
      <c r="E31" s="5">
        <v>45439.677048611113</v>
      </c>
      <c r="F31" s="2" t="s">
        <v>1194</v>
      </c>
      <c r="G31" s="2"/>
      <c r="H31" s="2">
        <v>0</v>
      </c>
      <c r="I31" s="2">
        <v>0</v>
      </c>
      <c r="J31" s="2">
        <v>0</v>
      </c>
      <c r="K31" s="2" t="s">
        <v>31</v>
      </c>
      <c r="L31" s="2"/>
      <c r="M31" s="2"/>
      <c r="N31" t="s">
        <v>4459</v>
      </c>
    </row>
    <row r="32" spans="1:14" ht="343.2" x14ac:dyDescent="0.3">
      <c r="A32" s="2" t="s">
        <v>1195</v>
      </c>
      <c r="B32" s="2" t="str">
        <f>HYPERLINK("https://newsexplorer.net/z/393746.html")</f>
        <v>https://newsexplorer.net/z/393746.html</v>
      </c>
      <c r="C32" s="2"/>
      <c r="D32" s="2" t="s">
        <v>1196</v>
      </c>
      <c r="E32" s="5">
        <v>45439.504131944443</v>
      </c>
      <c r="F32" s="2" t="s">
        <v>1197</v>
      </c>
      <c r="G32" s="2">
        <v>0</v>
      </c>
      <c r="H32" s="2">
        <v>0</v>
      </c>
      <c r="I32" s="2">
        <v>0</v>
      </c>
      <c r="J32" s="2">
        <v>0</v>
      </c>
      <c r="K32" s="2" t="s">
        <v>47</v>
      </c>
      <c r="L32" s="2"/>
      <c r="M32" s="2"/>
      <c r="N32" t="s">
        <v>4459</v>
      </c>
    </row>
    <row r="33" spans="1:14" ht="343.2" x14ac:dyDescent="0.3">
      <c r="A33" s="2" t="s">
        <v>1198</v>
      </c>
      <c r="B33" s="2" t="str">
        <f>HYPERLINK("https://en.mogaznews.com/Sport/2398818/sport-news-Construction-of-Indianapolis-soccer-stadium-hits-unexpected-twist-after--trends-now.html")</f>
        <v>https://en.mogaznews.com/Sport/2398818/sport-news-Construction-of-Indianapolis-soccer-stadium-hits-unexpected-twist-after--trends-now.html</v>
      </c>
      <c r="C33" s="2"/>
      <c r="D33" s="2" t="s">
        <v>1199</v>
      </c>
      <c r="E33" s="5">
        <v>45439.499409722222</v>
      </c>
      <c r="F33" s="2" t="s">
        <v>1200</v>
      </c>
      <c r="G33" s="2">
        <v>11709</v>
      </c>
      <c r="H33" s="2">
        <v>0</v>
      </c>
      <c r="I33" s="2">
        <v>0</v>
      </c>
      <c r="J33" s="2">
        <v>0</v>
      </c>
      <c r="K33" s="2" t="s">
        <v>31</v>
      </c>
      <c r="L33" s="4">
        <v>108.31</v>
      </c>
      <c r="M33" s="2"/>
      <c r="N33" t="s">
        <v>4459</v>
      </c>
    </row>
    <row r="34" spans="1:14" ht="343.2" x14ac:dyDescent="0.3">
      <c r="A34" s="2" t="s">
        <v>1201</v>
      </c>
      <c r="B34" s="2" t="str">
        <f>HYPERLINK("https://www.dailymail.co.uk/sport/football/article-13464571/construction-indianapolis-soccer-indy-eleven-stadium-twist.html")</f>
        <v>https://www.dailymail.co.uk/sport/football/article-13464571/construction-indianapolis-soccer-indy-eleven-stadium-twist.html</v>
      </c>
      <c r="C34" s="2" t="s">
        <v>1202</v>
      </c>
      <c r="D34" s="2" t="s">
        <v>795</v>
      </c>
      <c r="E34" s="5">
        <v>45439.498564814807</v>
      </c>
      <c r="F34" s="2" t="s">
        <v>1197</v>
      </c>
      <c r="G34" s="2">
        <v>53566278</v>
      </c>
      <c r="H34" s="2">
        <v>0</v>
      </c>
      <c r="I34" s="2">
        <v>0</v>
      </c>
      <c r="J34" s="2">
        <v>10</v>
      </c>
      <c r="K34" s="2" t="s">
        <v>25</v>
      </c>
      <c r="L34" s="4">
        <v>495488.07</v>
      </c>
      <c r="M34" s="2"/>
      <c r="N34" t="s">
        <v>4457</v>
      </c>
    </row>
    <row r="35" spans="1:14" ht="409.6" x14ac:dyDescent="0.3">
      <c r="A35" s="2" t="s">
        <v>34</v>
      </c>
      <c r="B35" s="2" t="str">
        <f>HYPERLINK("https://www.heraldbulletin.com/sports/coming-up/article_1b431f50-1c3e-11ef-949f-4bf57275fb77.html")</f>
        <v>https://www.heraldbulletin.com/sports/coming-up/article_1b431f50-1c3e-11ef-949f-4bf57275fb77.html</v>
      </c>
      <c r="C35" s="2"/>
      <c r="D35" s="2" t="s">
        <v>35</v>
      </c>
      <c r="E35" s="5">
        <v>45439.48914351852</v>
      </c>
      <c r="F35" s="2" t="s">
        <v>1203</v>
      </c>
      <c r="G35" s="2">
        <v>50260</v>
      </c>
      <c r="H35" s="2">
        <v>0</v>
      </c>
      <c r="I35" s="2">
        <v>0</v>
      </c>
      <c r="J35" s="2">
        <v>46</v>
      </c>
      <c r="K35" s="2" t="s">
        <v>47</v>
      </c>
      <c r="L35" s="4">
        <v>464.9</v>
      </c>
      <c r="M35" s="2"/>
      <c r="N35" t="s">
        <v>4458</v>
      </c>
    </row>
    <row r="36" spans="1:14" ht="409.6" x14ac:dyDescent="0.3">
      <c r="A36" s="2" t="s">
        <v>1204</v>
      </c>
      <c r="B36" s="2" t="str">
        <f>HYPERLINK("https://dailyjournal.net/2024/05/27/hogsett-serious-about-leaving-proposed-indy-eleven-stadium-site-undeveloped/")</f>
        <v>https://dailyjournal.net/2024/05/27/hogsett-serious-about-leaving-proposed-indy-eleven-stadium-site-undeveloped/</v>
      </c>
      <c r="C36" s="2" t="s">
        <v>437</v>
      </c>
      <c r="D36" s="2" t="s">
        <v>323</v>
      </c>
      <c r="E36" s="5">
        <v>45439.384259259263</v>
      </c>
      <c r="F36" s="2" t="s">
        <v>1205</v>
      </c>
      <c r="G36" s="2">
        <v>77816</v>
      </c>
      <c r="H36" s="2">
        <v>0</v>
      </c>
      <c r="I36" s="2">
        <v>0</v>
      </c>
      <c r="J36" s="2">
        <v>17</v>
      </c>
      <c r="K36" s="2" t="s">
        <v>31</v>
      </c>
      <c r="L36" s="4">
        <v>719.8</v>
      </c>
      <c r="M36" s="2"/>
      <c r="N36" t="s">
        <v>4458</v>
      </c>
    </row>
    <row r="37" spans="1:14" ht="66" x14ac:dyDescent="0.3">
      <c r="A37" s="2" t="s">
        <v>1206</v>
      </c>
      <c r="B37" s="2" t="str">
        <f>HYPERLINK("https://www.wishtv.com/contests/win-tickets-to-see-the-indy-eleven-game-june-15/")</f>
        <v>https://www.wishtv.com/contests/win-tickets-to-see-the-indy-eleven-game-june-15/</v>
      </c>
      <c r="C37" s="2" t="s">
        <v>55</v>
      </c>
      <c r="D37" s="2" t="s">
        <v>38</v>
      </c>
      <c r="E37" s="5">
        <v>45439.333333333343</v>
      </c>
      <c r="F37" s="2"/>
      <c r="G37" s="2">
        <v>568116</v>
      </c>
      <c r="H37" s="2">
        <v>0</v>
      </c>
      <c r="I37" s="2">
        <v>0</v>
      </c>
      <c r="J37" s="2">
        <v>0</v>
      </c>
      <c r="K37" s="2"/>
      <c r="L37" s="4">
        <v>5255.07</v>
      </c>
      <c r="M37" s="2"/>
      <c r="N37" t="s">
        <v>4458</v>
      </c>
    </row>
    <row r="38" spans="1:14" ht="277.2" x14ac:dyDescent="0.3">
      <c r="A38" s="2" t="s">
        <v>34</v>
      </c>
      <c r="B38" s="2" t="str">
        <f>HYPERLINK("https://www.heraldbulletin.com/sports/coming-up/article_5664ad7e-1af4-11ef-9d71-6bf8418cb8d7.html")</f>
        <v>https://www.heraldbulletin.com/sports/coming-up/article_5664ad7e-1af4-11ef-9d71-6bf8418cb8d7.html</v>
      </c>
      <c r="C38" s="2"/>
      <c r="D38" s="2" t="s">
        <v>35</v>
      </c>
      <c r="E38" s="5">
        <v>45438.294374999998</v>
      </c>
      <c r="F38" s="2" t="s">
        <v>1207</v>
      </c>
      <c r="G38" s="2">
        <v>50260</v>
      </c>
      <c r="H38" s="2">
        <v>0</v>
      </c>
      <c r="I38" s="2">
        <v>0</v>
      </c>
      <c r="J38" s="2">
        <v>12</v>
      </c>
      <c r="K38" s="2" t="s">
        <v>47</v>
      </c>
      <c r="L38" s="4">
        <v>464.9</v>
      </c>
      <c r="M38" s="2"/>
      <c r="N38" t="s">
        <v>4458</v>
      </c>
    </row>
    <row r="39" spans="1:14" ht="198" x14ac:dyDescent="0.3">
      <c r="A39" s="2" t="s">
        <v>1208</v>
      </c>
      <c r="B39" s="2" t="str">
        <f>HYPERLINK("https://www.yourvalley.net/stories/rising-falls-2-1-to-indy-eleven,512936")</f>
        <v>https://www.yourvalley.net/stories/rising-falls-2-1-to-indy-eleven,512936</v>
      </c>
      <c r="C39" s="2" t="s">
        <v>1209</v>
      </c>
      <c r="D39" s="2" t="s">
        <v>1210</v>
      </c>
      <c r="E39" s="5">
        <v>45438.127083333333</v>
      </c>
      <c r="F39" s="2" t="s">
        <v>1211</v>
      </c>
      <c r="G39" s="2">
        <v>80484</v>
      </c>
      <c r="H39" s="2">
        <v>0</v>
      </c>
      <c r="I39" s="2">
        <v>0</v>
      </c>
      <c r="J39" s="2">
        <v>1</v>
      </c>
      <c r="K39" s="2" t="s">
        <v>31</v>
      </c>
      <c r="L39" s="4">
        <v>744.48</v>
      </c>
      <c r="M39" s="2"/>
      <c r="N39" t="s">
        <v>4457</v>
      </c>
    </row>
    <row r="40" spans="1:14" ht="409.6" x14ac:dyDescent="0.3">
      <c r="A40" s="2" t="s">
        <v>1212</v>
      </c>
      <c r="B40" s="2" t="str">
        <f>HYPERLINK("https://www.oursportscentral.com/services/releases/rising-falls-2-1-to-indy-eleven/n-6099795")</f>
        <v>https://www.oursportscentral.com/services/releases/rising-falls-2-1-to-indy-eleven/n-6099795</v>
      </c>
      <c r="C40" s="2"/>
      <c r="D40" s="2" t="s">
        <v>24</v>
      </c>
      <c r="E40" s="5">
        <v>45437.816666666673</v>
      </c>
      <c r="F40" s="2" t="s">
        <v>1213</v>
      </c>
      <c r="G40" s="2">
        <v>40402</v>
      </c>
      <c r="H40" s="2">
        <v>0</v>
      </c>
      <c r="I40" s="2">
        <v>0</v>
      </c>
      <c r="J40" s="2">
        <v>0</v>
      </c>
      <c r="K40" s="2" t="s">
        <v>31</v>
      </c>
      <c r="L40" s="4">
        <v>373.72</v>
      </c>
      <c r="M40" s="2"/>
      <c r="N40" t="s">
        <v>4457</v>
      </c>
    </row>
    <row r="41" spans="1:14" ht="92.4" x14ac:dyDescent="0.3">
      <c r="A41" s="2" t="s">
        <v>1214</v>
      </c>
      <c r="B41" s="2" t="str">
        <f>HYPERLINK("https://www.oursportscentral.com/services/releases/indy-eleven-vs-phoenix-rising-fc--game-highlights/n-6099766")</f>
        <v>https://www.oursportscentral.com/services/releases/indy-eleven-vs-phoenix-rising-fc--game-highlights/n-6099766</v>
      </c>
      <c r="C41" s="2"/>
      <c r="D41" s="2" t="s">
        <v>24</v>
      </c>
      <c r="E41" s="5">
        <v>45437.808333333327</v>
      </c>
      <c r="F41" s="2" t="s">
        <v>175</v>
      </c>
      <c r="G41" s="2">
        <v>40402</v>
      </c>
      <c r="H41" s="2">
        <v>0</v>
      </c>
      <c r="I41" s="2">
        <v>0</v>
      </c>
      <c r="J41" s="2">
        <v>0</v>
      </c>
      <c r="K41" s="2" t="s">
        <v>47</v>
      </c>
      <c r="L41" s="4">
        <v>373.72</v>
      </c>
      <c r="M41" s="2"/>
      <c r="N41" t="s">
        <v>4457</v>
      </c>
    </row>
    <row r="42" spans="1:14" ht="409.6" x14ac:dyDescent="0.3">
      <c r="A42" s="2" t="s">
        <v>1215</v>
      </c>
      <c r="B42" s="2" t="str">
        <f>HYPERLINK("https://www.oursportscentral.com/services/releases/blake-scores-a-pair-to-lead-indy-over-defending-champs/n-6099732")</f>
        <v>https://www.oursportscentral.com/services/releases/blake-scores-a-pair-to-lead-indy-over-defending-champs/n-6099732</v>
      </c>
      <c r="C42" s="2"/>
      <c r="D42" s="2" t="s">
        <v>24</v>
      </c>
      <c r="E42" s="5">
        <v>45437.802777777782</v>
      </c>
      <c r="F42" s="2" t="s">
        <v>1216</v>
      </c>
      <c r="G42" s="2">
        <v>40402</v>
      </c>
      <c r="H42" s="2">
        <v>0</v>
      </c>
      <c r="I42" s="2">
        <v>0</v>
      </c>
      <c r="J42" s="2">
        <v>0</v>
      </c>
      <c r="K42" s="2" t="s">
        <v>25</v>
      </c>
      <c r="L42" s="4">
        <v>373.72</v>
      </c>
      <c r="M42" s="2"/>
      <c r="N42" t="s">
        <v>4457</v>
      </c>
    </row>
    <row r="43" spans="1:14" ht="409.6" x14ac:dyDescent="0.3">
      <c r="A43" s="2" t="s">
        <v>1217</v>
      </c>
      <c r="B43" s="2" t="str">
        <f>HYPERLINK("https://www.oursportscentral.com/services/releases/rising-falls-2-1-in-indy-to-eleven/n-6099695")</f>
        <v>https://www.oursportscentral.com/services/releases/rising-falls-2-1-in-indy-to-eleven/n-6099695</v>
      </c>
      <c r="C43" s="2"/>
      <c r="D43" s="2" t="s">
        <v>24</v>
      </c>
      <c r="E43" s="5">
        <v>45437.79583333333</v>
      </c>
      <c r="F43" s="2" t="s">
        <v>1213</v>
      </c>
      <c r="G43" s="2">
        <v>40402</v>
      </c>
      <c r="H43" s="2">
        <v>0</v>
      </c>
      <c r="I43" s="2">
        <v>0</v>
      </c>
      <c r="J43" s="2">
        <v>0</v>
      </c>
      <c r="K43" s="2" t="s">
        <v>31</v>
      </c>
      <c r="L43" s="4">
        <v>373.72</v>
      </c>
      <c r="M43" s="2"/>
      <c r="N43" t="s">
        <v>4457</v>
      </c>
    </row>
    <row r="44" spans="1:14" ht="409.6" x14ac:dyDescent="0.3">
      <c r="A44" s="2" t="s">
        <v>1218</v>
      </c>
      <c r="B44" s="2" t="str">
        <f>HYPERLINK("https://worldsoccertalk.com/news/indianapolis-soccer-stadium-site-unearths-87-human-remains/")</f>
        <v>https://worldsoccertalk.com/news/indianapolis-soccer-stadium-site-unearths-87-human-remains/</v>
      </c>
      <c r="C44" s="2" t="s">
        <v>1219</v>
      </c>
      <c r="D44" s="2" t="s">
        <v>510</v>
      </c>
      <c r="E44" s="5">
        <v>45437.52134259259</v>
      </c>
      <c r="F44" s="2" t="s">
        <v>1220</v>
      </c>
      <c r="G44" s="2">
        <v>459811</v>
      </c>
      <c r="H44" s="2">
        <v>1</v>
      </c>
      <c r="I44" s="2">
        <v>82657</v>
      </c>
      <c r="J44" s="2">
        <v>27</v>
      </c>
      <c r="K44" s="2" t="s">
        <v>31</v>
      </c>
      <c r="L44" s="4">
        <v>4253.25</v>
      </c>
      <c r="M44" s="2"/>
      <c r="N44" t="s">
        <v>4459</v>
      </c>
    </row>
    <row r="45" spans="1:14" ht="409.6" x14ac:dyDescent="0.3">
      <c r="A45" s="2" t="s">
        <v>34</v>
      </c>
      <c r="B45" s="2" t="str">
        <f>HYPERLINK("https://www.heraldbulletin.com/sports/coming-up/article_71c0a71e-1a16-11ef-ae7d-dbb546053091.html")</f>
        <v>https://www.heraldbulletin.com/sports/coming-up/article_71c0a71e-1a16-11ef-ae7d-dbb546053091.html</v>
      </c>
      <c r="C45" s="2"/>
      <c r="D45" s="2" t="s">
        <v>35</v>
      </c>
      <c r="E45" s="5">
        <v>45437.293703703697</v>
      </c>
      <c r="F45" s="2" t="s">
        <v>1221</v>
      </c>
      <c r="G45" s="2">
        <v>50260</v>
      </c>
      <c r="H45" s="2">
        <v>0</v>
      </c>
      <c r="I45" s="2">
        <v>0</v>
      </c>
      <c r="J45" s="2">
        <v>12</v>
      </c>
      <c r="K45" s="2" t="s">
        <v>25</v>
      </c>
      <c r="L45" s="4">
        <v>464.9</v>
      </c>
      <c r="M45" s="2"/>
      <c r="N45" t="s">
        <v>4458</v>
      </c>
    </row>
    <row r="46" spans="1:14" ht="409.6" x14ac:dyDescent="0.3">
      <c r="A46" s="2" t="s">
        <v>1222</v>
      </c>
      <c r="B46" s="2" t="str">
        <f>HYPERLINK("https://www.ibj.com/articles/hogsett-serious-about-leaving-proposed-indy-eleven-stadium-site-undeveloped")</f>
        <v>https://www.ibj.com/articles/hogsett-serious-about-leaving-proposed-indy-eleven-stadium-site-undeveloped</v>
      </c>
      <c r="C46" s="2" t="s">
        <v>437</v>
      </c>
      <c r="D46" s="2" t="s">
        <v>268</v>
      </c>
      <c r="E46" s="5">
        <v>45436.675000000003</v>
      </c>
      <c r="F46" s="2" t="s">
        <v>1223</v>
      </c>
      <c r="G46" s="2">
        <v>112057</v>
      </c>
      <c r="H46" s="2">
        <v>0</v>
      </c>
      <c r="I46" s="2">
        <v>0</v>
      </c>
      <c r="J46" s="2">
        <v>59</v>
      </c>
      <c r="K46" s="2" t="s">
        <v>25</v>
      </c>
      <c r="L46" s="4">
        <v>1036.53</v>
      </c>
      <c r="M46" s="2"/>
      <c r="N46" t="s">
        <v>4458</v>
      </c>
    </row>
    <row r="47" spans="1:14" ht="409.6" x14ac:dyDescent="0.3">
      <c r="A47" s="2" t="s">
        <v>1224</v>
      </c>
      <c r="B47" s="2" t="str">
        <f>HYPERLINK("https://mirrorindy.org/daily-newsletter-march-24-2024/")</f>
        <v>https://mirrorindy.org/daily-newsletter-march-24-2024/</v>
      </c>
      <c r="C47" s="2" t="s">
        <v>616</v>
      </c>
      <c r="D47" s="2" t="s">
        <v>132</v>
      </c>
      <c r="E47" s="5">
        <v>45436.494409722232</v>
      </c>
      <c r="F47" s="2" t="s">
        <v>1225</v>
      </c>
      <c r="G47" s="2">
        <v>29972</v>
      </c>
      <c r="H47" s="2">
        <v>1</v>
      </c>
      <c r="I47" s="2">
        <v>11132</v>
      </c>
      <c r="J47" s="2">
        <v>1</v>
      </c>
      <c r="K47" s="2" t="s">
        <v>31</v>
      </c>
      <c r="L47" s="4">
        <v>277.24</v>
      </c>
      <c r="M47" s="2"/>
      <c r="N47" t="s">
        <v>4458</v>
      </c>
    </row>
    <row r="48" spans="1:14" ht="409.6" x14ac:dyDescent="0.3">
      <c r="A48" s="2" t="s">
        <v>1226</v>
      </c>
      <c r="B48" s="2" t="str">
        <f>HYPERLINK("https://dailyjournal.net/2024/05/24/wayne-township-to-revitalize-abandoned-cemetery-accept-remains-from-diamond-chain-site/")</f>
        <v>https://dailyjournal.net/2024/05/24/wayne-township-to-revitalize-abandoned-cemetery-accept-remains-from-diamond-chain-site/</v>
      </c>
      <c r="C48" s="2"/>
      <c r="D48" s="2" t="s">
        <v>323</v>
      </c>
      <c r="E48" s="5">
        <v>45436.46230324074</v>
      </c>
      <c r="F48" s="2" t="s">
        <v>1227</v>
      </c>
      <c r="G48" s="2">
        <v>77816</v>
      </c>
      <c r="H48" s="2">
        <v>0</v>
      </c>
      <c r="I48" s="2">
        <v>0</v>
      </c>
      <c r="J48" s="2">
        <v>0</v>
      </c>
      <c r="K48" s="2" t="s">
        <v>25</v>
      </c>
      <c r="L48" s="4">
        <v>719.8</v>
      </c>
      <c r="M48" s="2"/>
      <c r="N48" t="s">
        <v>4458</v>
      </c>
    </row>
    <row r="49" spans="1:14" ht="409.6" x14ac:dyDescent="0.3">
      <c r="A49" s="2" t="s">
        <v>34</v>
      </c>
      <c r="B49" s="2" t="str">
        <f>HYPERLINK("https://www.heraldbulletin.com/sports/coming-up/article_2e17d79e-1949-11ef-955a-ab2b36b31877.html")</f>
        <v>https://www.heraldbulletin.com/sports/coming-up/article_2e17d79e-1949-11ef-955a-ab2b36b31877.html</v>
      </c>
      <c r="C49" s="2"/>
      <c r="D49" s="2" t="s">
        <v>35</v>
      </c>
      <c r="E49" s="5">
        <v>45436.304942129631</v>
      </c>
      <c r="F49" s="2" t="s">
        <v>1221</v>
      </c>
      <c r="G49" s="2">
        <v>50260</v>
      </c>
      <c r="H49" s="2">
        <v>0</v>
      </c>
      <c r="I49" s="2">
        <v>0</v>
      </c>
      <c r="J49" s="2">
        <v>34</v>
      </c>
      <c r="K49" s="2" t="s">
        <v>25</v>
      </c>
      <c r="L49" s="4">
        <v>464.9</v>
      </c>
      <c r="M49" s="2"/>
      <c r="N49" t="s">
        <v>4458</v>
      </c>
    </row>
    <row r="50" spans="1:14" ht="409.6" x14ac:dyDescent="0.3">
      <c r="A50" s="2" t="s">
        <v>1229</v>
      </c>
      <c r="B50" s="2" t="str">
        <f>HYPERLINK("https://tr.im/sports/indianapolis-officials-plan-reinterment-of-human-remains-found-at-diamond-chain-site")</f>
        <v>https://tr.im/sports/indianapolis-officials-plan-reinterment-of-human-remains-found-at-diamond-chain-site</v>
      </c>
      <c r="C50" s="2"/>
      <c r="D50" s="2" t="s">
        <v>1193</v>
      </c>
      <c r="E50" s="5">
        <v>45436.286828703713</v>
      </c>
      <c r="F50" s="2" t="s">
        <v>1230</v>
      </c>
      <c r="G50" s="2"/>
      <c r="H50" s="2">
        <v>0</v>
      </c>
      <c r="I50" s="2">
        <v>0</v>
      </c>
      <c r="J50" s="2">
        <v>0</v>
      </c>
      <c r="K50" s="2" t="s">
        <v>25</v>
      </c>
      <c r="L50" s="2"/>
      <c r="M50" s="2"/>
      <c r="N50" t="s">
        <v>4459</v>
      </c>
    </row>
    <row r="51" spans="1:14" ht="409.6" x14ac:dyDescent="0.3">
      <c r="A51" s="2" t="s">
        <v>1231</v>
      </c>
      <c r="B51" s="2" t="str">
        <f>HYPERLINK("https://footballsierraleone.net/2024/05/24/augustine-williams-takes-tally-to-seven-for-indy-eleven/")</f>
        <v>https://footballsierraleone.net/2024/05/24/augustine-williams-takes-tally-to-seven-for-indy-eleven/</v>
      </c>
      <c r="C51" s="2" t="s">
        <v>790</v>
      </c>
      <c r="D51" s="2" t="s">
        <v>190</v>
      </c>
      <c r="E51" s="5">
        <v>45436.173368055563</v>
      </c>
      <c r="F51" s="2" t="s">
        <v>1232</v>
      </c>
      <c r="G51" s="2">
        <v>991</v>
      </c>
      <c r="H51" s="2">
        <v>0</v>
      </c>
      <c r="I51" s="2">
        <v>0</v>
      </c>
      <c r="J51" s="2">
        <v>0</v>
      </c>
      <c r="K51" s="2" t="s">
        <v>31</v>
      </c>
      <c r="L51" s="4">
        <v>9.17</v>
      </c>
      <c r="M51" s="2"/>
      <c r="N51" t="s">
        <v>4459</v>
      </c>
    </row>
    <row r="52" spans="1:14" ht="409.6" x14ac:dyDescent="0.3">
      <c r="A52" s="2" t="s">
        <v>1233</v>
      </c>
      <c r="B52" s="2" t="str">
        <f>HYPERLINK("https://wtlcfm.com/3876334/indy-eleven-advance-to-quarterfinals-of-u-s-open-cup/")</f>
        <v>https://wtlcfm.com/3876334/indy-eleven-advance-to-quarterfinals-of-u-s-open-cup/</v>
      </c>
      <c r="C52" s="2" t="s">
        <v>713</v>
      </c>
      <c r="D52" s="2" t="s">
        <v>515</v>
      </c>
      <c r="E52" s="5">
        <v>45436.086319444446</v>
      </c>
      <c r="F52" s="2" t="s">
        <v>1234</v>
      </c>
      <c r="G52" s="2">
        <v>7794</v>
      </c>
      <c r="H52" s="2">
        <v>0</v>
      </c>
      <c r="I52" s="2">
        <v>0</v>
      </c>
      <c r="J52" s="2">
        <v>0</v>
      </c>
      <c r="K52" s="2" t="s">
        <v>31</v>
      </c>
      <c r="L52" s="4">
        <v>72.09</v>
      </c>
      <c r="M52" s="2"/>
      <c r="N52" t="s">
        <v>4458</v>
      </c>
    </row>
    <row r="53" spans="1:14" ht="66" x14ac:dyDescent="0.3">
      <c r="A53" s="2" t="s">
        <v>1235</v>
      </c>
      <c r="B53" s="2" t="str">
        <f>HYPERLINK("https://article.wn.com/view/2024/05/24/Augustine_Williams_takes_tally_to_seven_for_Indy_Eleven/")</f>
        <v>https://article.wn.com/view/2024/05/24/Augustine_Williams_takes_tally_to_seven_for_Indy_Eleven/</v>
      </c>
      <c r="C53" s="2"/>
      <c r="D53" s="2" t="s">
        <v>632</v>
      </c>
      <c r="E53" s="5">
        <v>45436</v>
      </c>
      <c r="F53" s="2"/>
      <c r="G53" s="2">
        <v>185918</v>
      </c>
      <c r="H53" s="2"/>
      <c r="I53" s="2"/>
      <c r="J53" s="2"/>
      <c r="K53" s="2"/>
      <c r="L53" s="4">
        <v>1719.74</v>
      </c>
      <c r="M53" s="2"/>
      <c r="N53" t="s">
        <v>4459</v>
      </c>
    </row>
    <row r="54" spans="1:14" ht="396" x14ac:dyDescent="0.3">
      <c r="A54" s="2" t="s">
        <v>1236</v>
      </c>
      <c r="B54" s="2" t="str">
        <f>HYPERLINK("https://www.wishtv.com/news/i-team-8/fate-of-human-remains-in-center-of-soccer-stadium-fight/")</f>
        <v>https://www.wishtv.com/news/i-team-8/fate-of-human-remains-in-center-of-soccer-stadium-fight/</v>
      </c>
      <c r="C54" s="2" t="s">
        <v>1237</v>
      </c>
      <c r="D54" s="2" t="s">
        <v>38</v>
      </c>
      <c r="E54" s="5">
        <v>45435.742824074077</v>
      </c>
      <c r="F54" s="2" t="s">
        <v>1238</v>
      </c>
      <c r="G54" s="2">
        <v>568116</v>
      </c>
      <c r="H54" s="2">
        <v>0</v>
      </c>
      <c r="I54" s="2">
        <v>0</v>
      </c>
      <c r="J54" s="2">
        <v>13</v>
      </c>
      <c r="K54" s="2" t="s">
        <v>47</v>
      </c>
      <c r="L54" s="4">
        <v>5255.07</v>
      </c>
      <c r="M54" s="2"/>
      <c r="N54" t="s">
        <v>4458</v>
      </c>
    </row>
    <row r="55" spans="1:14" ht="396" x14ac:dyDescent="0.3">
      <c r="A55" s="2" t="s">
        <v>1239</v>
      </c>
      <c r="B55" s="2" t="str">
        <f>HYPERLINK("https://www.ajc.com/sports/atlanta-united/atlanta-united-vs-indy-eleven-scheduled-for-july-9/S4MW5JTFM5F4HDGDNER2IMSR6A/")</f>
        <v>https://www.ajc.com/sports/atlanta-united/atlanta-united-vs-indy-eleven-scheduled-for-july-9/S4MW5JTFM5F4HDGDNER2IMSR6A/</v>
      </c>
      <c r="C55" s="2" t="s">
        <v>29</v>
      </c>
      <c r="D55" s="2" t="s">
        <v>30</v>
      </c>
      <c r="E55" s="5">
        <v>45435.733888888892</v>
      </c>
      <c r="F55" s="2" t="s">
        <v>1240</v>
      </c>
      <c r="G55" s="2">
        <v>2262733</v>
      </c>
      <c r="H55" s="2">
        <v>1</v>
      </c>
      <c r="I55" s="2">
        <v>16858</v>
      </c>
      <c r="J55" s="2">
        <v>1</v>
      </c>
      <c r="K55" s="2" t="s">
        <v>25</v>
      </c>
      <c r="L55" s="4">
        <v>20930.28</v>
      </c>
      <c r="M55" s="2"/>
      <c r="N55" t="s">
        <v>4457</v>
      </c>
    </row>
    <row r="56" spans="1:14" ht="343.2" x14ac:dyDescent="0.3">
      <c r="A56" s="2" t="s">
        <v>1241</v>
      </c>
      <c r="B56" s="2" t="str">
        <f>HYPERLINK("https://mirrorindy.org/indianapolis-greenlawn-cemetery-joe-hogsett-mls-soccer-indy-eleven/")</f>
        <v>https://mirrorindy.org/indianapolis-greenlawn-cemetery-joe-hogsett-mls-soccer-indy-eleven/</v>
      </c>
      <c r="C56" s="2" t="s">
        <v>1242</v>
      </c>
      <c r="D56" s="2" t="s">
        <v>132</v>
      </c>
      <c r="E56" s="5">
        <v>45435.731319444443</v>
      </c>
      <c r="F56" s="2" t="s">
        <v>1243</v>
      </c>
      <c r="G56" s="2">
        <v>29972</v>
      </c>
      <c r="H56" s="2">
        <v>2</v>
      </c>
      <c r="I56" s="2">
        <v>9429</v>
      </c>
      <c r="J56" s="2">
        <v>2</v>
      </c>
      <c r="K56" s="2" t="s">
        <v>31</v>
      </c>
      <c r="L56" s="4">
        <v>277.24</v>
      </c>
      <c r="M56" s="2"/>
      <c r="N56" t="s">
        <v>4458</v>
      </c>
    </row>
    <row r="57" spans="1:14" ht="382.8" x14ac:dyDescent="0.3">
      <c r="A57" s="2" t="s">
        <v>1244</v>
      </c>
      <c r="B57" s="2" t="str">
        <f>HYPERLINK("https://www.oursportscentral.com/services/releases/preview-rising-vs-indy-eleven-saturday-at-4-pm/n-6098713")</f>
        <v>https://www.oursportscentral.com/services/releases/preview-rising-vs-indy-eleven-saturday-at-4-pm/n-6098713</v>
      </c>
      <c r="C57" s="2"/>
      <c r="D57" s="2" t="s">
        <v>24</v>
      </c>
      <c r="E57" s="5">
        <v>45435.693055555559</v>
      </c>
      <c r="F57" s="2" t="s">
        <v>1245</v>
      </c>
      <c r="G57" s="2">
        <v>40402</v>
      </c>
      <c r="H57" s="2">
        <v>0</v>
      </c>
      <c r="I57" s="2">
        <v>0</v>
      </c>
      <c r="J57" s="2">
        <v>0</v>
      </c>
      <c r="K57" s="2" t="s">
        <v>31</v>
      </c>
      <c r="L57" s="4">
        <v>373.72</v>
      </c>
      <c r="M57" s="2"/>
      <c r="N57" t="s">
        <v>4457</v>
      </c>
    </row>
    <row r="58" spans="1:14" ht="409.6" x14ac:dyDescent="0.3">
      <c r="A58" s="2" t="s">
        <v>1246</v>
      </c>
      <c r="B58" s="2" t="str">
        <f>HYPERLINK("https://www.ibj.com/articles/greenlawn-remains-to-be-reinterred-at-abandoned-cemetery")</f>
        <v>https://www.ibj.com/articles/greenlawn-remains-to-be-reinterred-at-abandoned-cemetery</v>
      </c>
      <c r="C58" s="2"/>
      <c r="D58" s="2" t="s">
        <v>268</v>
      </c>
      <c r="E58" s="5">
        <v>45435.684432870366</v>
      </c>
      <c r="F58" s="2" t="s">
        <v>1227</v>
      </c>
      <c r="G58" s="2">
        <v>112057</v>
      </c>
      <c r="H58" s="2">
        <v>0</v>
      </c>
      <c r="I58" s="2">
        <v>0</v>
      </c>
      <c r="J58" s="2">
        <v>18</v>
      </c>
      <c r="K58" s="2" t="s">
        <v>25</v>
      </c>
      <c r="L58" s="4">
        <v>1036.53</v>
      </c>
      <c r="M58" s="2"/>
      <c r="N58" t="s">
        <v>4458</v>
      </c>
    </row>
    <row r="59" spans="1:14" ht="409.6" x14ac:dyDescent="0.3">
      <c r="A59" s="2" t="s">
        <v>1247</v>
      </c>
      <c r="B59" s="2" t="str">
        <f>HYPERLINK("https://www.wfyi.org/news/articles/development-in-speedway-has-sped-up-in-recent-years-says-new-director")</f>
        <v>https://www.wfyi.org/news/articles/development-in-speedway-has-sped-up-in-recent-years-says-new-director</v>
      </c>
      <c r="C59" s="2" t="s">
        <v>608</v>
      </c>
      <c r="D59" s="2" t="s">
        <v>609</v>
      </c>
      <c r="E59" s="5">
        <v>45435.673750000002</v>
      </c>
      <c r="F59" s="2" t="s">
        <v>1248</v>
      </c>
      <c r="G59" s="2">
        <v>161845</v>
      </c>
      <c r="H59" s="2">
        <v>0</v>
      </c>
      <c r="I59" s="2">
        <v>0</v>
      </c>
      <c r="J59" s="2">
        <v>0</v>
      </c>
      <c r="K59" s="2" t="s">
        <v>25</v>
      </c>
      <c r="L59" s="4">
        <v>1497.07</v>
      </c>
      <c r="M59" s="2"/>
      <c r="N59" t="s">
        <v>4458</v>
      </c>
    </row>
    <row r="60" spans="1:14" ht="409.6" x14ac:dyDescent="0.3">
      <c r="A60" s="2" t="s">
        <v>1250</v>
      </c>
      <c r="B60" s="2" t="str">
        <f>HYPERLINK("https://www.indystar.com/story/opinion/columnists/james-briggs/2024/05/23/indianapolis-insults-ersal-ozdemir-in-mls-soccer-quest/73818624007/")</f>
        <v>https://www.indystar.com/story/opinion/columnists/james-briggs/2024/05/23/indianapolis-insults-ersal-ozdemir-in-mls-soccer-quest/73818624007/</v>
      </c>
      <c r="C60" s="2" t="s">
        <v>1084</v>
      </c>
      <c r="D60" s="2" t="s">
        <v>321</v>
      </c>
      <c r="E60" s="5">
        <v>45435.561493055553</v>
      </c>
      <c r="F60" s="2" t="s">
        <v>1249</v>
      </c>
      <c r="G60" s="2">
        <v>3061566</v>
      </c>
      <c r="H60" s="2">
        <v>2</v>
      </c>
      <c r="I60" s="2">
        <v>17963</v>
      </c>
      <c r="J60" s="2">
        <v>2</v>
      </c>
      <c r="K60" s="2" t="s">
        <v>47</v>
      </c>
      <c r="L60" s="4">
        <v>28319.49</v>
      </c>
      <c r="M60" s="2"/>
      <c r="N60" t="s">
        <v>4458</v>
      </c>
    </row>
    <row r="61" spans="1:14" ht="303.60000000000002" x14ac:dyDescent="0.3">
      <c r="A61" s="2" t="s">
        <v>1251</v>
      </c>
      <c r="B61" s="2" t="str">
        <f>HYPERLINK("https://sports.yahoo.com/indy-elevens-3-goal-first-160937087.html")</f>
        <v>https://sports.yahoo.com/indy-elevens-3-goal-first-160937087.html</v>
      </c>
      <c r="C61" s="2" t="s">
        <v>1252</v>
      </c>
      <c r="D61" s="2" t="s">
        <v>137</v>
      </c>
      <c r="E61" s="5">
        <v>45435.543506944443</v>
      </c>
      <c r="F61" s="2" t="s">
        <v>1228</v>
      </c>
      <c r="G61" s="2">
        <v>23172409</v>
      </c>
      <c r="H61" s="2">
        <v>0</v>
      </c>
      <c r="I61" s="2">
        <v>0</v>
      </c>
      <c r="J61" s="2">
        <v>0</v>
      </c>
      <c r="K61" s="2" t="s">
        <v>25</v>
      </c>
      <c r="L61" s="4">
        <v>214344.78</v>
      </c>
      <c r="M61" s="2"/>
      <c r="N61" t="s">
        <v>4457</v>
      </c>
    </row>
    <row r="62" spans="1:14" ht="409.6" x14ac:dyDescent="0.3">
      <c r="A62" s="2" t="s">
        <v>1253</v>
      </c>
      <c r="B62" s="2" t="str">
        <f>HYPERLINK("https://newspub.live/midwest/detroit-mi/indy-elevens-3-goal-first-half-knocks-detroit-city-fc-out-of-u-s-open-cup-in-round-of-16/")</f>
        <v>https://newspub.live/midwest/detroit-mi/indy-elevens-3-goal-first-half-knocks-detroit-city-fc-out-of-u-s-open-cup-in-round-of-16/</v>
      </c>
      <c r="C62" s="2"/>
      <c r="D62" s="2" t="s">
        <v>56</v>
      </c>
      <c r="E62" s="5">
        <v>45435.53230324074</v>
      </c>
      <c r="F62" s="2" t="s">
        <v>1254</v>
      </c>
      <c r="G62" s="2">
        <v>655</v>
      </c>
      <c r="H62" s="2">
        <v>0</v>
      </c>
      <c r="I62" s="2">
        <v>0</v>
      </c>
      <c r="J62" s="2">
        <v>0</v>
      </c>
      <c r="K62" s="2" t="s">
        <v>31</v>
      </c>
      <c r="L62" s="4">
        <v>6.06</v>
      </c>
      <c r="M62" s="2"/>
      <c r="N62" t="s">
        <v>4457</v>
      </c>
    </row>
    <row r="63" spans="1:14" ht="316.8" x14ac:dyDescent="0.3">
      <c r="A63" s="2" t="s">
        <v>1255</v>
      </c>
      <c r="B63" s="2" t="str">
        <f>HYPERLINK("https://www.oursportscentral.com/services/releases/atlanta-united-to-host-indy-eleven-in-lamar-hunt-u-s-open-cup-quarterfinal-july-9/n-6098593")</f>
        <v>https://www.oursportscentral.com/services/releases/atlanta-united-to-host-indy-eleven-in-lamar-hunt-u-s-open-cup-quarterfinal-july-9/n-6098593</v>
      </c>
      <c r="C63" s="2"/>
      <c r="D63" s="2" t="s">
        <v>24</v>
      </c>
      <c r="E63" s="5">
        <v>45435.520138888889</v>
      </c>
      <c r="F63" s="2" t="s">
        <v>1256</v>
      </c>
      <c r="G63" s="2">
        <v>40402</v>
      </c>
      <c r="H63" s="2">
        <v>0</v>
      </c>
      <c r="I63" s="2">
        <v>0</v>
      </c>
      <c r="J63" s="2">
        <v>0</v>
      </c>
      <c r="K63" s="2" t="s">
        <v>25</v>
      </c>
      <c r="L63" s="4">
        <v>373.72</v>
      </c>
      <c r="M63" s="2"/>
      <c r="N63" t="s">
        <v>4457</v>
      </c>
    </row>
    <row r="64" spans="1:14" ht="409.6" x14ac:dyDescent="0.3">
      <c r="A64" s="2" t="s">
        <v>1257</v>
      </c>
      <c r="B64" s="2" t="str">
        <f>HYPERLINK("https://dailyjournal.net/2024/05/23/keystone-says-87-burials-discovered-in-excavation-of-proposed-soccer-stadium-site/")</f>
        <v>https://dailyjournal.net/2024/05/23/keystone-says-87-burials-discovered-in-excavation-of-proposed-soccer-stadium-site/</v>
      </c>
      <c r="C64" s="2" t="s">
        <v>437</v>
      </c>
      <c r="D64" s="2" t="s">
        <v>323</v>
      </c>
      <c r="E64" s="5">
        <v>45435.514004629629</v>
      </c>
      <c r="F64" s="2" t="s">
        <v>1258</v>
      </c>
      <c r="G64" s="2">
        <v>77816</v>
      </c>
      <c r="H64" s="2">
        <v>0</v>
      </c>
      <c r="I64" s="2">
        <v>0</v>
      </c>
      <c r="J64" s="2">
        <v>25</v>
      </c>
      <c r="K64" s="2" t="s">
        <v>31</v>
      </c>
      <c r="L64" s="4">
        <v>719.8</v>
      </c>
      <c r="M64" s="2"/>
      <c r="N64" t="s">
        <v>4458</v>
      </c>
    </row>
    <row r="65" spans="1:14" ht="409.6" x14ac:dyDescent="0.3">
      <c r="A65" s="2" t="s">
        <v>1259</v>
      </c>
      <c r="B65" s="2" t="str">
        <f>HYPERLINK("https://wibc.com/347006/city-offers-to-buy-eleven-park-site-where-cemetery-once-was/")</f>
        <v>https://wibc.com/347006/city-offers-to-buy-eleven-park-site-where-cemetery-once-was/</v>
      </c>
      <c r="C65" s="2"/>
      <c r="D65" s="2" t="s">
        <v>322</v>
      </c>
      <c r="E65" s="5">
        <v>45435.511331018519</v>
      </c>
      <c r="F65" s="2" t="s">
        <v>1260</v>
      </c>
      <c r="G65" s="2">
        <v>42815</v>
      </c>
      <c r="H65" s="2">
        <v>0</v>
      </c>
      <c r="I65" s="2">
        <v>0</v>
      </c>
      <c r="J65" s="2">
        <v>0</v>
      </c>
      <c r="K65" s="2" t="s">
        <v>25</v>
      </c>
      <c r="L65" s="4">
        <v>396.04</v>
      </c>
      <c r="M65" s="2"/>
      <c r="N65" t="s">
        <v>4458</v>
      </c>
    </row>
    <row r="66" spans="1:14" ht="303.60000000000002" x14ac:dyDescent="0.3">
      <c r="A66" s="2" t="s">
        <v>1251</v>
      </c>
      <c r="B66" s="2" t="str">
        <f>HYPERLINK("https://www.freep.com/story/sports/2024/05/23/detroit-city-fc-knocked-out-of-u-s-open-cup-in-round-of-16/73817277007/")</f>
        <v>https://www.freep.com/story/sports/2024/05/23/detroit-city-fc-knocked-out-of-u-s-open-cup-in-round-of-16/73817277007/</v>
      </c>
      <c r="C66" s="2" t="s">
        <v>1252</v>
      </c>
      <c r="D66" s="2" t="s">
        <v>688</v>
      </c>
      <c r="E66" s="5">
        <v>45435.506678240738</v>
      </c>
      <c r="F66" s="2" t="s">
        <v>1228</v>
      </c>
      <c r="G66" s="2">
        <v>3706584</v>
      </c>
      <c r="H66" s="2">
        <v>1</v>
      </c>
      <c r="I66" s="2">
        <v>1080</v>
      </c>
      <c r="J66" s="2">
        <v>24</v>
      </c>
      <c r="K66" s="2" t="s">
        <v>25</v>
      </c>
      <c r="L66" s="4">
        <v>34285.9</v>
      </c>
      <c r="M66" s="2"/>
      <c r="N66" t="s">
        <v>4457</v>
      </c>
    </row>
    <row r="67" spans="1:14" ht="409.6" x14ac:dyDescent="0.3">
      <c r="A67" s="2" t="s">
        <v>1261</v>
      </c>
      <c r="B67" s="2" t="str">
        <f>HYPERLINK("https://wibc.com/346892/hogsett-and-the-city-of-indianapolis-want-to-buy-former-diamond-chain-site-because-of-the-human-remains-being-found-there-no-thats-a-ruse/")</f>
        <v>https://wibc.com/346892/hogsett-and-the-city-of-indianapolis-want-to-buy-former-diamond-chain-site-because-of-the-human-remains-being-found-there-no-thats-a-ruse/</v>
      </c>
      <c r="C67" s="2"/>
      <c r="D67" s="2" t="s">
        <v>322</v>
      </c>
      <c r="E67" s="5">
        <v>45435.498495370368</v>
      </c>
      <c r="F67" s="2" t="s">
        <v>1262</v>
      </c>
      <c r="G67" s="2">
        <v>42815</v>
      </c>
      <c r="H67" s="2">
        <v>0</v>
      </c>
      <c r="I67" s="2">
        <v>0</v>
      </c>
      <c r="J67" s="2">
        <v>0</v>
      </c>
      <c r="K67" s="2" t="s">
        <v>31</v>
      </c>
      <c r="L67" s="4">
        <v>396.04</v>
      </c>
      <c r="M67" s="2"/>
      <c r="N67" t="s">
        <v>4458</v>
      </c>
    </row>
    <row r="68" spans="1:14" ht="369.6" x14ac:dyDescent="0.3">
      <c r="A68" s="2" t="s">
        <v>1263</v>
      </c>
      <c r="B68" s="2" t="str">
        <f>HYPERLINK("https://www.wfyi.org/news/articles/city-offers-to-buy-eleven-park-site-citing-concerns-about-historical-cemetery")</f>
        <v>https://www.wfyi.org/news/articles/city-offers-to-buy-eleven-park-site-citing-concerns-about-historical-cemetery</v>
      </c>
      <c r="C68" s="2" t="s">
        <v>608</v>
      </c>
      <c r="D68" s="2" t="s">
        <v>609</v>
      </c>
      <c r="E68" s="5">
        <v>45435.498402777783</v>
      </c>
      <c r="F68" s="2" t="s">
        <v>1264</v>
      </c>
      <c r="G68" s="2">
        <v>161845</v>
      </c>
      <c r="H68" s="2">
        <v>0</v>
      </c>
      <c r="I68" s="2">
        <v>0</v>
      </c>
      <c r="J68" s="2">
        <v>0</v>
      </c>
      <c r="K68" s="2" t="s">
        <v>31</v>
      </c>
      <c r="L68" s="4">
        <v>1497.07</v>
      </c>
      <c r="M68" s="2"/>
      <c r="N68" t="s">
        <v>4458</v>
      </c>
    </row>
    <row r="69" spans="1:14" ht="409.6" x14ac:dyDescent="0.3">
      <c r="A69" s="2" t="s">
        <v>1265</v>
      </c>
      <c r="B69" s="2" t="str">
        <f>HYPERLINK("https://mirrorindy.org/daily-newsletter-may-23-2024/")</f>
        <v>https://mirrorindy.org/daily-newsletter-may-23-2024/</v>
      </c>
      <c r="C69" s="2" t="s">
        <v>616</v>
      </c>
      <c r="D69" s="2" t="s">
        <v>132</v>
      </c>
      <c r="E69" s="5">
        <v>45435.482986111107</v>
      </c>
      <c r="F69" s="2" t="s">
        <v>1266</v>
      </c>
      <c r="G69" s="2">
        <v>29972</v>
      </c>
      <c r="H69" s="2">
        <v>2</v>
      </c>
      <c r="I69" s="2">
        <v>12842</v>
      </c>
      <c r="J69" s="2">
        <v>2</v>
      </c>
      <c r="K69" s="2" t="s">
        <v>31</v>
      </c>
      <c r="L69" s="4">
        <v>277.24</v>
      </c>
      <c r="M69" s="2"/>
      <c r="N69" t="s">
        <v>4458</v>
      </c>
    </row>
    <row r="70" spans="1:14" ht="409.6" x14ac:dyDescent="0.3">
      <c r="A70" s="2" t="s">
        <v>1267</v>
      </c>
      <c r="B70" s="2" t="str">
        <f>HYPERLINK("https://www.wane.com/news/indiana/city-of-indianapolis-offers-to-buy-diamond-chain-soccer-stadium-site/")</f>
        <v>https://www.wane.com/news/indiana/city-of-indianapolis-offers-to-buy-diamond-chain-soccer-stadium-site/</v>
      </c>
      <c r="C70" s="2" t="s">
        <v>1129</v>
      </c>
      <c r="D70" s="2" t="s">
        <v>1130</v>
      </c>
      <c r="E70" s="5">
        <v>45435.463495370372</v>
      </c>
      <c r="F70" s="2" t="s">
        <v>1268</v>
      </c>
      <c r="G70" s="2">
        <v>532355</v>
      </c>
      <c r="H70" s="2">
        <v>0</v>
      </c>
      <c r="I70" s="2">
        <v>0</v>
      </c>
      <c r="J70" s="2">
        <v>18</v>
      </c>
      <c r="K70" s="2" t="s">
        <v>25</v>
      </c>
      <c r="L70" s="4">
        <v>4924.28</v>
      </c>
      <c r="M70" s="2"/>
      <c r="N70" t="s">
        <v>4458</v>
      </c>
    </row>
    <row r="71" spans="1:14" ht="409.6" x14ac:dyDescent="0.3">
      <c r="A71" s="2" t="s">
        <v>1257</v>
      </c>
      <c r="B71" s="2" t="str">
        <f>HYPERLINK("https://www.theindianalawyer.com/articles/keystone-says-87-burials-discovered-in-excavation-of-proposed-soccer-stadium-site")</f>
        <v>https://www.theindianalawyer.com/articles/keystone-says-87-burials-discovered-in-excavation-of-proposed-soccer-stadium-site</v>
      </c>
      <c r="C71" s="2" t="s">
        <v>437</v>
      </c>
      <c r="D71" s="2" t="s">
        <v>1269</v>
      </c>
      <c r="E71" s="5">
        <v>45435.420763888891</v>
      </c>
      <c r="F71" s="2" t="s">
        <v>1270</v>
      </c>
      <c r="G71" s="2">
        <v>19594</v>
      </c>
      <c r="H71" s="2">
        <v>0</v>
      </c>
      <c r="I71" s="2">
        <v>0</v>
      </c>
      <c r="J71" s="2">
        <v>0</v>
      </c>
      <c r="K71" s="2" t="s">
        <v>25</v>
      </c>
      <c r="L71" s="4">
        <v>181.24</v>
      </c>
      <c r="M71" s="2"/>
      <c r="N71" t="s">
        <v>4458</v>
      </c>
    </row>
    <row r="72" spans="1:14" ht="409.6" x14ac:dyDescent="0.3">
      <c r="A72" s="2" t="s">
        <v>1271</v>
      </c>
      <c r="B72" s="2" t="str">
        <f>HYPERLINK("https://www.atlutd.com/news/atlanta-united-opponent-indy-eleven-quarterfinals-2024-lamar-hunt-u-s-open-cup")</f>
        <v>https://www.atlutd.com/news/atlanta-united-opponent-indy-eleven-quarterfinals-2024-lamar-hunt-u-s-open-cup</v>
      </c>
      <c r="C72" s="2"/>
      <c r="D72" s="2" t="s">
        <v>800</v>
      </c>
      <c r="E72" s="5">
        <v>45435.41002314815</v>
      </c>
      <c r="F72" s="2" t="s">
        <v>1272</v>
      </c>
      <c r="G72" s="2">
        <v>125156</v>
      </c>
      <c r="H72" s="2">
        <v>0</v>
      </c>
      <c r="I72" s="2">
        <v>0</v>
      </c>
      <c r="J72" s="2">
        <v>0</v>
      </c>
      <c r="K72" s="2" t="s">
        <v>25</v>
      </c>
      <c r="L72" s="4">
        <v>1157.69</v>
      </c>
      <c r="M72" s="2"/>
      <c r="N72" t="s">
        <v>4457</v>
      </c>
    </row>
    <row r="73" spans="1:14" ht="409.6" x14ac:dyDescent="0.3">
      <c r="A73" s="2" t="s">
        <v>1233</v>
      </c>
      <c r="B73" s="2" t="str">
        <f>HYPERLINK("https://1075thefan.com/328713/indy-eleven-advance-to-quarterfinals-of-u-s-open-cup/")</f>
        <v>https://1075thefan.com/328713/indy-eleven-advance-to-quarterfinals-of-u-s-open-cup/</v>
      </c>
      <c r="C73" s="2" t="s">
        <v>713</v>
      </c>
      <c r="D73" s="2" t="s">
        <v>75</v>
      </c>
      <c r="E73" s="5">
        <v>45435.38422453704</v>
      </c>
      <c r="F73" s="2" t="s">
        <v>1234</v>
      </c>
      <c r="G73" s="2">
        <v>208881</v>
      </c>
      <c r="H73" s="2">
        <v>0</v>
      </c>
      <c r="I73" s="2">
        <v>0</v>
      </c>
      <c r="J73" s="2">
        <v>2</v>
      </c>
      <c r="K73" s="2" t="s">
        <v>31</v>
      </c>
      <c r="L73" s="4">
        <v>1932.15</v>
      </c>
      <c r="M73" s="2"/>
      <c r="N73" t="s">
        <v>4458</v>
      </c>
    </row>
    <row r="74" spans="1:14" ht="409.6" x14ac:dyDescent="0.3">
      <c r="A74" s="2" t="s">
        <v>1273</v>
      </c>
      <c r="B74" s="2" t="str">
        <f>HYPERLINK("https://www.frontrowsoccer.com/2024/05/23/into-the-quarterfinals-fc-dallas-sounders-indy-eleven-advance-in-open-cup/")</f>
        <v>https://www.frontrowsoccer.com/2024/05/23/into-the-quarterfinals-fc-dallas-sounders-indy-eleven-advance-in-open-cup/</v>
      </c>
      <c r="C74" s="2" t="s">
        <v>60</v>
      </c>
      <c r="D74" s="2" t="s">
        <v>61</v>
      </c>
      <c r="E74" s="5">
        <v>45435.306157407409</v>
      </c>
      <c r="F74" s="2" t="s">
        <v>1274</v>
      </c>
      <c r="G74" s="2">
        <v>17658</v>
      </c>
      <c r="H74" s="2">
        <v>1</v>
      </c>
      <c r="I74" s="2">
        <v>10207</v>
      </c>
      <c r="J74" s="2">
        <v>26</v>
      </c>
      <c r="K74" s="2" t="s">
        <v>25</v>
      </c>
      <c r="L74" s="4">
        <v>163.34</v>
      </c>
      <c r="M74" s="2"/>
      <c r="N74" t="s">
        <v>4457</v>
      </c>
    </row>
    <row r="75" spans="1:14" ht="409.6" x14ac:dyDescent="0.3">
      <c r="A75" s="2" t="s">
        <v>34</v>
      </c>
      <c r="B75" s="2" t="str">
        <f>HYPERLINK("https://www.heraldbulletin.com/sports/coming-up/article_9aa87756-188b-11ef-9b42-3fe8db473534.html")</f>
        <v>https://www.heraldbulletin.com/sports/coming-up/article_9aa87756-188b-11ef-9b42-3fe8db473534.html</v>
      </c>
      <c r="C75" s="2"/>
      <c r="D75" s="2" t="s">
        <v>35</v>
      </c>
      <c r="E75" s="5">
        <v>45435.301527777781</v>
      </c>
      <c r="F75" s="2" t="s">
        <v>1275</v>
      </c>
      <c r="G75" s="2">
        <v>50260</v>
      </c>
      <c r="H75" s="2">
        <v>0</v>
      </c>
      <c r="I75" s="2">
        <v>0</v>
      </c>
      <c r="J75" s="2">
        <v>36</v>
      </c>
      <c r="K75" s="2" t="s">
        <v>25</v>
      </c>
      <c r="L75" s="4">
        <v>464.9</v>
      </c>
      <c r="M75" s="2"/>
      <c r="N75" t="s">
        <v>4458</v>
      </c>
    </row>
    <row r="76" spans="1:14" ht="409.6" x14ac:dyDescent="0.3">
      <c r="A76" s="2" t="s">
        <v>1233</v>
      </c>
      <c r="B76" s="2" t="str">
        <f>HYPERLINK("https://wibc.com/346905/indy-eleven-advance-to-quarterfinals-of-u-s-open-cup/")</f>
        <v>https://wibc.com/346905/indy-eleven-advance-to-quarterfinals-of-u-s-open-cup/</v>
      </c>
      <c r="C76" s="2" t="s">
        <v>713</v>
      </c>
      <c r="D76" s="2" t="s">
        <v>322</v>
      </c>
      <c r="E76" s="5">
        <v>45435.286874999998</v>
      </c>
      <c r="F76" s="2" t="s">
        <v>1234</v>
      </c>
      <c r="G76" s="2">
        <v>42815</v>
      </c>
      <c r="H76" s="2">
        <v>0</v>
      </c>
      <c r="I76" s="2">
        <v>0</v>
      </c>
      <c r="J76" s="2">
        <v>27</v>
      </c>
      <c r="K76" s="2" t="s">
        <v>31</v>
      </c>
      <c r="L76" s="4">
        <v>396.04</v>
      </c>
      <c r="M76" s="2"/>
      <c r="N76" t="s">
        <v>4458</v>
      </c>
    </row>
    <row r="77" spans="1:14" ht="409.6" x14ac:dyDescent="0.3">
      <c r="A77" s="2" t="s">
        <v>1276</v>
      </c>
      <c r="B77" s="2" t="str">
        <f>HYPERLINK("https://wtlcfm.com/3875913/city-of-indianapolis-wants-to-buy-former-diamond-chain-site/")</f>
        <v>https://wtlcfm.com/3875913/city-of-indianapolis-wants-to-buy-former-diamond-chain-site/</v>
      </c>
      <c r="C77" s="2" t="s">
        <v>1277</v>
      </c>
      <c r="D77" s="2" t="s">
        <v>515</v>
      </c>
      <c r="E77" s="5">
        <v>45435.073958333327</v>
      </c>
      <c r="F77" s="2" t="s">
        <v>1278</v>
      </c>
      <c r="G77" s="2">
        <v>7794</v>
      </c>
      <c r="H77" s="2">
        <v>0</v>
      </c>
      <c r="I77" s="2">
        <v>0</v>
      </c>
      <c r="J77" s="2">
        <v>0</v>
      </c>
      <c r="K77" s="2" t="s">
        <v>25</v>
      </c>
      <c r="L77" s="4">
        <v>72.09</v>
      </c>
      <c r="M77" s="2"/>
      <c r="N77" t="s">
        <v>4458</v>
      </c>
    </row>
    <row r="78" spans="1:14" ht="409.6" x14ac:dyDescent="0.3">
      <c r="A78" s="2" t="s">
        <v>1257</v>
      </c>
      <c r="B78" s="2" t="str">
        <f>HYPERLINK("https://www.ibj.com/articles/keystone-says-87-burials-discovered-in-readying-of-diamond-chain-site")</f>
        <v>https://www.ibj.com/articles/keystone-says-87-burials-discovered-in-readying-of-diamond-chain-site</v>
      </c>
      <c r="C78" s="2"/>
      <c r="D78" s="2" t="s">
        <v>268</v>
      </c>
      <c r="E78" s="5">
        <v>45435.045763888891</v>
      </c>
      <c r="F78" s="2" t="s">
        <v>1279</v>
      </c>
      <c r="G78" s="2">
        <v>112057</v>
      </c>
      <c r="H78" s="2">
        <v>0</v>
      </c>
      <c r="I78" s="2">
        <v>0</v>
      </c>
      <c r="J78" s="2">
        <v>0</v>
      </c>
      <c r="K78" s="2" t="s">
        <v>25</v>
      </c>
      <c r="L78" s="4">
        <v>1036.53</v>
      </c>
      <c r="M78" s="2"/>
      <c r="N78" t="s">
        <v>4458</v>
      </c>
    </row>
    <row r="79" spans="1:14" ht="409.6" x14ac:dyDescent="0.3">
      <c r="A79" s="2" t="s">
        <v>1280</v>
      </c>
      <c r="B79" s="2" t="str">
        <f>HYPERLINK("https://www.sportsbusinessjournal.com/Articles/2024/05/23/indianapolis-mls")</f>
        <v>https://www.sportsbusinessjournal.com/Articles/2024/05/23/indianapolis-mls</v>
      </c>
      <c r="C79" s="2"/>
      <c r="D79" s="2" t="s">
        <v>723</v>
      </c>
      <c r="E79" s="5">
        <v>45435</v>
      </c>
      <c r="F79" s="2" t="s">
        <v>1281</v>
      </c>
      <c r="G79" s="2">
        <v>344651</v>
      </c>
      <c r="H79" s="2">
        <v>0</v>
      </c>
      <c r="I79" s="2">
        <v>0</v>
      </c>
      <c r="J79" s="2">
        <v>0</v>
      </c>
      <c r="K79" s="2" t="s">
        <v>25</v>
      </c>
      <c r="L79" s="4">
        <v>3188.02</v>
      </c>
      <c r="M79" s="2"/>
      <c r="N79" t="s">
        <v>4457</v>
      </c>
    </row>
    <row r="80" spans="1:14" ht="264" x14ac:dyDescent="0.3">
      <c r="A80" s="2" t="s">
        <v>1282</v>
      </c>
      <c r="B80" s="2" t="str">
        <f>HYPERLINK("https://www.nuvo.net/sports/slideshow-indy-eleven-open-cup-joy/collection_031a314e-1913-11ef-be61-63702dc99beb.html")</f>
        <v>https://www.nuvo.net/sports/slideshow-indy-eleven-open-cup-joy/collection_031a314e-1913-11ef-be61-63702dc99beb.html</v>
      </c>
      <c r="C80" s="2" t="s">
        <v>112</v>
      </c>
      <c r="D80" s="2" t="s">
        <v>113</v>
      </c>
      <c r="E80" s="5">
        <v>45435</v>
      </c>
      <c r="F80" s="2" t="s">
        <v>1283</v>
      </c>
      <c r="G80" s="2">
        <v>8756</v>
      </c>
      <c r="H80" s="2"/>
      <c r="I80" s="2"/>
      <c r="J80" s="2"/>
      <c r="K80" s="2" t="s">
        <v>25</v>
      </c>
      <c r="L80" s="4">
        <v>80.989999999999995</v>
      </c>
      <c r="M80" s="2"/>
      <c r="N80" t="s">
        <v>4458</v>
      </c>
    </row>
    <row r="81" spans="1:14" ht="303.60000000000002" x14ac:dyDescent="0.3">
      <c r="A81" s="2" t="s">
        <v>1284</v>
      </c>
      <c r="B81" s="2" t="str">
        <f>HYPERLINK("https://www.ajc.com/sports/atlanta-united/atlanta-united-will-host-indy-eleven-in-us-open-cup/67NBAECX45ETXLFGY2POAQWCLI/")</f>
        <v>https://www.ajc.com/sports/atlanta-united/atlanta-united-will-host-indy-eleven-in-us-open-cup/67NBAECX45ETXLFGY2POAQWCLI/</v>
      </c>
      <c r="C81" s="2" t="s">
        <v>29</v>
      </c>
      <c r="D81" s="2" t="s">
        <v>30</v>
      </c>
      <c r="E81" s="5">
        <v>45434.934988425928</v>
      </c>
      <c r="F81" s="2" t="s">
        <v>1285</v>
      </c>
      <c r="G81" s="2">
        <v>2262733</v>
      </c>
      <c r="H81" s="2">
        <v>0</v>
      </c>
      <c r="I81" s="2">
        <v>0</v>
      </c>
      <c r="J81" s="2">
        <v>19</v>
      </c>
      <c r="K81" s="2" t="s">
        <v>25</v>
      </c>
      <c r="L81" s="4">
        <v>20930.28</v>
      </c>
      <c r="M81" s="2"/>
      <c r="N81" t="s">
        <v>4457</v>
      </c>
    </row>
    <row r="82" spans="1:14" ht="79.2" x14ac:dyDescent="0.3">
      <c r="A82" s="2" t="s">
        <v>1286</v>
      </c>
      <c r="B82" s="2" t="str">
        <f>HYPERLINK("https://article.wn.com/view/2024/05/23/Detroit_City_FC_ousted_from_US_Open_Cup_with_30_loss_to_Indy/")</f>
        <v>https://article.wn.com/view/2024/05/23/Detroit_City_FC_ousted_from_US_Open_Cup_with_30_loss_to_Indy/</v>
      </c>
      <c r="C82" s="2"/>
      <c r="D82" s="2" t="s">
        <v>632</v>
      </c>
      <c r="E82" s="5">
        <v>45434.894305555557</v>
      </c>
      <c r="F82" s="2"/>
      <c r="G82" s="2">
        <v>185918</v>
      </c>
      <c r="H82" s="2"/>
      <c r="I82" s="2"/>
      <c r="J82" s="2"/>
      <c r="K82" s="2"/>
      <c r="L82" s="4">
        <v>1719.74</v>
      </c>
      <c r="M82" s="2"/>
      <c r="N82" t="s">
        <v>4459</v>
      </c>
    </row>
    <row r="83" spans="1:14" ht="409.6" x14ac:dyDescent="0.3">
      <c r="A83" s="2" t="s">
        <v>1287</v>
      </c>
      <c r="B83" s="2" t="str">
        <f>HYPERLINK("https://www.uslchampionship.com/news_article/show/1310771")</f>
        <v>https://www.uslchampionship.com/news_article/show/1310771</v>
      </c>
      <c r="C83" s="2" t="s">
        <v>45</v>
      </c>
      <c r="D83" s="2" t="s">
        <v>28</v>
      </c>
      <c r="E83" s="5">
        <v>45434.875694444447</v>
      </c>
      <c r="F83" s="2" t="s">
        <v>1288</v>
      </c>
      <c r="G83" s="2">
        <v>44392</v>
      </c>
      <c r="H83" s="2"/>
      <c r="I83" s="2"/>
      <c r="J83" s="2"/>
      <c r="K83" s="2" t="s">
        <v>25</v>
      </c>
      <c r="L83" s="4">
        <v>410.63</v>
      </c>
      <c r="M83" s="2"/>
      <c r="N83" t="s">
        <v>4457</v>
      </c>
    </row>
    <row r="84" spans="1:14" ht="409.6" x14ac:dyDescent="0.3">
      <c r="A84" s="2" t="s">
        <v>1286</v>
      </c>
      <c r="B84" s="2" t="str">
        <f>HYPERLINK("https://www.detroitnews.com/story/sports/soccer/2024/05/22/detroit-city-fc-ousted-from-u-s-open-cup-with-3-0-loss-to-indy-eleven/73792222007/")</f>
        <v>https://www.detroitnews.com/story/sports/soccer/2024/05/22/detroit-city-fc-ousted-from-u-s-open-cup-with-3-0-loss-to-indy-eleven/73792222007/</v>
      </c>
      <c r="C84" s="2" t="s">
        <v>1138</v>
      </c>
      <c r="D84" s="2" t="s">
        <v>64</v>
      </c>
      <c r="E84" s="5">
        <v>45434.873136574082</v>
      </c>
      <c r="F84" s="2" t="s">
        <v>1289</v>
      </c>
      <c r="G84" s="2">
        <v>1963432</v>
      </c>
      <c r="H84" s="2">
        <v>0</v>
      </c>
      <c r="I84" s="2">
        <v>0</v>
      </c>
      <c r="J84" s="2">
        <v>1</v>
      </c>
      <c r="K84" s="2" t="s">
        <v>47</v>
      </c>
      <c r="L84" s="4">
        <v>18161.75</v>
      </c>
      <c r="M84" s="2"/>
      <c r="N84" t="s">
        <v>4457</v>
      </c>
    </row>
    <row r="85" spans="1:14" ht="409.6" x14ac:dyDescent="0.3">
      <c r="A85" s="2" t="s">
        <v>1276</v>
      </c>
      <c r="B85" s="2" t="str">
        <f>HYPERLINK("https://praiseindy.com/3707858/city-of-indianapolis-wants-to-buy-former-diamond-chain-site/")</f>
        <v>https://praiseindy.com/3707858/city-of-indianapolis-wants-to-buy-former-diamond-chain-site/</v>
      </c>
      <c r="C85" s="2" t="s">
        <v>1277</v>
      </c>
      <c r="D85" s="2" t="s">
        <v>504</v>
      </c>
      <c r="E85" s="5">
        <v>45434.865127314813</v>
      </c>
      <c r="F85" s="2" t="s">
        <v>1278</v>
      </c>
      <c r="G85" s="2">
        <v>5231</v>
      </c>
      <c r="H85" s="2">
        <v>0</v>
      </c>
      <c r="I85" s="2">
        <v>0</v>
      </c>
      <c r="J85" s="2">
        <v>13</v>
      </c>
      <c r="K85" s="2" t="s">
        <v>25</v>
      </c>
      <c r="L85" s="4">
        <v>48.39</v>
      </c>
      <c r="M85" s="2"/>
      <c r="N85" t="s">
        <v>4458</v>
      </c>
    </row>
    <row r="86" spans="1:14" ht="409.6" x14ac:dyDescent="0.3">
      <c r="A86" s="2" t="s">
        <v>1290</v>
      </c>
      <c r="B86" s="2" t="str">
        <f>HYPERLINK("https://www.oursportscentral.com/services/releases/detroit-city-fc-is-out-of-the-us-open-cup-falls-to-indy-eleven-3-0-in-round-of-16/n-6098246")</f>
        <v>https://www.oursportscentral.com/services/releases/detroit-city-fc-is-out-of-the-us-open-cup-falls-to-indy-eleven-3-0-in-round-of-16/n-6098246</v>
      </c>
      <c r="C86" s="2"/>
      <c r="D86" s="2" t="s">
        <v>24</v>
      </c>
      <c r="E86" s="5">
        <v>45434.793055555558</v>
      </c>
      <c r="F86" s="2" t="s">
        <v>1291</v>
      </c>
      <c r="G86" s="2">
        <v>40402</v>
      </c>
      <c r="H86" s="2">
        <v>0</v>
      </c>
      <c r="I86" s="2">
        <v>0</v>
      </c>
      <c r="J86" s="2">
        <v>0</v>
      </c>
      <c r="K86" s="2" t="s">
        <v>31</v>
      </c>
      <c r="L86" s="4">
        <v>373.72</v>
      </c>
      <c r="M86" s="2"/>
      <c r="N86" t="s">
        <v>4457</v>
      </c>
    </row>
    <row r="87" spans="1:14" ht="409.6" x14ac:dyDescent="0.3">
      <c r="A87" s="2" t="s">
        <v>1292</v>
      </c>
      <c r="B87" s="2" t="str">
        <f>HYPERLINK("https://www.wishtv.com/news/politics/indianapolis-offers-to-buy-eleven-park-soccer-stadium-site-at-fair-market-value/")</f>
        <v>https://www.wishtv.com/news/politics/indianapolis-offers-to-buy-eleven-park-soccer-stadium-site-at-fair-market-value/</v>
      </c>
      <c r="C87" s="2" t="s">
        <v>1293</v>
      </c>
      <c r="D87" s="2" t="s">
        <v>38</v>
      </c>
      <c r="E87" s="5">
        <v>45434.766412037039</v>
      </c>
      <c r="F87" s="2" t="s">
        <v>1294</v>
      </c>
      <c r="G87" s="2">
        <v>568116</v>
      </c>
      <c r="H87" s="2">
        <v>0</v>
      </c>
      <c r="I87" s="2">
        <v>0</v>
      </c>
      <c r="J87" s="2">
        <v>17</v>
      </c>
      <c r="K87" s="2" t="s">
        <v>25</v>
      </c>
      <c r="L87" s="4">
        <v>5255.07</v>
      </c>
      <c r="M87" s="2"/>
      <c r="N87" t="s">
        <v>4458</v>
      </c>
    </row>
    <row r="88" spans="1:14" ht="409.6" x14ac:dyDescent="0.3">
      <c r="A88" s="2" t="s">
        <v>1295</v>
      </c>
      <c r="B88" s="2" t="str">
        <f>HYPERLINK("https://www.insideindianabusiness.com/articles/indianapolis-offers-to-buy-diamond-chain-property")</f>
        <v>https://www.insideindianabusiness.com/articles/indianapolis-offers-to-buy-diamond-chain-property</v>
      </c>
      <c r="C88" s="2" t="s">
        <v>267</v>
      </c>
      <c r="D88" s="2" t="s">
        <v>438</v>
      </c>
      <c r="E88" s="5">
        <v>45434.744837962957</v>
      </c>
      <c r="F88" s="2" t="s">
        <v>1296</v>
      </c>
      <c r="G88" s="2">
        <v>78132</v>
      </c>
      <c r="H88" s="2">
        <v>0</v>
      </c>
      <c r="I88" s="2">
        <v>0</v>
      </c>
      <c r="J88" s="2">
        <v>0</v>
      </c>
      <c r="K88" s="2" t="s">
        <v>25</v>
      </c>
      <c r="L88" s="4">
        <v>722.72</v>
      </c>
      <c r="M88" s="2"/>
      <c r="N88" t="s">
        <v>4458</v>
      </c>
    </row>
    <row r="89" spans="1:14" ht="409.6" x14ac:dyDescent="0.3">
      <c r="A89" s="2" t="s">
        <v>1276</v>
      </c>
      <c r="B89" s="2" t="str">
        <f>HYPERLINK("https://wibc.com/346548/city-of-indianapolis-wants-to-buy-former-diamond-chain-site/")</f>
        <v>https://wibc.com/346548/city-of-indianapolis-wants-to-buy-former-diamond-chain-site/</v>
      </c>
      <c r="C89" s="2" t="s">
        <v>1277</v>
      </c>
      <c r="D89" s="2" t="s">
        <v>322</v>
      </c>
      <c r="E89" s="5">
        <v>45434.734236111108</v>
      </c>
      <c r="F89" s="2" t="s">
        <v>1278</v>
      </c>
      <c r="G89" s="2">
        <v>42815</v>
      </c>
      <c r="H89" s="2">
        <v>0</v>
      </c>
      <c r="I89" s="2">
        <v>0</v>
      </c>
      <c r="J89" s="2">
        <v>45</v>
      </c>
      <c r="K89" s="2" t="s">
        <v>25</v>
      </c>
      <c r="L89" s="4">
        <v>396.04</v>
      </c>
      <c r="M89" s="2"/>
      <c r="N89" t="s">
        <v>4458</v>
      </c>
    </row>
    <row r="90" spans="1:14" ht="382.8" x14ac:dyDescent="0.3">
      <c r="A90" s="2" t="s">
        <v>1297</v>
      </c>
      <c r="B90" s="2" t="str">
        <f>HYPERLINK("https://www.wthr.com/article/sports/soccer/indy-eleven/city-indianapolis-purchase-remaining-land-where-eleven-park-stadium-site-planned-major-league-soccer-bid/531-d6d8f8b0-953c-446e-9d94-37279e91c2e6")</f>
        <v>https://www.wthr.com/article/sports/soccer/indy-eleven/city-indianapolis-purchase-remaining-land-where-eleven-park-stadium-site-planned-major-league-soccer-bid/531-d6d8f8b0-953c-446e-9d94-37279e91c2e6</v>
      </c>
      <c r="C90" s="2"/>
      <c r="D90" s="2" t="s">
        <v>130</v>
      </c>
      <c r="E90" s="5">
        <v>45434.73265046296</v>
      </c>
      <c r="F90" s="2" t="s">
        <v>1298</v>
      </c>
      <c r="G90" s="2">
        <v>1222012</v>
      </c>
      <c r="H90" s="2">
        <v>1</v>
      </c>
      <c r="I90" s="2">
        <v>2304</v>
      </c>
      <c r="J90" s="2">
        <v>14</v>
      </c>
      <c r="K90" s="2" t="s">
        <v>31</v>
      </c>
      <c r="L90" s="4">
        <v>11303.61</v>
      </c>
      <c r="M90" s="2"/>
      <c r="N90" t="s">
        <v>4458</v>
      </c>
    </row>
    <row r="91" spans="1:14" ht="409.6" x14ac:dyDescent="0.3">
      <c r="A91" s="2" t="s">
        <v>1299</v>
      </c>
      <c r="B91" s="2" t="str">
        <f>HYPERLINK("https://headtopics.com/us/city-of-indianapolis-looks-to-buy-eleven-park-site-from-53009017")</f>
        <v>https://headtopics.com/us/city-of-indianapolis-looks-to-buy-eleven-park-site-from-53009017</v>
      </c>
      <c r="C91" s="2"/>
      <c r="D91" s="2" t="s">
        <v>283</v>
      </c>
      <c r="E91" s="5">
        <v>45434.731944444437</v>
      </c>
      <c r="F91" s="2" t="s">
        <v>1300</v>
      </c>
      <c r="G91" s="2">
        <v>55248</v>
      </c>
      <c r="H91" s="2">
        <v>0</v>
      </c>
      <c r="I91" s="2">
        <v>0</v>
      </c>
      <c r="J91" s="2">
        <v>0</v>
      </c>
      <c r="K91" s="2" t="s">
        <v>31</v>
      </c>
      <c r="L91" s="4">
        <v>511.04</v>
      </c>
      <c r="M91" s="2"/>
      <c r="N91" t="s">
        <v>4459</v>
      </c>
    </row>
    <row r="92" spans="1:14" ht="409.6" x14ac:dyDescent="0.3">
      <c r="A92" s="2" t="s">
        <v>1267</v>
      </c>
      <c r="B92" s="2" t="str">
        <f>HYPERLINK("https://fox59.com/indiana-news/city-of-indianapolis-offers-to-buy-diamond-chain-soccer-stadium-site/")</f>
        <v>https://fox59.com/indiana-news/city-of-indianapolis-offers-to-buy-diamond-chain-soccer-stadium-site/</v>
      </c>
      <c r="C92" s="2" t="s">
        <v>1129</v>
      </c>
      <c r="D92" s="2" t="s">
        <v>147</v>
      </c>
      <c r="E92" s="5">
        <v>45434.725416666668</v>
      </c>
      <c r="F92" s="2" t="s">
        <v>1268</v>
      </c>
      <c r="G92" s="2">
        <v>1351925</v>
      </c>
      <c r="H92" s="2">
        <v>0</v>
      </c>
      <c r="I92" s="2">
        <v>0</v>
      </c>
      <c r="J92" s="2">
        <v>2</v>
      </c>
      <c r="K92" s="2" t="s">
        <v>25</v>
      </c>
      <c r="L92" s="4">
        <v>12505.31</v>
      </c>
      <c r="M92" s="2"/>
      <c r="N92" t="s">
        <v>4458</v>
      </c>
    </row>
    <row r="93" spans="1:14" ht="409.6" x14ac:dyDescent="0.3">
      <c r="A93" s="2" t="s">
        <v>1299</v>
      </c>
      <c r="B93" s="2" t="str">
        <f>HYPERLINK("https://www.wrtv.com/news/local-news/city-of-indianapolis-looks-to-buy-eleven-park-site-from-keystone-group")</f>
        <v>https://www.wrtv.com/news/local-news/city-of-indianapolis-looks-to-buy-eleven-park-site-from-keystone-group</v>
      </c>
      <c r="C93" s="2" t="s">
        <v>724</v>
      </c>
      <c r="D93" s="2" t="s">
        <v>725</v>
      </c>
      <c r="E93" s="5">
        <v>45434.721504629633</v>
      </c>
      <c r="F93" s="2" t="s">
        <v>1300</v>
      </c>
      <c r="G93" s="2">
        <v>290626</v>
      </c>
      <c r="H93" s="2">
        <v>1</v>
      </c>
      <c r="I93" s="2">
        <v>2521</v>
      </c>
      <c r="J93" s="2">
        <v>24</v>
      </c>
      <c r="K93" s="2" t="s">
        <v>31</v>
      </c>
      <c r="L93" s="4">
        <v>2688.29</v>
      </c>
      <c r="M93" s="2"/>
      <c r="N93" t="s">
        <v>4458</v>
      </c>
    </row>
    <row r="94" spans="1:14" ht="409.6" x14ac:dyDescent="0.3">
      <c r="A94" s="2" t="s">
        <v>1267</v>
      </c>
      <c r="B94" s="2" t="str">
        <f>HYPERLINK("https://cbs4indy.com/indiana-news/city-of-indianapolis-offers-to-buy-diamond-chain-soccer-stadium-site/")</f>
        <v>https://cbs4indy.com/indiana-news/city-of-indianapolis-offers-to-buy-diamond-chain-soccer-stadium-site/</v>
      </c>
      <c r="C94" s="2" t="s">
        <v>1129</v>
      </c>
      <c r="D94" s="2" t="s">
        <v>146</v>
      </c>
      <c r="E94" s="5">
        <v>45434.719525462962</v>
      </c>
      <c r="F94" s="2" t="s">
        <v>1268</v>
      </c>
      <c r="G94" s="2">
        <v>153722</v>
      </c>
      <c r="H94" s="2">
        <v>0</v>
      </c>
      <c r="I94" s="2">
        <v>0</v>
      </c>
      <c r="J94" s="2">
        <v>0</v>
      </c>
      <c r="K94" s="2" t="s">
        <v>25</v>
      </c>
      <c r="L94" s="4">
        <v>1421.93</v>
      </c>
      <c r="M94" s="2"/>
      <c r="N94" t="s">
        <v>4458</v>
      </c>
    </row>
    <row r="95" spans="1:14" ht="409.6" x14ac:dyDescent="0.3">
      <c r="A95" s="2" t="s">
        <v>1301</v>
      </c>
      <c r="B95" s="2" t="str">
        <f>HYPERLINK("https://www.ibj.com/articles/city-offers-to-buy-diamond-chain-site-from-keystone")</f>
        <v>https://www.ibj.com/articles/city-offers-to-buy-diamond-chain-site-from-keystone</v>
      </c>
      <c r="C95" s="2" t="s">
        <v>267</v>
      </c>
      <c r="D95" s="2" t="s">
        <v>268</v>
      </c>
      <c r="E95" s="5">
        <v>45434.71125</v>
      </c>
      <c r="F95" s="2" t="s">
        <v>1302</v>
      </c>
      <c r="G95" s="2">
        <v>112057</v>
      </c>
      <c r="H95" s="2">
        <v>2</v>
      </c>
      <c r="I95" s="2">
        <v>26202</v>
      </c>
      <c r="J95" s="2">
        <v>2</v>
      </c>
      <c r="K95" s="2" t="s">
        <v>25</v>
      </c>
      <c r="L95" s="4">
        <v>1036.53</v>
      </c>
      <c r="M95" s="2"/>
      <c r="N95" t="s">
        <v>4458</v>
      </c>
    </row>
    <row r="96" spans="1:14" ht="409.6" x14ac:dyDescent="0.3">
      <c r="A96" s="2" t="s">
        <v>1303</v>
      </c>
      <c r="B96" s="2" t="str">
        <f>HYPERLINK("https://mirrorindy.org/indianapolis-purchase-eleven-park-diamond-chain-human-remains-found-keystone-development/")</f>
        <v>https://mirrorindy.org/indianapolis-purchase-eleven-park-diamond-chain-human-remains-found-keystone-development/</v>
      </c>
      <c r="C96" s="2" t="s">
        <v>966</v>
      </c>
      <c r="D96" s="2" t="s">
        <v>132</v>
      </c>
      <c r="E96" s="5">
        <v>45434.710636574076</v>
      </c>
      <c r="F96" s="2" t="s">
        <v>1304</v>
      </c>
      <c r="G96" s="2">
        <v>29972</v>
      </c>
      <c r="H96" s="2">
        <v>4</v>
      </c>
      <c r="I96" s="2">
        <v>21994</v>
      </c>
      <c r="J96" s="2">
        <v>18</v>
      </c>
      <c r="K96" s="2" t="s">
        <v>31</v>
      </c>
      <c r="L96" s="4">
        <v>277.24</v>
      </c>
      <c r="M96" s="2"/>
      <c r="N96" t="s">
        <v>4458</v>
      </c>
    </row>
    <row r="97" spans="1:14" ht="277.2" x14ac:dyDescent="0.3">
      <c r="A97" s="2" t="s">
        <v>1305</v>
      </c>
      <c r="B97" s="2" t="str">
        <f>HYPERLINK("https://mirrorindy.org/indy-eleven-ad-indianapolis-mayor-joe-hogsett-eleven-park-indiana-pacers-playoffs/")</f>
        <v>https://mirrorindy.org/indy-eleven-ad-indianapolis-mayor-joe-hogsett-eleven-park-indiana-pacers-playoffs/</v>
      </c>
      <c r="C97" s="2" t="s">
        <v>966</v>
      </c>
      <c r="D97" s="2" t="s">
        <v>132</v>
      </c>
      <c r="E97" s="5">
        <v>45434.619953703703</v>
      </c>
      <c r="F97" s="2" t="s">
        <v>1306</v>
      </c>
      <c r="G97" s="2">
        <v>29972</v>
      </c>
      <c r="H97" s="2">
        <v>0</v>
      </c>
      <c r="I97" s="2">
        <v>0</v>
      </c>
      <c r="J97" s="2">
        <v>0</v>
      </c>
      <c r="K97" s="2" t="s">
        <v>25</v>
      </c>
      <c r="L97" s="4">
        <v>277.24</v>
      </c>
      <c r="M97" s="2"/>
      <c r="N97" t="s">
        <v>4458</v>
      </c>
    </row>
    <row r="98" spans="1:14" ht="409.2" x14ac:dyDescent="0.3">
      <c r="A98" s="2" t="s">
        <v>1308</v>
      </c>
      <c r="B98" s="2" t="str">
        <f>HYPERLINK("https://www.wane.com/top-stories/indianapolis-is-booked-this-memorial-day-weekend/")</f>
        <v>https://www.wane.com/top-stories/indianapolis-is-booked-this-memorial-day-weekend/</v>
      </c>
      <c r="C98" s="2" t="s">
        <v>1309</v>
      </c>
      <c r="D98" s="2" t="s">
        <v>1130</v>
      </c>
      <c r="E98" s="5">
        <v>45434.499861111108</v>
      </c>
      <c r="F98" s="2" t="s">
        <v>1310</v>
      </c>
      <c r="G98" s="2">
        <v>532355</v>
      </c>
      <c r="H98" s="2">
        <v>0</v>
      </c>
      <c r="I98" s="2">
        <v>0</v>
      </c>
      <c r="J98" s="2">
        <v>62</v>
      </c>
      <c r="K98" s="2" t="s">
        <v>31</v>
      </c>
      <c r="L98" s="4">
        <v>4924.28</v>
      </c>
      <c r="M98" s="2"/>
      <c r="N98" t="s">
        <v>4458</v>
      </c>
    </row>
    <row r="99" spans="1:14" ht="356.4" x14ac:dyDescent="0.3">
      <c r="A99" s="2" t="s">
        <v>1311</v>
      </c>
      <c r="B99" s="2" t="str">
        <f>HYPERLINK("https://www.indyeleven.com/news/2024/05/21/preview-indvdet-4/")</f>
        <v>https://www.indyeleven.com/news/2024/05/21/preview-indvdet-4/</v>
      </c>
      <c r="C99" s="2"/>
      <c r="D99" s="2" t="s">
        <v>893</v>
      </c>
      <c r="E99" s="5">
        <v>45433.638182870367</v>
      </c>
      <c r="F99" s="2" t="s">
        <v>1312</v>
      </c>
      <c r="G99" s="2">
        <v>6018</v>
      </c>
      <c r="H99" s="2">
        <v>0</v>
      </c>
      <c r="I99" s="2">
        <v>0</v>
      </c>
      <c r="J99" s="2">
        <v>0</v>
      </c>
      <c r="K99" s="2" t="s">
        <v>25</v>
      </c>
      <c r="L99" s="4">
        <v>55.67</v>
      </c>
      <c r="M99" s="2"/>
      <c r="N99" t="s">
        <v>4458</v>
      </c>
    </row>
    <row r="100" spans="1:14" ht="409.6" x14ac:dyDescent="0.3">
      <c r="A100" s="2" t="s">
        <v>1313</v>
      </c>
      <c r="B100" s="2" t="str">
        <f>HYPERLINK("https://www.oursportscentral.com/services/releases/stanley-named-to-usl-championship-team-of-the-week/n-6097620")</f>
        <v>https://www.oursportscentral.com/services/releases/stanley-named-to-usl-championship-team-of-the-week/n-6097620</v>
      </c>
      <c r="C100" s="2"/>
      <c r="D100" s="2" t="s">
        <v>24</v>
      </c>
      <c r="E100" s="5">
        <v>45433.489583333343</v>
      </c>
      <c r="F100" s="2" t="s">
        <v>1314</v>
      </c>
      <c r="G100" s="2">
        <v>40402</v>
      </c>
      <c r="H100" s="2">
        <v>0</v>
      </c>
      <c r="I100" s="2">
        <v>0</v>
      </c>
      <c r="J100" s="2">
        <v>0</v>
      </c>
      <c r="K100" s="2" t="s">
        <v>25</v>
      </c>
      <c r="L100" s="4">
        <v>373.72</v>
      </c>
      <c r="M100" s="2"/>
      <c r="N100" t="s">
        <v>4457</v>
      </c>
    </row>
    <row r="101" spans="1:14" ht="409.6" x14ac:dyDescent="0.3">
      <c r="A101" s="2" t="s">
        <v>1315</v>
      </c>
      <c r="B101" s="2" t="str">
        <f>HYPERLINK("https://www.oursportscentral.com/services/releases/detroit-city-fc-gearing-up-for-first-ever-round-of-16-open-cup-match-on-the-road-to-indy-eleven/n-6097598")</f>
        <v>https://www.oursportscentral.com/services/releases/detroit-city-fc-gearing-up-for-first-ever-round-of-16-open-cup-match-on-the-road-to-indy-eleven/n-6097598</v>
      </c>
      <c r="C101" s="2"/>
      <c r="D101" s="2" t="s">
        <v>24</v>
      </c>
      <c r="E101" s="5">
        <v>45433.480555555558</v>
      </c>
      <c r="F101" s="2" t="s">
        <v>1316</v>
      </c>
      <c r="G101" s="2">
        <v>40402</v>
      </c>
      <c r="H101" s="2">
        <v>0</v>
      </c>
      <c r="I101" s="2">
        <v>0</v>
      </c>
      <c r="J101" s="2">
        <v>0</v>
      </c>
      <c r="K101" s="2" t="s">
        <v>31</v>
      </c>
      <c r="L101" s="4">
        <v>373.72</v>
      </c>
      <c r="M101" s="2"/>
      <c r="N101" t="s">
        <v>4457</v>
      </c>
    </row>
    <row r="102" spans="1:14" ht="409.6" x14ac:dyDescent="0.3">
      <c r="A102" s="2" t="s">
        <v>34</v>
      </c>
      <c r="B102" s="2" t="str">
        <f>HYPERLINK("https://www.heraldbulletin.com/sports/coming-up/article_582b4afc-16f6-11ef-9da2-b7e6c56159c8.html")</f>
        <v>https://www.heraldbulletin.com/sports/coming-up/article_582b4afc-16f6-11ef-9da2-b7e6c56159c8.html</v>
      </c>
      <c r="C102" s="2"/>
      <c r="D102" s="2" t="s">
        <v>35</v>
      </c>
      <c r="E102" s="5">
        <v>45433.29886574074</v>
      </c>
      <c r="F102" s="2" t="s">
        <v>1317</v>
      </c>
      <c r="G102" s="2">
        <v>50260</v>
      </c>
      <c r="H102" s="2">
        <v>0</v>
      </c>
      <c r="I102" s="2">
        <v>0</v>
      </c>
      <c r="J102" s="2">
        <v>24</v>
      </c>
      <c r="K102" s="2" t="s">
        <v>25</v>
      </c>
      <c r="L102" s="4">
        <v>464.9</v>
      </c>
      <c r="M102" s="2"/>
      <c r="N102" t="s">
        <v>4458</v>
      </c>
    </row>
    <row r="103" spans="1:14" ht="409.6" x14ac:dyDescent="0.3">
      <c r="A103" s="2" t="s">
        <v>1318</v>
      </c>
      <c r="B103" s="2" t="str">
        <f>HYPERLINK("https://www.wishtv.com/sports/indy-eleven/indy-eleven-vs-hartford-athletic-from-may-18-2024/")</f>
        <v>https://www.wishtv.com/sports/indy-eleven/indy-eleven-vs-hartford-athletic-from-may-18-2024/</v>
      </c>
      <c r="C103" s="2" t="s">
        <v>109</v>
      </c>
      <c r="D103" s="2" t="s">
        <v>38</v>
      </c>
      <c r="E103" s="5">
        <v>45432.326562499999</v>
      </c>
      <c r="F103" s="2" t="s">
        <v>1319</v>
      </c>
      <c r="G103" s="2">
        <v>568116</v>
      </c>
      <c r="H103" s="2"/>
      <c r="I103" s="2"/>
      <c r="J103" s="2"/>
      <c r="K103" s="2" t="s">
        <v>47</v>
      </c>
      <c r="L103" s="4">
        <v>5255.07</v>
      </c>
      <c r="M103" s="2"/>
      <c r="N103" t="s">
        <v>4458</v>
      </c>
    </row>
    <row r="104" spans="1:14" ht="409.6" x14ac:dyDescent="0.3">
      <c r="A104" s="2" t="s">
        <v>34</v>
      </c>
      <c r="B104" s="2" t="str">
        <f>HYPERLINK("https://www.heraldbulletin.com/sports/coming-up/article_d6c93178-1654-11ef-927d-07da57f26a69.html")</f>
        <v>https://www.heraldbulletin.com/sports/coming-up/article_d6c93178-1654-11ef-927d-07da57f26a69.html</v>
      </c>
      <c r="C104" s="2"/>
      <c r="D104" s="2" t="s">
        <v>35</v>
      </c>
      <c r="E104" s="5">
        <v>45432.301076388889</v>
      </c>
      <c r="F104" s="2" t="s">
        <v>1320</v>
      </c>
      <c r="G104" s="2">
        <v>50260</v>
      </c>
      <c r="H104" s="2">
        <v>0</v>
      </c>
      <c r="I104" s="2">
        <v>0</v>
      </c>
      <c r="J104" s="2">
        <v>1</v>
      </c>
      <c r="K104" s="2" t="s">
        <v>25</v>
      </c>
      <c r="L104" s="4">
        <v>464.9</v>
      </c>
      <c r="M104" s="2"/>
      <c r="N104" t="s">
        <v>4458</v>
      </c>
    </row>
    <row r="105" spans="1:14" ht="409.6" x14ac:dyDescent="0.3">
      <c r="A105" s="2" t="s">
        <v>1321</v>
      </c>
      <c r="B105" s="2" t="str">
        <f>HYPERLINK("https://www.socceramerica.com/indy-eleven-extends-unbeaten-streak-in-all-competitions-to-seven-games/")</f>
        <v>https://www.socceramerica.com/indy-eleven-extends-unbeaten-streak-in-all-competitions-to-seven-games/</v>
      </c>
      <c r="C105" s="2" t="s">
        <v>263</v>
      </c>
      <c r="D105" s="2" t="s">
        <v>264</v>
      </c>
      <c r="E105" s="5">
        <v>45432.185694444437</v>
      </c>
      <c r="F105" s="2" t="s">
        <v>1322</v>
      </c>
      <c r="G105" s="2">
        <v>17486</v>
      </c>
      <c r="H105" s="2">
        <v>0</v>
      </c>
      <c r="I105" s="2">
        <v>0</v>
      </c>
      <c r="J105" s="2">
        <v>10</v>
      </c>
      <c r="K105" s="2" t="s">
        <v>25</v>
      </c>
      <c r="L105" s="4">
        <v>161.75</v>
      </c>
      <c r="M105" s="2"/>
      <c r="N105" t="s">
        <v>4457</v>
      </c>
    </row>
    <row r="106" spans="1:14" ht="343.2" x14ac:dyDescent="0.3">
      <c r="A106" s="2" t="s">
        <v>1323</v>
      </c>
      <c r="B106" s="2" t="str">
        <f>HYPERLINK("https://footballsierraleone.net/2024/05/20/striker-augustine-williams-is-thrilled-with-indy-elevens-current-form/")</f>
        <v>https://footballsierraleone.net/2024/05/20/striker-augustine-williams-is-thrilled-with-indy-elevens-current-form/</v>
      </c>
      <c r="C106" s="2" t="s">
        <v>1324</v>
      </c>
      <c r="D106" s="2" t="s">
        <v>190</v>
      </c>
      <c r="E106" s="5">
        <v>45432.148321759261</v>
      </c>
      <c r="F106" s="2" t="s">
        <v>1325</v>
      </c>
      <c r="G106" s="2">
        <v>991</v>
      </c>
      <c r="H106" s="2">
        <v>0</v>
      </c>
      <c r="I106" s="2">
        <v>0</v>
      </c>
      <c r="J106" s="2">
        <v>1</v>
      </c>
      <c r="K106" s="2" t="s">
        <v>25</v>
      </c>
      <c r="L106" s="4">
        <v>9.17</v>
      </c>
      <c r="M106" s="2"/>
      <c r="N106" t="s">
        <v>4459</v>
      </c>
    </row>
    <row r="107" spans="1:14" ht="79.2" x14ac:dyDescent="0.3">
      <c r="A107" s="2" t="s">
        <v>1326</v>
      </c>
      <c r="B107" s="2" t="str">
        <f>HYPERLINK("https://article.wn.com/view/2024/05/20/striker_augustine_williams_is_thrilled_with_indy_eleven_8217/")</f>
        <v>https://article.wn.com/view/2024/05/20/striker_augustine_williams_is_thrilled_with_indy_eleven_8217/</v>
      </c>
      <c r="C107" s="2"/>
      <c r="D107" s="2" t="s">
        <v>632</v>
      </c>
      <c r="E107" s="5">
        <v>45432</v>
      </c>
      <c r="F107" s="2"/>
      <c r="G107" s="2">
        <v>185918</v>
      </c>
      <c r="H107" s="2"/>
      <c r="I107" s="2"/>
      <c r="J107" s="2"/>
      <c r="K107" s="2"/>
      <c r="L107" s="4">
        <v>1719.74</v>
      </c>
      <c r="M107" s="2"/>
      <c r="N107" t="s">
        <v>4459</v>
      </c>
    </row>
    <row r="108" spans="1:14" ht="409.6" x14ac:dyDescent="0.3">
      <c r="A108" s="2" t="s">
        <v>1327</v>
      </c>
      <c r="B108" s="2" t="str">
        <f>HYPERLINK("https://beyondthe90.substack.com/p/indy-take-care-of-hartford-in-4-1?triedRedirect=true")</f>
        <v>https://beyondthe90.substack.com/p/indy-take-care-of-hartford-in-4-1?triedRedirect=true</v>
      </c>
      <c r="C108" s="2" t="s">
        <v>1328</v>
      </c>
      <c r="D108" s="2" t="s">
        <v>1329</v>
      </c>
      <c r="E108" s="5">
        <v>45431.622314814813</v>
      </c>
      <c r="F108" s="2" t="s">
        <v>1330</v>
      </c>
      <c r="G108" s="2">
        <v>42217281</v>
      </c>
      <c r="H108" s="2">
        <v>1</v>
      </c>
      <c r="I108" s="2">
        <v>8950</v>
      </c>
      <c r="J108" s="2">
        <v>28</v>
      </c>
      <c r="K108" s="2" t="s">
        <v>25</v>
      </c>
      <c r="L108" s="4">
        <v>390509.85</v>
      </c>
      <c r="M108" s="2"/>
      <c r="N108" t="s">
        <v>4459</v>
      </c>
    </row>
    <row r="109" spans="1:14" ht="409.6" x14ac:dyDescent="0.3">
      <c r="A109" s="2" t="s">
        <v>34</v>
      </c>
      <c r="B109" s="2" t="str">
        <f>HYPERLINK("https://www.heraldbulletin.com/sports/coming-up/article_6facacce-1580-11ef-8145-2361c75b090c.html")</f>
        <v>https://www.heraldbulletin.com/sports/coming-up/article_6facacce-1580-11ef-8145-2361c75b090c.html</v>
      </c>
      <c r="C109" s="2"/>
      <c r="D109" s="2" t="s">
        <v>35</v>
      </c>
      <c r="E109" s="5">
        <v>45431.303287037037</v>
      </c>
      <c r="F109" s="2" t="s">
        <v>1320</v>
      </c>
      <c r="G109" s="2">
        <v>50260</v>
      </c>
      <c r="H109" s="2">
        <v>0</v>
      </c>
      <c r="I109" s="2">
        <v>0</v>
      </c>
      <c r="J109" s="2">
        <v>6</v>
      </c>
      <c r="K109" s="2" t="s">
        <v>25</v>
      </c>
      <c r="L109" s="4">
        <v>464.9</v>
      </c>
      <c r="M109" s="2"/>
      <c r="N109" t="s">
        <v>4458</v>
      </c>
    </row>
    <row r="110" spans="1:14" ht="409.6" x14ac:dyDescent="0.3">
      <c r="A110" s="2" t="s">
        <v>1331</v>
      </c>
      <c r="B110" s="2" t="str">
        <f>HYPERLINK("https://collinsvillepress.com/2024/05/slumping-hartford-falls-to-indy-eleven-4-1/37292/")</f>
        <v>https://collinsvillepress.com/2024/05/slumping-hartford-falls-to-indy-eleven-4-1/37292/</v>
      </c>
      <c r="C110" s="2" t="s">
        <v>396</v>
      </c>
      <c r="D110" s="2" t="s">
        <v>363</v>
      </c>
      <c r="E110" s="5">
        <v>45430.924247685187</v>
      </c>
      <c r="F110" s="2" t="s">
        <v>1332</v>
      </c>
      <c r="G110" s="2">
        <v>687</v>
      </c>
      <c r="H110" s="2">
        <v>0</v>
      </c>
      <c r="I110" s="2">
        <v>0</v>
      </c>
      <c r="J110" s="2">
        <v>1</v>
      </c>
      <c r="K110" s="2" t="s">
        <v>25</v>
      </c>
      <c r="L110" s="4">
        <v>6.35</v>
      </c>
      <c r="M110" s="2"/>
      <c r="N110" t="s">
        <v>4457</v>
      </c>
    </row>
    <row r="111" spans="1:14" ht="409.6" x14ac:dyDescent="0.3">
      <c r="A111" s="2" t="s">
        <v>1333</v>
      </c>
      <c r="B111" s="2" t="str">
        <f>HYPERLINK("https://www.oursportscentral.com/services/releases/5-18-2024-indy-eleven-vs-hartford-athletic--game-highlights/n-6096559")</f>
        <v>https://www.oursportscentral.com/services/releases/5-18-2024-indy-eleven-vs-hartford-athletic--game-highlights/n-6096559</v>
      </c>
      <c r="C111" s="2"/>
      <c r="D111" s="2" t="s">
        <v>24</v>
      </c>
      <c r="E111" s="5">
        <v>45430.793749999997</v>
      </c>
      <c r="F111" s="2" t="s">
        <v>1334</v>
      </c>
      <c r="G111" s="2">
        <v>40402</v>
      </c>
      <c r="H111" s="2">
        <v>0</v>
      </c>
      <c r="I111" s="2">
        <v>0</v>
      </c>
      <c r="J111" s="2">
        <v>0</v>
      </c>
      <c r="K111" s="2" t="s">
        <v>25</v>
      </c>
      <c r="L111" s="4">
        <v>373.72</v>
      </c>
      <c r="M111" s="2"/>
      <c r="N111" t="s">
        <v>4457</v>
      </c>
    </row>
    <row r="112" spans="1:14" ht="409.6" x14ac:dyDescent="0.3">
      <c r="A112" s="2" t="s">
        <v>1335</v>
      </c>
      <c r="B112" s="2" t="str">
        <f>HYPERLINK("https://www.oursportscentral.com/services/releases/indy-defeats-hartford-at-home/n-6096505")</f>
        <v>https://www.oursportscentral.com/services/releases/indy-defeats-hartford-at-home/n-6096505</v>
      </c>
      <c r="C112" s="2"/>
      <c r="D112" s="2" t="s">
        <v>24</v>
      </c>
      <c r="E112" s="5">
        <v>45430.78125</v>
      </c>
      <c r="F112" s="2" t="s">
        <v>1336</v>
      </c>
      <c r="G112" s="2">
        <v>40402</v>
      </c>
      <c r="H112" s="2">
        <v>0</v>
      </c>
      <c r="I112" s="2">
        <v>0</v>
      </c>
      <c r="J112" s="2">
        <v>0</v>
      </c>
      <c r="K112" s="2" t="s">
        <v>47</v>
      </c>
      <c r="L112" s="4">
        <v>373.72</v>
      </c>
      <c r="M112" s="2"/>
      <c r="N112" t="s">
        <v>4457</v>
      </c>
    </row>
    <row r="113" spans="1:14" ht="343.2" x14ac:dyDescent="0.3">
      <c r="A113" s="2" t="s">
        <v>34</v>
      </c>
      <c r="B113" s="2" t="str">
        <f>HYPERLINK("https://www.heraldbulletin.com/sports/coming-up/article_2661ba48-1475-11ef-9916-0f31d84adbba.html")</f>
        <v>https://www.heraldbulletin.com/sports/coming-up/article_2661ba48-1475-11ef-9916-0f31d84adbba.html</v>
      </c>
      <c r="C113" s="2"/>
      <c r="D113" s="2" t="s">
        <v>35</v>
      </c>
      <c r="E113" s="5">
        <v>45429.606527777767</v>
      </c>
      <c r="F113" s="2" t="s">
        <v>1337</v>
      </c>
      <c r="G113" s="2">
        <v>50260</v>
      </c>
      <c r="H113" s="2">
        <v>0</v>
      </c>
      <c r="I113" s="2">
        <v>0</v>
      </c>
      <c r="J113" s="2">
        <v>1</v>
      </c>
      <c r="K113" s="2" t="s">
        <v>25</v>
      </c>
      <c r="L113" s="4">
        <v>464.9</v>
      </c>
      <c r="M113" s="2"/>
      <c r="N113" t="s">
        <v>4458</v>
      </c>
    </row>
    <row r="114" spans="1:14" ht="343.2" x14ac:dyDescent="0.3">
      <c r="A114" s="2" t="s">
        <v>1338</v>
      </c>
      <c r="B114" s="2" t="str">
        <f>HYPERLINK("https://www.oursportscentral.com/services/releases/hartford-head-to-indy-to-clash-with-the-eleven/n-6095941")</f>
        <v>https://www.oursportscentral.com/services/releases/hartford-head-to-indy-to-clash-with-the-eleven/n-6095941</v>
      </c>
      <c r="C114" s="2"/>
      <c r="D114" s="2" t="s">
        <v>24</v>
      </c>
      <c r="E114" s="5">
        <v>45429.488888888889</v>
      </c>
      <c r="F114" s="2" t="s">
        <v>1339</v>
      </c>
      <c r="G114" s="2">
        <v>40402</v>
      </c>
      <c r="H114" s="2">
        <v>0</v>
      </c>
      <c r="I114" s="2">
        <v>0</v>
      </c>
      <c r="J114" s="2">
        <v>0</v>
      </c>
      <c r="K114" s="2" t="s">
        <v>31</v>
      </c>
      <c r="L114" s="4">
        <v>373.72</v>
      </c>
      <c r="M114" s="2"/>
      <c r="N114" t="s">
        <v>4457</v>
      </c>
    </row>
    <row r="115" spans="1:14" ht="343.2" x14ac:dyDescent="0.3">
      <c r="A115" s="2" t="s">
        <v>34</v>
      </c>
      <c r="B115" s="2" t="str">
        <f>HYPERLINK("https://www.heraldbulletin.com/sports/coming-up/article_1e97d076-13d1-11ef-9057-b7ed2c24e9bd.html")</f>
        <v>https://www.heraldbulletin.com/sports/coming-up/article_1e97d076-13d1-11ef-9057-b7ed2c24e9bd.html</v>
      </c>
      <c r="C115" s="2"/>
      <c r="D115" s="2" t="s">
        <v>35</v>
      </c>
      <c r="E115" s="5">
        <v>45429.303344907406</v>
      </c>
      <c r="F115" s="2" t="s">
        <v>1337</v>
      </c>
      <c r="G115" s="2">
        <v>50260</v>
      </c>
      <c r="H115" s="2">
        <v>0</v>
      </c>
      <c r="I115" s="2">
        <v>0</v>
      </c>
      <c r="J115" s="2">
        <v>7</v>
      </c>
      <c r="K115" s="2" t="s">
        <v>25</v>
      </c>
      <c r="L115" s="4">
        <v>464.9</v>
      </c>
      <c r="M115" s="2"/>
      <c r="N115" t="s">
        <v>4458</v>
      </c>
    </row>
    <row r="116" spans="1:14" ht="409.2" x14ac:dyDescent="0.3">
      <c r="A116" s="2" t="s">
        <v>1340</v>
      </c>
      <c r="B116" s="2" t="str">
        <f>HYPERLINK("https://fox59.com/contests/contest-rules/indy-eleven-giveaway-on-indy-now/")</f>
        <v>https://fox59.com/contests/contest-rules/indy-eleven-giveaway-on-indy-now/</v>
      </c>
      <c r="C116" s="2"/>
      <c r="D116" s="2" t="s">
        <v>147</v>
      </c>
      <c r="E116" s="5">
        <v>45428.569780092592</v>
      </c>
      <c r="F116" s="2" t="s">
        <v>1341</v>
      </c>
      <c r="G116" s="2">
        <v>1351925</v>
      </c>
      <c r="H116" s="2">
        <v>0</v>
      </c>
      <c r="I116" s="2">
        <v>0</v>
      </c>
      <c r="J116" s="2">
        <v>0</v>
      </c>
      <c r="K116" s="2" t="s">
        <v>31</v>
      </c>
      <c r="L116" s="4">
        <v>12505.31</v>
      </c>
      <c r="M116" s="2"/>
      <c r="N116" t="s">
        <v>4458</v>
      </c>
    </row>
    <row r="117" spans="1:14" ht="343.2" x14ac:dyDescent="0.3">
      <c r="A117" s="2" t="s">
        <v>34</v>
      </c>
      <c r="B117" s="2" t="str">
        <f>HYPERLINK("https://www.heraldbulletin.com/sports/coming-up/article_7022f3cc-12fe-11ef-88ab-e3443514ca30.html")</f>
        <v>https://www.heraldbulletin.com/sports/coming-up/article_7022f3cc-12fe-11ef-88ab-e3443514ca30.html</v>
      </c>
      <c r="C117" s="2"/>
      <c r="D117" s="2" t="s">
        <v>35</v>
      </c>
      <c r="E117" s="5">
        <v>45428.299537037034</v>
      </c>
      <c r="F117" s="2" t="s">
        <v>1337</v>
      </c>
      <c r="G117" s="2">
        <v>50260</v>
      </c>
      <c r="H117" s="2">
        <v>0</v>
      </c>
      <c r="I117" s="2">
        <v>0</v>
      </c>
      <c r="J117" s="2">
        <v>8</v>
      </c>
      <c r="K117" s="2" t="s">
        <v>25</v>
      </c>
      <c r="L117" s="4">
        <v>464.9</v>
      </c>
      <c r="M117" s="2"/>
      <c r="N117" t="s">
        <v>4458</v>
      </c>
    </row>
    <row r="118" spans="1:14" ht="409.6" x14ac:dyDescent="0.3">
      <c r="A118" s="2" t="s">
        <v>1342</v>
      </c>
      <c r="B118" s="2" t="str">
        <f>HYPERLINK("https://www.wishtv.com/lifestylelive/indy-eleven-hosts-annual-racing-indy-night/")</f>
        <v>https://www.wishtv.com/lifestylelive/indy-eleven-hosts-annual-racing-indy-night/</v>
      </c>
      <c r="C118" s="2" t="s">
        <v>496</v>
      </c>
      <c r="D118" s="2" t="s">
        <v>135</v>
      </c>
      <c r="E118" s="5">
        <v>45427.509189814817</v>
      </c>
      <c r="F118" s="2" t="s">
        <v>1343</v>
      </c>
      <c r="G118" s="2">
        <v>568116</v>
      </c>
      <c r="H118" s="2"/>
      <c r="I118" s="2"/>
      <c r="J118" s="2"/>
      <c r="K118" s="2" t="s">
        <v>25</v>
      </c>
      <c r="L118" s="4">
        <v>5255.07</v>
      </c>
      <c r="M118" s="2"/>
      <c r="N118" t="s">
        <v>4458</v>
      </c>
    </row>
    <row r="119" spans="1:14" ht="105.6" x14ac:dyDescent="0.3">
      <c r="A119" s="2" t="s">
        <v>34</v>
      </c>
      <c r="B119" s="2" t="str">
        <f>HYPERLINK("https://www.heraldbulletin.com/sports/coming-up/article_231e104c-1237-11ef-becd-6becc4e26366.html")</f>
        <v>https://www.heraldbulletin.com/sports/coming-up/article_231e104c-1237-11ef-becd-6becc4e26366.html</v>
      </c>
      <c r="C119" s="2"/>
      <c r="D119" s="2" t="s">
        <v>35</v>
      </c>
      <c r="E119" s="5">
        <v>45427.374293981477</v>
      </c>
      <c r="F119" s="2" t="s">
        <v>1344</v>
      </c>
      <c r="G119" s="2">
        <v>50260</v>
      </c>
      <c r="H119" s="2">
        <v>0</v>
      </c>
      <c r="I119" s="2">
        <v>0</v>
      </c>
      <c r="J119" s="2">
        <v>1</v>
      </c>
      <c r="K119" s="2" t="s">
        <v>25</v>
      </c>
      <c r="L119" s="4">
        <v>464.9</v>
      </c>
      <c r="M119" s="2"/>
      <c r="N119" t="s">
        <v>4458</v>
      </c>
    </row>
    <row r="120" spans="1:14" ht="409.2" x14ac:dyDescent="0.3">
      <c r="A120" s="2" t="s">
        <v>1345</v>
      </c>
      <c r="B120" s="2" t="str">
        <f>HYPERLINK("https://footballsierraleone.net/2024/05/15/indy-eleven-striker-augustine-williams-in-usl-team-of-the-week/")</f>
        <v>https://footballsierraleone.net/2024/05/15/indy-eleven-striker-augustine-williams-in-usl-team-of-the-week/</v>
      </c>
      <c r="C120" s="2" t="s">
        <v>790</v>
      </c>
      <c r="D120" s="2" t="s">
        <v>190</v>
      </c>
      <c r="E120" s="5">
        <v>45427.116331018522</v>
      </c>
      <c r="F120" s="2" t="s">
        <v>1346</v>
      </c>
      <c r="G120" s="2">
        <v>991</v>
      </c>
      <c r="H120" s="2">
        <v>0</v>
      </c>
      <c r="I120" s="2">
        <v>0</v>
      </c>
      <c r="J120" s="2">
        <v>32</v>
      </c>
      <c r="K120" s="2" t="s">
        <v>25</v>
      </c>
      <c r="L120" s="4">
        <v>9.17</v>
      </c>
      <c r="M120" s="2"/>
      <c r="N120" t="s">
        <v>4459</v>
      </c>
    </row>
    <row r="121" spans="1:14" ht="79.2" x14ac:dyDescent="0.3">
      <c r="A121" s="2" t="s">
        <v>1345</v>
      </c>
      <c r="B121" s="2" t="str">
        <f>HYPERLINK("https://article.wn.com/view/2024/05/15/Indy_Eleven_striker_Augustine_Williams_in_USL_Team_of_the_We/")</f>
        <v>https://article.wn.com/view/2024/05/15/Indy_Eleven_striker_Augustine_Williams_in_USL_Team_of_the_We/</v>
      </c>
      <c r="C121" s="2"/>
      <c r="D121" s="2" t="s">
        <v>632</v>
      </c>
      <c r="E121" s="5">
        <v>45427</v>
      </c>
      <c r="F121" s="2"/>
      <c r="G121" s="2">
        <v>185918</v>
      </c>
      <c r="H121" s="2"/>
      <c r="I121" s="2"/>
      <c r="J121" s="2"/>
      <c r="K121" s="2"/>
      <c r="L121" s="4">
        <v>1719.74</v>
      </c>
      <c r="M121" s="2"/>
      <c r="N121" t="s">
        <v>4459</v>
      </c>
    </row>
    <row r="122" spans="1:14" ht="409.6" x14ac:dyDescent="0.3">
      <c r="A122" s="2" t="s">
        <v>1347</v>
      </c>
      <c r="B122" s="2" t="str">
        <f>HYPERLINK("https://bvmsports.com/2024/05/14/racing-louisville-fc-loses-3-1-to-indy-eleven-in-usl-w-league-opener/")</f>
        <v>https://bvmsports.com/2024/05/14/racing-louisville-fc-loses-3-1-to-indy-eleven-in-usl-w-league-opener/</v>
      </c>
      <c r="C122" s="2"/>
      <c r="D122" s="2" t="s">
        <v>271</v>
      </c>
      <c r="E122" s="5">
        <v>45426.880937499998</v>
      </c>
      <c r="F122" s="2" t="s">
        <v>1348</v>
      </c>
      <c r="G122" s="2">
        <v>2152626</v>
      </c>
      <c r="H122" s="2">
        <v>0</v>
      </c>
      <c r="I122" s="2">
        <v>0</v>
      </c>
      <c r="J122" s="2">
        <v>0</v>
      </c>
      <c r="K122" s="2" t="s">
        <v>47</v>
      </c>
      <c r="L122" s="4">
        <v>19911.79</v>
      </c>
      <c r="M122" s="2"/>
      <c r="N122" t="s">
        <v>4459</v>
      </c>
    </row>
    <row r="123" spans="1:14" ht="409.6" x14ac:dyDescent="0.3">
      <c r="A123" s="2" t="s">
        <v>1350</v>
      </c>
      <c r="B123" s="2" t="str">
        <f>HYPERLINK("https://www.oursportscentral.com/services/releases/miami-fc-v-indy-eleven-may-12-2024/n-6094537")</f>
        <v>https://www.oursportscentral.com/services/releases/miami-fc-v-indy-eleven-may-12-2024/n-6094537</v>
      </c>
      <c r="C123" s="2"/>
      <c r="D123" s="2" t="s">
        <v>24</v>
      </c>
      <c r="E123" s="5">
        <v>45426.806250000001</v>
      </c>
      <c r="F123" s="2" t="s">
        <v>1349</v>
      </c>
      <c r="G123" s="2">
        <v>40402</v>
      </c>
      <c r="H123" s="2">
        <v>0</v>
      </c>
      <c r="I123" s="2">
        <v>0</v>
      </c>
      <c r="J123" s="2">
        <v>0</v>
      </c>
      <c r="K123" s="2" t="s">
        <v>25</v>
      </c>
      <c r="L123" s="4">
        <v>373.72</v>
      </c>
      <c r="M123" s="2"/>
      <c r="N123" t="s">
        <v>4457</v>
      </c>
    </row>
    <row r="124" spans="1:14" ht="409.6" x14ac:dyDescent="0.3">
      <c r="A124" s="2" t="s">
        <v>1351</v>
      </c>
      <c r="B124" s="2" t="str">
        <f>HYPERLINK("https://www.oursportscentral.com/services/releases/indy-elevens-aedan-stanley-earns-player-of-the-week-after-first-two-assist-game-of-championship-career/n-6094308")</f>
        <v>https://www.oursportscentral.com/services/releases/indy-elevens-aedan-stanley-earns-player-of-the-week-after-first-two-assist-game-of-championship-career/n-6094308</v>
      </c>
      <c r="C124" s="2"/>
      <c r="D124" s="2" t="s">
        <v>24</v>
      </c>
      <c r="E124" s="5">
        <v>45426.481944444437</v>
      </c>
      <c r="F124" s="2" t="s">
        <v>1352</v>
      </c>
      <c r="G124" s="2">
        <v>40402</v>
      </c>
      <c r="H124" s="2">
        <v>0</v>
      </c>
      <c r="I124" s="2">
        <v>0</v>
      </c>
      <c r="J124" s="2">
        <v>0</v>
      </c>
      <c r="K124" s="2" t="s">
        <v>25</v>
      </c>
      <c r="L124" s="4">
        <v>373.72</v>
      </c>
      <c r="M124" s="2"/>
      <c r="N124" t="s">
        <v>4457</v>
      </c>
    </row>
    <row r="125" spans="1:14" ht="409.6" x14ac:dyDescent="0.3">
      <c r="A125" s="2" t="s">
        <v>1353</v>
      </c>
      <c r="B125" s="2" t="str">
        <f>HYPERLINK("https://www.oursportscentral.com/services/releases/set-em-up-knock-em-down-indy-elevens-aedan-stanley-is-the-usl-championship-player-of-the-week/n-6094305")</f>
        <v>https://www.oursportscentral.com/services/releases/set-em-up-knock-em-down-indy-elevens-aedan-stanley-is-the-usl-championship-player-of-the-week/n-6094305</v>
      </c>
      <c r="C125" s="2"/>
      <c r="D125" s="2" t="s">
        <v>24</v>
      </c>
      <c r="E125" s="5">
        <v>45426.479861111111</v>
      </c>
      <c r="F125" s="2" t="s">
        <v>1354</v>
      </c>
      <c r="G125" s="2">
        <v>40402</v>
      </c>
      <c r="H125" s="2">
        <v>0</v>
      </c>
      <c r="I125" s="2">
        <v>0</v>
      </c>
      <c r="J125" s="2">
        <v>0</v>
      </c>
      <c r="K125" s="2" t="s">
        <v>25</v>
      </c>
      <c r="L125" s="4">
        <v>373.72</v>
      </c>
      <c r="M125" s="2"/>
      <c r="N125" t="s">
        <v>4457</v>
      </c>
    </row>
    <row r="126" spans="1:14" ht="409.6" x14ac:dyDescent="0.3">
      <c r="A126" s="2" t="s">
        <v>1355</v>
      </c>
      <c r="B126" s="2" t="str">
        <f>HYPERLINK("https://www.insideindianabusiness.com/articles/mayors-stadium-plan-faces-more-criticism-gets-additional-sponsors")</f>
        <v>https://www.insideindianabusiness.com/articles/mayors-stadium-plan-faces-more-criticism-gets-additional-sponsors</v>
      </c>
      <c r="C126" s="2" t="s">
        <v>437</v>
      </c>
      <c r="D126" s="2" t="s">
        <v>438</v>
      </c>
      <c r="E126" s="5">
        <v>45426.479421296302</v>
      </c>
      <c r="F126" s="2" t="s">
        <v>1356</v>
      </c>
      <c r="G126" s="2">
        <v>78132</v>
      </c>
      <c r="H126" s="2">
        <v>0</v>
      </c>
      <c r="I126" s="2">
        <v>0</v>
      </c>
      <c r="J126" s="2">
        <v>0</v>
      </c>
      <c r="K126" s="2" t="s">
        <v>47</v>
      </c>
      <c r="L126" s="4">
        <v>722.72</v>
      </c>
      <c r="M126" s="2"/>
      <c r="N126" t="s">
        <v>4458</v>
      </c>
    </row>
    <row r="127" spans="1:14" ht="409.6" x14ac:dyDescent="0.3">
      <c r="A127" s="2" t="s">
        <v>34</v>
      </c>
      <c r="B127" s="2" t="str">
        <f>HYPERLINK("https://www.heraldbulletin.com/sports/coming-up/article_1754d9a8-1174-11ef-a399-f3c5af63edfb.html")</f>
        <v>https://www.heraldbulletin.com/sports/coming-up/article_1754d9a8-1174-11ef-a399-f3c5af63edfb.html</v>
      </c>
      <c r="C127" s="2"/>
      <c r="D127" s="2" t="s">
        <v>35</v>
      </c>
      <c r="E127" s="5">
        <v>45426.304884259262</v>
      </c>
      <c r="F127" s="2" t="s">
        <v>1357</v>
      </c>
      <c r="G127" s="2">
        <v>50260</v>
      </c>
      <c r="H127" s="2">
        <v>0</v>
      </c>
      <c r="I127" s="2">
        <v>0</v>
      </c>
      <c r="J127" s="2">
        <v>54</v>
      </c>
      <c r="K127" s="2" t="s">
        <v>25</v>
      </c>
      <c r="L127" s="4">
        <v>464.9</v>
      </c>
      <c r="M127" s="2"/>
      <c r="N127" t="s">
        <v>4458</v>
      </c>
    </row>
    <row r="128" spans="1:14" ht="409.6" x14ac:dyDescent="0.3">
      <c r="A128" s="2" t="s">
        <v>1358</v>
      </c>
      <c r="B128" s="2" t="str">
        <f>HYPERLINK("https://www.indystar.com/story/opinion/columnists/james-briggs/2024/05/14/when-will-indiana-elect-a-woman-to-governor-or-senator/73671207007/")</f>
        <v>https://www.indystar.com/story/opinion/columnists/james-briggs/2024/05/14/when-will-indiana-elect-a-woman-to-governor-or-senator/73671207007/</v>
      </c>
      <c r="C128" s="2" t="s">
        <v>1084</v>
      </c>
      <c r="D128" s="2" t="s">
        <v>321</v>
      </c>
      <c r="E128" s="5">
        <v>45426.256655092591</v>
      </c>
      <c r="F128" s="2" t="s">
        <v>1359</v>
      </c>
      <c r="G128" s="2">
        <v>3061566</v>
      </c>
      <c r="H128" s="2">
        <v>2</v>
      </c>
      <c r="I128" s="2">
        <v>15211</v>
      </c>
      <c r="J128" s="2">
        <v>43</v>
      </c>
      <c r="K128" s="2" t="s">
        <v>31</v>
      </c>
      <c r="L128" s="4">
        <v>28319.49</v>
      </c>
      <c r="M128" s="2"/>
      <c r="N128" t="s">
        <v>4458</v>
      </c>
    </row>
    <row r="129" spans="1:14" ht="409.6" x14ac:dyDescent="0.3">
      <c r="A129" s="2" t="s">
        <v>34</v>
      </c>
      <c r="B129" s="2" t="str">
        <f>HYPERLINK("https://www.heraldbulletin.com/sports/coming-up/article_8c293dbe-10ac-11ef-8c24-0ba7cd74d8d1.html")</f>
        <v>https://www.heraldbulletin.com/sports/coming-up/article_8c293dbe-10ac-11ef-8c24-0ba7cd74d8d1.html</v>
      </c>
      <c r="C129" s="2"/>
      <c r="D129" s="2" t="s">
        <v>35</v>
      </c>
      <c r="E129" s="5">
        <v>45425.317152777781</v>
      </c>
      <c r="F129" s="2" t="s">
        <v>1357</v>
      </c>
      <c r="G129" s="2">
        <v>50260</v>
      </c>
      <c r="H129" s="2">
        <v>0</v>
      </c>
      <c r="I129" s="2">
        <v>0</v>
      </c>
      <c r="J129" s="2">
        <v>6</v>
      </c>
      <c r="K129" s="2" t="s">
        <v>25</v>
      </c>
      <c r="L129" s="4">
        <v>464.9</v>
      </c>
      <c r="M129" s="2"/>
      <c r="N129" t="s">
        <v>4458</v>
      </c>
    </row>
    <row r="130" spans="1:14" ht="409.6" x14ac:dyDescent="0.3">
      <c r="A130" s="2" t="s">
        <v>1361</v>
      </c>
      <c r="B130" s="2" t="str">
        <f>HYPERLINK("https://www.cbsnews.com/miami/news/miami-fc-overwhelmed-by-indy-eleven-attack-in-second-half-in-1-3-loss/")</f>
        <v>https://www.cbsnews.com/miami/news/miami-fc-overwhelmed-by-indy-eleven-attack-in-second-half-in-1-3-loss/</v>
      </c>
      <c r="C130" s="2"/>
      <c r="D130" s="2" t="s">
        <v>741</v>
      </c>
      <c r="E130" s="5">
        <v>45425.217905092592</v>
      </c>
      <c r="F130" s="2" t="s">
        <v>1362</v>
      </c>
      <c r="G130" s="2">
        <v>43927397</v>
      </c>
      <c r="H130" s="2">
        <v>0</v>
      </c>
      <c r="I130" s="2">
        <v>0</v>
      </c>
      <c r="J130" s="2">
        <v>3</v>
      </c>
      <c r="K130" s="2" t="s">
        <v>47</v>
      </c>
      <c r="L130" s="4">
        <v>406328.42</v>
      </c>
      <c r="M130" s="2"/>
      <c r="N130" t="s">
        <v>4457</v>
      </c>
    </row>
    <row r="131" spans="1:14" ht="409.6" x14ac:dyDescent="0.3">
      <c r="A131" s="2" t="s">
        <v>1363</v>
      </c>
      <c r="B131" s="2" t="str">
        <f>HYPERLINK("https://www.oursportscentral.com/services/releases/miami-fc-overwhelmed-by-indy-eleven-attack-in-second-half-in-1-3-loss/n-6093754")</f>
        <v>https://www.oursportscentral.com/services/releases/miami-fc-overwhelmed-by-indy-eleven-attack-in-second-half-in-1-3-loss/n-6093754</v>
      </c>
      <c r="C131" s="2"/>
      <c r="D131" s="2" t="s">
        <v>24</v>
      </c>
      <c r="E131" s="5">
        <v>45424.967361111107</v>
      </c>
      <c r="F131" s="2" t="s">
        <v>1362</v>
      </c>
      <c r="G131" s="2">
        <v>40402</v>
      </c>
      <c r="H131" s="2">
        <v>0</v>
      </c>
      <c r="I131" s="2">
        <v>0</v>
      </c>
      <c r="J131" s="2">
        <v>0</v>
      </c>
      <c r="K131" s="2" t="s">
        <v>47</v>
      </c>
      <c r="L131" s="4">
        <v>373.72</v>
      </c>
      <c r="M131" s="2"/>
      <c r="N131" t="s">
        <v>4457</v>
      </c>
    </row>
    <row r="132" spans="1:14" ht="409.6" x14ac:dyDescent="0.3">
      <c r="A132" s="2" t="s">
        <v>1364</v>
      </c>
      <c r="B132" s="2" t="str">
        <f>HYPERLINK("https://www.oursportscentral.com/services/releases/5-12-24-miami-fc-vs-indy-eleven--game-highlights/n-6093668")</f>
        <v>https://www.oursportscentral.com/services/releases/5-12-24-miami-fc-vs-indy-eleven--game-highlights/n-6093668</v>
      </c>
      <c r="C132" s="2"/>
      <c r="D132" s="2" t="s">
        <v>24</v>
      </c>
      <c r="E132" s="5">
        <v>45424.800000000003</v>
      </c>
      <c r="F132" s="2" t="s">
        <v>1365</v>
      </c>
      <c r="G132" s="2">
        <v>40402</v>
      </c>
      <c r="H132" s="2">
        <v>0</v>
      </c>
      <c r="I132" s="2">
        <v>0</v>
      </c>
      <c r="J132" s="2">
        <v>0</v>
      </c>
      <c r="K132" s="2" t="s">
        <v>25</v>
      </c>
      <c r="L132" s="4">
        <v>373.72</v>
      </c>
      <c r="M132" s="2"/>
      <c r="N132" t="s">
        <v>4457</v>
      </c>
    </row>
    <row r="133" spans="1:14" ht="409.6" x14ac:dyDescent="0.3">
      <c r="A133" s="2" t="s">
        <v>1366</v>
      </c>
      <c r="B133" s="2" t="str">
        <f>HYPERLINK("https://www.oursportscentral.com/services/releases/williams-scores-a-pair-stanley-assists-twice-to-lead-indy/n-6093651")</f>
        <v>https://www.oursportscentral.com/services/releases/williams-scores-a-pair-stanley-assists-twice-to-lead-indy/n-6093651</v>
      </c>
      <c r="C133" s="2"/>
      <c r="D133" s="2" t="s">
        <v>24</v>
      </c>
      <c r="E133" s="5">
        <v>45424.793749999997</v>
      </c>
      <c r="F133" s="2" t="s">
        <v>1367</v>
      </c>
      <c r="G133" s="2">
        <v>40402</v>
      </c>
      <c r="H133" s="2">
        <v>0</v>
      </c>
      <c r="I133" s="2">
        <v>0</v>
      </c>
      <c r="J133" s="2">
        <v>0</v>
      </c>
      <c r="K133" s="2" t="s">
        <v>25</v>
      </c>
      <c r="L133" s="4">
        <v>373.72</v>
      </c>
      <c r="M133" s="2"/>
      <c r="N133" t="s">
        <v>4457</v>
      </c>
    </row>
    <row r="134" spans="1:14" ht="409.6" x14ac:dyDescent="0.3">
      <c r="A134" s="2" t="s">
        <v>34</v>
      </c>
      <c r="B134" s="2" t="str">
        <f>HYPERLINK("https://www.heraldbulletin.com/sports/coming-up/article_e43534a4-1016-11ef-a25e-679cbdd18064.html")</f>
        <v>https://www.heraldbulletin.com/sports/coming-up/article_e43534a4-1016-11ef-a25e-679cbdd18064.html</v>
      </c>
      <c r="C134" s="2"/>
      <c r="D134" s="2" t="s">
        <v>35</v>
      </c>
      <c r="E134" s="5">
        <v>45424.296956018523</v>
      </c>
      <c r="F134" s="2" t="s">
        <v>1368</v>
      </c>
      <c r="G134" s="2">
        <v>50260</v>
      </c>
      <c r="H134" s="2">
        <v>0</v>
      </c>
      <c r="I134" s="2">
        <v>0</v>
      </c>
      <c r="J134" s="2">
        <v>1</v>
      </c>
      <c r="K134" s="2" t="s">
        <v>25</v>
      </c>
      <c r="L134" s="4">
        <v>464.9</v>
      </c>
      <c r="M134" s="2"/>
      <c r="N134" t="s">
        <v>4458</v>
      </c>
    </row>
    <row r="135" spans="1:14" ht="330" x14ac:dyDescent="0.3">
      <c r="A135" s="2" t="s">
        <v>1369</v>
      </c>
      <c r="B135" s="2" t="str">
        <f>HYPERLINK("https://www.oursportscentral.com/services/releases/match-preview-miami-fc-vs-indy-eleven/n-6092929")</f>
        <v>https://www.oursportscentral.com/services/releases/match-preview-miami-fc-vs-indy-eleven/n-6092929</v>
      </c>
      <c r="C135" s="2"/>
      <c r="D135" s="2" t="s">
        <v>24</v>
      </c>
      <c r="E135" s="5">
        <v>45423.494444444441</v>
      </c>
      <c r="F135" s="2" t="s">
        <v>1370</v>
      </c>
      <c r="G135" s="2">
        <v>40402</v>
      </c>
      <c r="H135" s="2">
        <v>0</v>
      </c>
      <c r="I135" s="2">
        <v>0</v>
      </c>
      <c r="J135" s="2">
        <v>0</v>
      </c>
      <c r="K135" s="2" t="s">
        <v>25</v>
      </c>
      <c r="L135" s="4">
        <v>373.72</v>
      </c>
      <c r="M135" s="2"/>
      <c r="N135" t="s">
        <v>4457</v>
      </c>
    </row>
    <row r="136" spans="1:14" ht="409.6" x14ac:dyDescent="0.3">
      <c r="A136" s="2" t="s">
        <v>34</v>
      </c>
      <c r="B136" s="2" t="str">
        <f>HYPERLINK("https://www.heraldbulletin.com/sports/coming-up/article_8f079576-0f21-11ef-af91-e33ed1b31730.html")</f>
        <v>https://www.heraldbulletin.com/sports/coming-up/article_8f079576-0f21-11ef-af91-e33ed1b31730.html</v>
      </c>
      <c r="C136" s="2"/>
      <c r="D136" s="2" t="s">
        <v>35</v>
      </c>
      <c r="E136" s="5">
        <v>45423.306944444441</v>
      </c>
      <c r="F136" s="2" t="s">
        <v>1368</v>
      </c>
      <c r="G136" s="2">
        <v>50260</v>
      </c>
      <c r="H136" s="2">
        <v>0</v>
      </c>
      <c r="I136" s="2">
        <v>0</v>
      </c>
      <c r="J136" s="2">
        <v>9</v>
      </c>
      <c r="K136" s="2" t="s">
        <v>25</v>
      </c>
      <c r="L136" s="4">
        <v>464.9</v>
      </c>
      <c r="M136" s="2"/>
      <c r="N136" t="s">
        <v>4458</v>
      </c>
    </row>
    <row r="137" spans="1:14" ht="409.6" x14ac:dyDescent="0.3">
      <c r="A137" s="2" t="s">
        <v>1371</v>
      </c>
      <c r="B137" s="2" t="str">
        <f>HYPERLINK("https://www.newsbreak.com/indianapolis-in/3435403865692-indy-eleven-announces-partnership-with-indiana-black-expo")</f>
        <v>https://www.newsbreak.com/indianapolis-in/3435403865692-indy-eleven-announces-partnership-with-indiana-black-expo</v>
      </c>
      <c r="C137" s="2"/>
      <c r="D137" s="2" t="s">
        <v>360</v>
      </c>
      <c r="E137" s="5">
        <v>45423.063888888893</v>
      </c>
      <c r="F137" s="2" t="s">
        <v>855</v>
      </c>
      <c r="G137" s="2">
        <v>18777858</v>
      </c>
      <c r="H137" s="2">
        <v>0</v>
      </c>
      <c r="I137" s="2">
        <v>0</v>
      </c>
      <c r="J137" s="2">
        <v>0</v>
      </c>
      <c r="K137" s="2" t="s">
        <v>25</v>
      </c>
      <c r="L137" s="4">
        <v>173695.19</v>
      </c>
      <c r="M137" s="2"/>
      <c r="N137" t="s">
        <v>4459</v>
      </c>
    </row>
    <row r="138" spans="1:14" ht="396" x14ac:dyDescent="0.3">
      <c r="A138" s="2" t="s">
        <v>1371</v>
      </c>
      <c r="B138" s="2" t="str">
        <f>HYPERLINK("https://headtopics.com/us/indy-eleven-announces-partnership-with-indiana-black-expo-52357541")</f>
        <v>https://headtopics.com/us/indy-eleven-announces-partnership-with-indiana-black-expo-52357541</v>
      </c>
      <c r="C138" s="2"/>
      <c r="D138" s="2" t="s">
        <v>283</v>
      </c>
      <c r="E138" s="5">
        <v>45422.915972222218</v>
      </c>
      <c r="F138" s="2" t="s">
        <v>1372</v>
      </c>
      <c r="G138" s="2">
        <v>55248</v>
      </c>
      <c r="H138" s="2">
        <v>0</v>
      </c>
      <c r="I138" s="2">
        <v>0</v>
      </c>
      <c r="J138" s="2">
        <v>0</v>
      </c>
      <c r="K138" s="2" t="s">
        <v>25</v>
      </c>
      <c r="L138" s="4">
        <v>511.04</v>
      </c>
      <c r="M138" s="2"/>
      <c r="N138" t="s">
        <v>4459</v>
      </c>
    </row>
    <row r="139" spans="1:14" ht="396" x14ac:dyDescent="0.3">
      <c r="A139" s="2" t="s">
        <v>1371</v>
      </c>
      <c r="B139" s="2" t="str">
        <f>HYPERLINK("https://www.wthr.com/article/news/local/indy-eleven-announces-partnership-with-indiana-black-expo-summer-celebration-ibe/531-86cb2e64-654c-4274-ae9e-bd5b2195ef18")</f>
        <v>https://www.wthr.com/article/news/local/indy-eleven-announces-partnership-with-indiana-black-expo-summer-celebration-ibe/531-86cb2e64-654c-4274-ae9e-bd5b2195ef18</v>
      </c>
      <c r="C139" s="2"/>
      <c r="D139" s="2" t="s">
        <v>130</v>
      </c>
      <c r="E139" s="5">
        <v>45422.900937500002</v>
      </c>
      <c r="F139" s="2" t="s">
        <v>1373</v>
      </c>
      <c r="G139" s="2">
        <v>1222012</v>
      </c>
      <c r="H139" s="2">
        <v>0</v>
      </c>
      <c r="I139" s="2">
        <v>0</v>
      </c>
      <c r="J139" s="2">
        <v>0</v>
      </c>
      <c r="K139" s="2" t="s">
        <v>31</v>
      </c>
      <c r="L139" s="4">
        <v>11303.61</v>
      </c>
      <c r="M139" s="2"/>
      <c r="N139" t="s">
        <v>4458</v>
      </c>
    </row>
    <row r="140" spans="1:14" ht="409.6" x14ac:dyDescent="0.3">
      <c r="A140" s="2" t="s">
        <v>1369</v>
      </c>
      <c r="B140" s="2" t="str">
        <f>HYPERLINK("https://romania.postsen.com/trends/393300/Match-Preview-Miami-FC-vs-Indy-Eleven.html")</f>
        <v>https://romania.postsen.com/trends/393300/Match-Preview-Miami-FC-vs-Indy-Eleven.html</v>
      </c>
      <c r="C140" s="2"/>
      <c r="D140" s="2" t="s">
        <v>1374</v>
      </c>
      <c r="E140" s="5">
        <v>45422.884884259263</v>
      </c>
      <c r="F140" s="2" t="s">
        <v>1375</v>
      </c>
      <c r="G140" s="2"/>
      <c r="H140" s="2">
        <v>0</v>
      </c>
      <c r="I140" s="2">
        <v>0</v>
      </c>
      <c r="J140" s="2">
        <v>0</v>
      </c>
      <c r="K140" s="2" t="s">
        <v>25</v>
      </c>
      <c r="L140" s="2"/>
      <c r="M140" s="2"/>
      <c r="N140" t="s">
        <v>4459</v>
      </c>
    </row>
    <row r="141" spans="1:14" ht="409.6" x14ac:dyDescent="0.3">
      <c r="A141" s="2" t="s">
        <v>1369</v>
      </c>
      <c r="B141" s="2" t="str">
        <f>HYPERLINK("https://newspub.live/south/miami-fl/match-preview-miami-fc-vs-indy-eleven/")</f>
        <v>https://newspub.live/south/miami-fl/match-preview-miami-fc-vs-indy-eleven/</v>
      </c>
      <c r="C141" s="2"/>
      <c r="D141" s="2" t="s">
        <v>56</v>
      </c>
      <c r="E141" s="5">
        <v>45422.854548611111</v>
      </c>
      <c r="F141" s="2" t="s">
        <v>1376</v>
      </c>
      <c r="G141" s="2">
        <v>655</v>
      </c>
      <c r="H141" s="2">
        <v>0</v>
      </c>
      <c r="I141" s="2">
        <v>0</v>
      </c>
      <c r="J141" s="2">
        <v>0</v>
      </c>
      <c r="K141" s="2" t="s">
        <v>31</v>
      </c>
      <c r="L141" s="4">
        <v>6.06</v>
      </c>
      <c r="M141" s="2"/>
      <c r="N141" t="s">
        <v>4457</v>
      </c>
    </row>
    <row r="142" spans="1:14" ht="409.6" x14ac:dyDescent="0.3">
      <c r="A142" s="2" t="s">
        <v>1369</v>
      </c>
      <c r="B142" s="2" t="str">
        <f>HYPERLINK("https://www.cbsnews.com/miami/news/match-preview-miami-fc-vs-indy-eleven/")</f>
        <v>https://www.cbsnews.com/miami/news/match-preview-miami-fc-vs-indy-eleven/</v>
      </c>
      <c r="C142" s="2"/>
      <c r="D142" s="2" t="s">
        <v>741</v>
      </c>
      <c r="E142" s="5">
        <v>45422.819282407407</v>
      </c>
      <c r="F142" s="2" t="s">
        <v>1377</v>
      </c>
      <c r="G142" s="2">
        <v>43927397</v>
      </c>
      <c r="H142" s="2">
        <v>0</v>
      </c>
      <c r="I142" s="2">
        <v>0</v>
      </c>
      <c r="J142" s="2">
        <v>31</v>
      </c>
      <c r="K142" s="2" t="s">
        <v>25</v>
      </c>
      <c r="L142" s="4">
        <v>406328.42</v>
      </c>
      <c r="M142" s="2"/>
      <c r="N142" t="s">
        <v>4457</v>
      </c>
    </row>
    <row r="143" spans="1:14" ht="409.6" x14ac:dyDescent="0.3">
      <c r="A143" s="2" t="s">
        <v>1378</v>
      </c>
      <c r="B143" s="2" t="str">
        <f>HYPERLINK("https://www.journalgazette.net/sports/i-like-great-things-in-indiana-why-fort-waynes-chuck-surack-joined-indy-eleven-ownership/article_a4321110-0efe-11ef-8b8f-1fe9051e71d0.html")</f>
        <v>https://www.journalgazette.net/sports/i-like-great-things-in-indiana-why-fort-waynes-chuck-surack-joined-indy-eleven-ownership/article_a4321110-0efe-11ef-8b8f-1fe9051e71d0.html</v>
      </c>
      <c r="C143" s="2" t="s">
        <v>1154</v>
      </c>
      <c r="D143" s="2" t="s">
        <v>1155</v>
      </c>
      <c r="E143" s="5">
        <v>45422.792685185188</v>
      </c>
      <c r="F143" s="2" t="s">
        <v>1379</v>
      </c>
      <c r="G143" s="2">
        <v>48752</v>
      </c>
      <c r="H143" s="2">
        <v>4</v>
      </c>
      <c r="I143" s="2">
        <v>6723</v>
      </c>
      <c r="J143" s="2">
        <v>27</v>
      </c>
      <c r="K143" s="2" t="s">
        <v>25</v>
      </c>
      <c r="L143" s="4">
        <v>450.96</v>
      </c>
      <c r="M143" s="2"/>
      <c r="N143" t="s">
        <v>4458</v>
      </c>
    </row>
    <row r="144" spans="1:14" ht="409.6" x14ac:dyDescent="0.3">
      <c r="A144" s="2" t="s">
        <v>1380</v>
      </c>
      <c r="B144" s="2" t="str">
        <f>HYPERLINK("https://www.oursportscentral.com/services/releases/indy-eleven-announces-partnership-with-indiana-black-expo/n-6092400")</f>
        <v>https://www.oursportscentral.com/services/releases/indy-eleven-announces-partnership-with-indiana-black-expo/n-6092400</v>
      </c>
      <c r="C144" s="2"/>
      <c r="D144" s="2" t="s">
        <v>24</v>
      </c>
      <c r="E144" s="5">
        <v>45422.488194444442</v>
      </c>
      <c r="F144" s="2" t="s">
        <v>1381</v>
      </c>
      <c r="G144" s="2">
        <v>40402</v>
      </c>
      <c r="H144" s="2">
        <v>0</v>
      </c>
      <c r="I144" s="2">
        <v>0</v>
      </c>
      <c r="J144" s="2">
        <v>0</v>
      </c>
      <c r="K144" s="2" t="s">
        <v>25</v>
      </c>
      <c r="L144" s="4">
        <v>373.72</v>
      </c>
      <c r="M144" s="2"/>
      <c r="N144" t="s">
        <v>4457</v>
      </c>
    </row>
    <row r="145" spans="1:14" ht="396" x14ac:dyDescent="0.3">
      <c r="A145" s="2" t="s">
        <v>1382</v>
      </c>
      <c r="B145" s="2" t="str">
        <f>HYPERLINK("https://dailyjournal.net/2024/05/10/billionaire-hoping-to-move-the-needle-on-indy-elevens-battle-with-hogsett-administration/")</f>
        <v>https://dailyjournal.net/2024/05/10/billionaire-hoping-to-move-the-needle-on-indy-elevens-battle-with-hogsett-administration/</v>
      </c>
      <c r="C145" s="2" t="s">
        <v>267</v>
      </c>
      <c r="D145" s="2" t="s">
        <v>323</v>
      </c>
      <c r="E145" s="5">
        <v>45422.467662037037</v>
      </c>
      <c r="F145" s="2" t="s">
        <v>1383</v>
      </c>
      <c r="G145" s="2">
        <v>77816</v>
      </c>
      <c r="H145" s="2">
        <v>0</v>
      </c>
      <c r="I145" s="2">
        <v>0</v>
      </c>
      <c r="J145" s="2">
        <v>15</v>
      </c>
      <c r="K145" s="2" t="s">
        <v>25</v>
      </c>
      <c r="L145" s="4">
        <v>719.8</v>
      </c>
      <c r="M145" s="2"/>
      <c r="N145" t="s">
        <v>4458</v>
      </c>
    </row>
    <row r="146" spans="1:14" ht="409.6" x14ac:dyDescent="0.3">
      <c r="A146" s="2" t="s">
        <v>1384</v>
      </c>
      <c r="B146" s="2" t="str">
        <f>HYPERLINK("https://www.wfyi.org/news/articles/indy-eleven-fans-hope-to-be-part-of-major-league-soccer-discussion-brickyard-battalion-president-weighs-in")</f>
        <v>https://www.wfyi.org/news/articles/indy-eleven-fans-hope-to-be-part-of-major-league-soccer-discussion-brickyard-battalion-president-weighs-in</v>
      </c>
      <c r="C146" s="2" t="s">
        <v>608</v>
      </c>
      <c r="D146" s="2" t="s">
        <v>609</v>
      </c>
      <c r="E146" s="5">
        <v>45422.456458333327</v>
      </c>
      <c r="F146" s="2" t="s">
        <v>1385</v>
      </c>
      <c r="G146" s="2">
        <v>161845</v>
      </c>
      <c r="H146" s="2">
        <v>1</v>
      </c>
      <c r="I146" s="2">
        <v>1348</v>
      </c>
      <c r="J146" s="2">
        <v>21</v>
      </c>
      <c r="K146" s="2" t="s">
        <v>25</v>
      </c>
      <c r="L146" s="4">
        <v>1497.07</v>
      </c>
      <c r="M146" s="2"/>
      <c r="N146" t="s">
        <v>4458</v>
      </c>
    </row>
    <row r="147" spans="1:14" ht="409.6" x14ac:dyDescent="0.3">
      <c r="A147" s="2" t="s">
        <v>1384</v>
      </c>
      <c r="B147" s="2" t="str">
        <f>HYPERLINK("https://www.wbaa.org/2024-05-10/as-indy-eleven-fans-hope-to-join-major-league-soccer-discussion-brickyard-battalion-president-weighs-in")</f>
        <v>https://www.wbaa.org/2024-05-10/as-indy-eleven-fans-hope-to-join-major-league-soccer-discussion-brickyard-battalion-president-weighs-in</v>
      </c>
      <c r="C147" s="2" t="s">
        <v>608</v>
      </c>
      <c r="D147" s="2" t="s">
        <v>1386</v>
      </c>
      <c r="E147" s="5">
        <v>45422.453726851847</v>
      </c>
      <c r="F147" s="2" t="s">
        <v>1387</v>
      </c>
      <c r="G147" s="2">
        <v>7423</v>
      </c>
      <c r="H147" s="2">
        <v>0</v>
      </c>
      <c r="I147" s="2">
        <v>0</v>
      </c>
      <c r="J147" s="2">
        <v>0</v>
      </c>
      <c r="K147" s="2" t="s">
        <v>25</v>
      </c>
      <c r="L147" s="4">
        <v>68.66</v>
      </c>
      <c r="M147" s="2"/>
      <c r="N147" t="s">
        <v>4458</v>
      </c>
    </row>
    <row r="148" spans="1:14" ht="409.6" x14ac:dyDescent="0.3">
      <c r="A148" s="2" t="s">
        <v>1388</v>
      </c>
      <c r="B148" s="2" t="str">
        <f>HYPERLINK("https://www.wane.com/top-stories/indianapolis-soccer-stadium-fate-rests-on-recovery-of-cemetery-remains/")</f>
        <v>https://www.wane.com/top-stories/indianapolis-soccer-stadium-fate-rests-on-recovery-of-cemetery-remains/</v>
      </c>
      <c r="C148" s="2" t="s">
        <v>1129</v>
      </c>
      <c r="D148" s="2" t="s">
        <v>1130</v>
      </c>
      <c r="E148" s="5">
        <v>45422.449907407397</v>
      </c>
      <c r="F148" s="2" t="s">
        <v>1389</v>
      </c>
      <c r="G148" s="2">
        <v>532355</v>
      </c>
      <c r="H148" s="2">
        <v>0</v>
      </c>
      <c r="I148" s="2">
        <v>0</v>
      </c>
      <c r="J148" s="2">
        <v>0</v>
      </c>
      <c r="K148" s="2" t="s">
        <v>31</v>
      </c>
      <c r="L148" s="4">
        <v>4924.28</v>
      </c>
      <c r="M148" s="2"/>
      <c r="N148" t="s">
        <v>4458</v>
      </c>
    </row>
    <row r="149" spans="1:14" ht="409.6" x14ac:dyDescent="0.3">
      <c r="A149" s="2" t="s">
        <v>34</v>
      </c>
      <c r="B149" s="2" t="str">
        <f>HYPERLINK("https://www.heraldbulletin.com/sports/coming-up/article_17788a38-0e54-11ef-a3d9-db7ed428c9be.html")</f>
        <v>https://www.heraldbulletin.com/sports/coming-up/article_17788a38-0e54-11ef-a3d9-db7ed428c9be.html</v>
      </c>
      <c r="C149" s="2"/>
      <c r="D149" s="2" t="s">
        <v>35</v>
      </c>
      <c r="E149" s="5">
        <v>45422.295358796298</v>
      </c>
      <c r="F149" s="2" t="s">
        <v>1368</v>
      </c>
      <c r="G149" s="2">
        <v>50260</v>
      </c>
      <c r="H149" s="2">
        <v>0</v>
      </c>
      <c r="I149" s="2">
        <v>0</v>
      </c>
      <c r="J149" s="2">
        <v>1</v>
      </c>
      <c r="K149" s="2" t="s">
        <v>25</v>
      </c>
      <c r="L149" s="4">
        <v>464.9</v>
      </c>
      <c r="M149" s="2"/>
      <c r="N149" t="s">
        <v>4458</v>
      </c>
    </row>
    <row r="150" spans="1:14" ht="409.6" x14ac:dyDescent="0.3">
      <c r="A150" s="2" t="s">
        <v>1390</v>
      </c>
      <c r="B150" s="2" t="str">
        <f>HYPERLINK("https://deal.town/the-shop/offer-bogo-indy-11-tickets-P3TSQL4SN")</f>
        <v>https://deal.town/the-shop/offer-bogo-indy-11-tickets-P3TSQL4SN</v>
      </c>
      <c r="C150" s="2"/>
      <c r="D150" s="2" t="s">
        <v>361</v>
      </c>
      <c r="E150" s="5">
        <v>45421.842141203713</v>
      </c>
      <c r="F150" s="2" t="s">
        <v>1391</v>
      </c>
      <c r="G150" s="2">
        <v>182980</v>
      </c>
      <c r="H150" s="2"/>
      <c r="I150" s="2"/>
      <c r="J150" s="2"/>
      <c r="K150" s="2" t="s">
        <v>25</v>
      </c>
      <c r="L150" s="4">
        <v>1692.56</v>
      </c>
      <c r="M150" s="2"/>
      <c r="N150" t="s">
        <v>4457</v>
      </c>
    </row>
    <row r="151" spans="1:14" ht="356.4" x14ac:dyDescent="0.3">
      <c r="A151" s="2" t="s">
        <v>1392</v>
      </c>
      <c r="B151" s="2" t="str">
        <f>HYPERLINK("https://headtopics.com/us/the-answer-to-that-is-yes-or-no-mayor-hogsett-address-52293203")</f>
        <v>https://headtopics.com/us/the-answer-to-that-is-yes-or-no-mayor-hogsett-address-52293203</v>
      </c>
      <c r="C151" s="2"/>
      <c r="D151" s="2" t="s">
        <v>283</v>
      </c>
      <c r="E151" s="5">
        <v>45421.820138888892</v>
      </c>
      <c r="F151" s="2" t="s">
        <v>1393</v>
      </c>
      <c r="G151" s="2">
        <v>55248</v>
      </c>
      <c r="H151" s="2">
        <v>0</v>
      </c>
      <c r="I151" s="2">
        <v>0</v>
      </c>
      <c r="J151" s="2">
        <v>0</v>
      </c>
      <c r="K151" s="2" t="s">
        <v>31</v>
      </c>
      <c r="L151" s="4">
        <v>511.04</v>
      </c>
      <c r="M151" s="2"/>
      <c r="N151" t="s">
        <v>4459</v>
      </c>
    </row>
    <row r="152" spans="1:14" ht="409.6" x14ac:dyDescent="0.3">
      <c r="A152" s="2" t="s">
        <v>1394</v>
      </c>
      <c r="B152" s="2" t="str">
        <f>HYPERLINK("https://www.insideindianabusiness.com/articles/surack-hopes-to-move-the-needle-on-indy-elevens-battle-with-city")</f>
        <v>https://www.insideindianabusiness.com/articles/surack-hopes-to-move-the-needle-on-indy-elevens-battle-with-city</v>
      </c>
      <c r="C152" s="2" t="s">
        <v>1395</v>
      </c>
      <c r="D152" s="2" t="s">
        <v>438</v>
      </c>
      <c r="E152" s="5">
        <v>45421.694976851853</v>
      </c>
      <c r="F152" s="2" t="s">
        <v>1396</v>
      </c>
      <c r="G152" s="2">
        <v>78132</v>
      </c>
      <c r="H152" s="2">
        <v>0</v>
      </c>
      <c r="I152" s="2">
        <v>0</v>
      </c>
      <c r="J152" s="2">
        <v>0</v>
      </c>
      <c r="K152" s="2" t="s">
        <v>25</v>
      </c>
      <c r="L152" s="4">
        <v>722.72</v>
      </c>
      <c r="M152" s="2"/>
      <c r="N152" t="s">
        <v>4458</v>
      </c>
    </row>
    <row r="153" spans="1:14" ht="145.19999999999999" x14ac:dyDescent="0.3">
      <c r="A153" s="2" t="s">
        <v>1397</v>
      </c>
      <c r="B153" s="2" t="str">
        <f>HYPERLINK("https://wtlcfm.com/3869799/surack-would-like-to-believe-eleven-park-can-be-built-without-citys-support/")</f>
        <v>https://wtlcfm.com/3869799/surack-would-like-to-believe-eleven-park-can-be-built-without-citys-support/</v>
      </c>
      <c r="C153" s="2" t="s">
        <v>713</v>
      </c>
      <c r="D153" s="2" t="s">
        <v>515</v>
      </c>
      <c r="E153" s="5">
        <v>45421.619421296287</v>
      </c>
      <c r="F153" s="2" t="s">
        <v>1398</v>
      </c>
      <c r="G153" s="2">
        <v>7794</v>
      </c>
      <c r="H153" s="2">
        <v>0</v>
      </c>
      <c r="I153" s="2">
        <v>0</v>
      </c>
      <c r="J153" s="2">
        <v>0</v>
      </c>
      <c r="K153" s="2" t="s">
        <v>25</v>
      </c>
      <c r="L153" s="4">
        <v>72.09</v>
      </c>
      <c r="M153" s="2"/>
      <c r="N153" t="s">
        <v>4458</v>
      </c>
    </row>
    <row r="154" spans="1:14" ht="409.6" x14ac:dyDescent="0.3">
      <c r="A154" s="2" t="s">
        <v>1399</v>
      </c>
      <c r="B154" s="2" t="str">
        <f>HYPERLINK("https://www.ibj.com/articles/billionaires-addition-to-indy-eleven-ownership-brings-cachet-but-mls-hopes-remain-long-shot")</f>
        <v>https://www.ibj.com/articles/billionaires-addition-to-indy-eleven-ownership-brings-cachet-but-mls-hopes-remain-long-shot</v>
      </c>
      <c r="C154" s="2" t="s">
        <v>267</v>
      </c>
      <c r="D154" s="2" t="s">
        <v>268</v>
      </c>
      <c r="E154" s="5">
        <v>45421.585196759261</v>
      </c>
      <c r="F154" s="2" t="s">
        <v>1396</v>
      </c>
      <c r="G154" s="2">
        <v>112057</v>
      </c>
      <c r="H154" s="2">
        <v>0</v>
      </c>
      <c r="I154" s="2">
        <v>0</v>
      </c>
      <c r="J154" s="2">
        <v>8</v>
      </c>
      <c r="K154" s="2" t="s">
        <v>25</v>
      </c>
      <c r="L154" s="4">
        <v>1036.53</v>
      </c>
      <c r="M154" s="2"/>
      <c r="N154" t="s">
        <v>4458</v>
      </c>
    </row>
    <row r="155" spans="1:14" ht="409.6" x14ac:dyDescent="0.3">
      <c r="A155" s="2" t="s">
        <v>1400</v>
      </c>
      <c r="B155" s="2" t="str">
        <f>HYPERLINK("https://www.yahoo.com/news/briggs-human-remains-helicopters-cloud-155624825.html")</f>
        <v>https://www.yahoo.com/news/briggs-human-remains-helicopters-cloud-155624825.html</v>
      </c>
      <c r="C155" s="2" t="s">
        <v>1084</v>
      </c>
      <c r="D155" s="2" t="s">
        <v>435</v>
      </c>
      <c r="E155" s="5">
        <v>45421.565555555557</v>
      </c>
      <c r="F155" s="2" t="s">
        <v>1401</v>
      </c>
      <c r="G155" s="2">
        <v>372878377</v>
      </c>
      <c r="H155" s="2">
        <v>0</v>
      </c>
      <c r="I155" s="2">
        <v>0</v>
      </c>
      <c r="J155" s="2">
        <v>0</v>
      </c>
      <c r="K155" s="2" t="s">
        <v>31</v>
      </c>
      <c r="L155" s="4">
        <v>3449124.99</v>
      </c>
      <c r="M155" s="2"/>
      <c r="N155" t="s">
        <v>4457</v>
      </c>
    </row>
    <row r="156" spans="1:14" ht="409.6" x14ac:dyDescent="0.3">
      <c r="A156" s="2" t="s">
        <v>1402</v>
      </c>
      <c r="B156" s="2" t="str">
        <f>HYPERLINK("https://www.insideindianabusiness.com/articles/westfield-leaders-keeping-eye-on-indy-eleven-situation")</f>
        <v>https://www.insideindianabusiness.com/articles/westfield-leaders-keeping-eye-on-indy-eleven-situation</v>
      </c>
      <c r="C156" s="2" t="s">
        <v>740</v>
      </c>
      <c r="D156" s="2" t="s">
        <v>438</v>
      </c>
      <c r="E156" s="5">
        <v>45421.540023148147</v>
      </c>
      <c r="F156" s="2" t="s">
        <v>1403</v>
      </c>
      <c r="G156" s="2">
        <v>78132</v>
      </c>
      <c r="H156" s="2">
        <v>0</v>
      </c>
      <c r="I156" s="2">
        <v>0</v>
      </c>
      <c r="J156" s="2">
        <v>0</v>
      </c>
      <c r="K156" s="2" t="s">
        <v>25</v>
      </c>
      <c r="L156" s="4">
        <v>722.72</v>
      </c>
      <c r="M156" s="2"/>
      <c r="N156" t="s">
        <v>4458</v>
      </c>
    </row>
    <row r="157" spans="1:14" ht="409.6" x14ac:dyDescent="0.3">
      <c r="A157" s="2" t="s">
        <v>1404</v>
      </c>
      <c r="B157" s="2" t="str">
        <f>HYPERLINK("https://www.oursportscentral.com/services/releases/indy-eleven-to-host-detroit-city-fc-in-lamar-hunt-u-s-open-cup-round-of-16/n-6091874")</f>
        <v>https://www.oursportscentral.com/services/releases/indy-eleven-to-host-detroit-city-fc-in-lamar-hunt-u-s-open-cup-round-of-16/n-6091874</v>
      </c>
      <c r="C157" s="2"/>
      <c r="D157" s="2" t="s">
        <v>24</v>
      </c>
      <c r="E157" s="5">
        <v>45421.511111111111</v>
      </c>
      <c r="F157" s="2" t="s">
        <v>1405</v>
      </c>
      <c r="G157" s="2">
        <v>40402</v>
      </c>
      <c r="H157" s="2">
        <v>0</v>
      </c>
      <c r="I157" s="2">
        <v>0</v>
      </c>
      <c r="J157" s="2">
        <v>0</v>
      </c>
      <c r="K157" s="2" t="s">
        <v>25</v>
      </c>
      <c r="L157" s="4">
        <v>373.72</v>
      </c>
      <c r="M157" s="2"/>
      <c r="N157" t="s">
        <v>4457</v>
      </c>
    </row>
    <row r="158" spans="1:14" ht="409.6" x14ac:dyDescent="0.3">
      <c r="A158" s="2" t="s">
        <v>1400</v>
      </c>
      <c r="B158" s="2" t="str">
        <f>HYPERLINK("https://sports.yahoo.com/briggs-human-remains-helicopters-cloud-155624811.html")</f>
        <v>https://sports.yahoo.com/briggs-human-remains-helicopters-cloud-155624811.html</v>
      </c>
      <c r="C158" s="2" t="s">
        <v>1084</v>
      </c>
      <c r="D158" s="2" t="s">
        <v>137</v>
      </c>
      <c r="E158" s="5">
        <v>45421.497499999998</v>
      </c>
      <c r="F158" s="2" t="s">
        <v>1406</v>
      </c>
      <c r="G158" s="2">
        <v>23172409</v>
      </c>
      <c r="H158" s="2">
        <v>0</v>
      </c>
      <c r="I158" s="2">
        <v>0</v>
      </c>
      <c r="J158" s="2">
        <v>0</v>
      </c>
      <c r="K158" s="2" t="s">
        <v>31</v>
      </c>
      <c r="L158" s="4">
        <v>214344.78</v>
      </c>
      <c r="M158" s="2"/>
      <c r="N158" t="s">
        <v>4457</v>
      </c>
    </row>
    <row r="159" spans="1:14" ht="409.6" x14ac:dyDescent="0.3">
      <c r="A159" s="2" t="s">
        <v>1400</v>
      </c>
      <c r="B159" s="2" t="str">
        <f>HYPERLINK("https://www.indystar.com/story/opinion/columnists/james-briggs/2024/05/09/indy-eleven-has-a-bigger-problem-than-money-at-diamond-chain-site/73627540007/")</f>
        <v>https://www.indystar.com/story/opinion/columnists/james-briggs/2024/05/09/indy-eleven-has-a-bigger-problem-than-money-at-diamond-chain-site/73627540007/</v>
      </c>
      <c r="C159" s="2" t="s">
        <v>1084</v>
      </c>
      <c r="D159" s="2" t="s">
        <v>321</v>
      </c>
      <c r="E159" s="5">
        <v>45421.497499999998</v>
      </c>
      <c r="F159" s="2" t="s">
        <v>1406</v>
      </c>
      <c r="G159" s="2">
        <v>3061566</v>
      </c>
      <c r="H159" s="2">
        <v>0</v>
      </c>
      <c r="I159" s="2">
        <v>0</v>
      </c>
      <c r="J159" s="2">
        <v>0</v>
      </c>
      <c r="K159" s="2" t="s">
        <v>31</v>
      </c>
      <c r="L159" s="4">
        <v>28319.49</v>
      </c>
      <c r="M159" s="2"/>
      <c r="N159" t="s">
        <v>4458</v>
      </c>
    </row>
    <row r="160" spans="1:14" ht="409.6" x14ac:dyDescent="0.3">
      <c r="A160" s="2" t="s">
        <v>1397</v>
      </c>
      <c r="B160" s="2" t="str">
        <f>HYPERLINK("https://praiseindy.com/3697947/surack-would-like-to-believe-eleven-park-can-be-built-without-citys-support/")</f>
        <v>https://praiseindy.com/3697947/surack-would-like-to-believe-eleven-park-can-be-built-without-citys-support/</v>
      </c>
      <c r="C160" s="2" t="s">
        <v>713</v>
      </c>
      <c r="D160" s="2" t="s">
        <v>504</v>
      </c>
      <c r="E160" s="5">
        <v>45421.470208333332</v>
      </c>
      <c r="F160" s="2" t="s">
        <v>1407</v>
      </c>
      <c r="G160" s="2">
        <v>5231</v>
      </c>
      <c r="H160" s="2">
        <v>0</v>
      </c>
      <c r="I160" s="2">
        <v>0</v>
      </c>
      <c r="J160" s="2">
        <v>0</v>
      </c>
      <c r="K160" s="2" t="s">
        <v>25</v>
      </c>
      <c r="L160" s="4">
        <v>48.39</v>
      </c>
      <c r="M160" s="2"/>
      <c r="N160" t="s">
        <v>4458</v>
      </c>
    </row>
    <row r="161" spans="1:14" ht="409.6" x14ac:dyDescent="0.3">
      <c r="A161" s="2" t="s">
        <v>1408</v>
      </c>
      <c r="B161" s="2" t="str">
        <f>HYPERLINK("https://www.ibj.com/articles/westfield-leaders-keep-eye-on-indy-eleven-situation-as-grand-park-negotiations-continue")</f>
        <v>https://www.ibj.com/articles/westfield-leaders-keep-eye-on-indy-eleven-situation-as-grand-park-negotiations-continue</v>
      </c>
      <c r="C161" s="2"/>
      <c r="D161" s="2" t="s">
        <v>268</v>
      </c>
      <c r="E161" s="5">
        <v>45421.428449074083</v>
      </c>
      <c r="F161" s="2" t="s">
        <v>1403</v>
      </c>
      <c r="G161" s="2">
        <v>112057</v>
      </c>
      <c r="H161" s="2">
        <v>0</v>
      </c>
      <c r="I161" s="2">
        <v>0</v>
      </c>
      <c r="J161" s="2">
        <v>0</v>
      </c>
      <c r="K161" s="2" t="s">
        <v>25</v>
      </c>
      <c r="L161" s="4">
        <v>1036.53</v>
      </c>
      <c r="M161" s="2"/>
      <c r="N161" t="s">
        <v>4458</v>
      </c>
    </row>
    <row r="162" spans="1:14" ht="409.6" x14ac:dyDescent="0.3">
      <c r="A162" s="2" t="s">
        <v>1409</v>
      </c>
      <c r="B162" s="2" t="str">
        <f>HYPERLINK("https://wibc.com/playlist/tony-katz-and-the-morning-news-2nd-hr-5-9-24-indy-eleven-joe-bidens-economic-team-traffic-jam-biden-and-tlaib/")</f>
        <v>https://wibc.com/playlist/tony-katz-and-the-morning-news-2nd-hr-5-9-24-indy-eleven-joe-bidens-economic-team-traffic-jam-biden-and-tlaib/</v>
      </c>
      <c r="C162" s="2"/>
      <c r="D162" s="2" t="s">
        <v>322</v>
      </c>
      <c r="E162" s="5">
        <v>45421.342013888891</v>
      </c>
      <c r="F162" s="2" t="s">
        <v>1410</v>
      </c>
      <c r="G162" s="2">
        <v>42815</v>
      </c>
      <c r="H162" s="2">
        <v>0</v>
      </c>
      <c r="I162" s="2">
        <v>0</v>
      </c>
      <c r="J162" s="2">
        <v>2</v>
      </c>
      <c r="K162" s="2" t="s">
        <v>47</v>
      </c>
      <c r="L162" s="4">
        <v>396.04</v>
      </c>
      <c r="M162" s="2"/>
      <c r="N162" t="s">
        <v>4458</v>
      </c>
    </row>
    <row r="163" spans="1:14" ht="118.8" x14ac:dyDescent="0.3">
      <c r="A163" s="2" t="s">
        <v>34</v>
      </c>
      <c r="B163" s="2" t="str">
        <f>HYPERLINK("https://www.heraldbulletin.com/sports/coming-up/article_5a20525a-0d7b-11ef-9fd5-23a8fc3ca431.html")</f>
        <v>https://www.heraldbulletin.com/sports/coming-up/article_5a20525a-0d7b-11ef-9fd5-23a8fc3ca431.html</v>
      </c>
      <c r="C163" s="2"/>
      <c r="D163" s="2" t="s">
        <v>35</v>
      </c>
      <c r="E163" s="5">
        <v>45421.309270833342</v>
      </c>
      <c r="F163" s="2" t="s">
        <v>1411</v>
      </c>
      <c r="G163" s="2">
        <v>50260</v>
      </c>
      <c r="H163" s="2">
        <v>0</v>
      </c>
      <c r="I163" s="2">
        <v>0</v>
      </c>
      <c r="J163" s="2">
        <v>3</v>
      </c>
      <c r="K163" s="2" t="s">
        <v>25</v>
      </c>
      <c r="L163" s="4">
        <v>464.9</v>
      </c>
      <c r="M163" s="2"/>
      <c r="N163" t="s">
        <v>4458</v>
      </c>
    </row>
    <row r="164" spans="1:14" ht="145.19999999999999" x14ac:dyDescent="0.3">
      <c r="A164" s="2" t="s">
        <v>1397</v>
      </c>
      <c r="B164" s="2" t="str">
        <f>HYPERLINK("https://1075thefan.com/315141/surack-would-like-to-believe-eleven-park-can-be-built-without-citys-support/")</f>
        <v>https://1075thefan.com/315141/surack-would-like-to-believe-eleven-park-can-be-built-without-citys-support/</v>
      </c>
      <c r="C164" s="2" t="s">
        <v>713</v>
      </c>
      <c r="D164" s="2" t="s">
        <v>75</v>
      </c>
      <c r="E164" s="5">
        <v>45421.239641203712</v>
      </c>
      <c r="F164" s="2" t="s">
        <v>1398</v>
      </c>
      <c r="G164" s="2">
        <v>208881</v>
      </c>
      <c r="H164" s="2">
        <v>0</v>
      </c>
      <c r="I164" s="2">
        <v>0</v>
      </c>
      <c r="J164" s="2">
        <v>0</v>
      </c>
      <c r="K164" s="2" t="s">
        <v>25</v>
      </c>
      <c r="L164" s="4">
        <v>1932.15</v>
      </c>
      <c r="M164" s="2"/>
      <c r="N164" t="s">
        <v>4458</v>
      </c>
    </row>
    <row r="165" spans="1:14" ht="316.8" x14ac:dyDescent="0.3">
      <c r="A165" s="2" t="s">
        <v>1412</v>
      </c>
      <c r="B165" s="2" t="str">
        <f>HYPERLINK("https://headtopics.com/us/safc-blanked-by-indy-eleven-knocked-out-of-u-s-open-cup-52241134")</f>
        <v>https://headtopics.com/us/safc-blanked-by-indy-eleven-knocked-out-of-u-s-open-cup-52241134</v>
      </c>
      <c r="C165" s="2"/>
      <c r="D165" s="2" t="s">
        <v>283</v>
      </c>
      <c r="E165" s="5">
        <v>45421.024305555547</v>
      </c>
      <c r="F165" s="2" t="s">
        <v>1413</v>
      </c>
      <c r="G165" s="2">
        <v>55248</v>
      </c>
      <c r="H165" s="2">
        <v>0</v>
      </c>
      <c r="I165" s="2">
        <v>0</v>
      </c>
      <c r="J165" s="2">
        <v>0</v>
      </c>
      <c r="K165" s="2" t="s">
        <v>31</v>
      </c>
      <c r="L165" s="4">
        <v>511.04</v>
      </c>
      <c r="M165" s="2"/>
      <c r="N165" t="s">
        <v>4459</v>
      </c>
    </row>
    <row r="166" spans="1:14" ht="409.6" x14ac:dyDescent="0.3">
      <c r="A166" s="2" t="s">
        <v>1414</v>
      </c>
      <c r="B166" s="2" t="str">
        <f>HYPERLINK("https://www.wishtv.com/sports/indy-eleven/new-co-owner-chuck-surack-is-hopeful-indy-eleven-stadium-will-still-get-done/")</f>
        <v>https://www.wishtv.com/sports/indy-eleven/new-co-owner-chuck-surack-is-hopeful-indy-eleven-stadium-will-still-get-done/</v>
      </c>
      <c r="C166" s="2" t="s">
        <v>1415</v>
      </c>
      <c r="D166" s="2" t="s">
        <v>38</v>
      </c>
      <c r="E166" s="5">
        <v>45421.010671296302</v>
      </c>
      <c r="F166" s="2" t="s">
        <v>1416</v>
      </c>
      <c r="G166" s="2">
        <v>568116</v>
      </c>
      <c r="H166" s="2">
        <v>0</v>
      </c>
      <c r="I166" s="2">
        <v>0</v>
      </c>
      <c r="J166" s="2">
        <v>0</v>
      </c>
      <c r="K166" s="2" t="s">
        <v>25</v>
      </c>
      <c r="L166" s="4">
        <v>5255.07</v>
      </c>
      <c r="M166" s="2"/>
      <c r="N166" t="s">
        <v>4458</v>
      </c>
    </row>
    <row r="167" spans="1:14" ht="409.6" x14ac:dyDescent="0.3">
      <c r="A167" s="2" t="s">
        <v>1412</v>
      </c>
      <c r="B167" s="2" t="str">
        <f>HYPERLINK("https://www.expressnews.com/sports/high-school/article/safc-indy-eleven-soccer-us-open-cup-19447833.php")</f>
        <v>https://www.expressnews.com/sports/high-school/article/safc-indy-eleven-soccer-us-open-cup-19447833.php</v>
      </c>
      <c r="C167" s="2" t="s">
        <v>993</v>
      </c>
      <c r="D167" s="2" t="s">
        <v>994</v>
      </c>
      <c r="E167" s="5">
        <v>45421.007291666669</v>
      </c>
      <c r="F167" s="2" t="s">
        <v>1417</v>
      </c>
      <c r="G167" s="2">
        <v>1305534</v>
      </c>
      <c r="H167" s="2">
        <v>1</v>
      </c>
      <c r="I167" s="2">
        <v>1085</v>
      </c>
      <c r="J167" s="2">
        <v>5</v>
      </c>
      <c r="K167" s="2" t="s">
        <v>25</v>
      </c>
      <c r="L167" s="4">
        <v>12076.19</v>
      </c>
      <c r="M167" s="2"/>
      <c r="N167" t="s">
        <v>4457</v>
      </c>
    </row>
    <row r="168" spans="1:14" ht="409.6" x14ac:dyDescent="0.3">
      <c r="A168" s="2" t="s">
        <v>1418</v>
      </c>
      <c r="B168" s="2" t="str">
        <f>HYPERLINK("https://www.wishtv.com/sports/indy-eleven/one-on-one-with-indy-elevens-new-co-owner-chuck-surack/")</f>
        <v>https://www.wishtv.com/sports/indy-eleven/one-on-one-with-indy-elevens-new-co-owner-chuck-surack/</v>
      </c>
      <c r="C168" s="2" t="s">
        <v>1415</v>
      </c>
      <c r="D168" s="2" t="s">
        <v>38</v>
      </c>
      <c r="E168" s="5">
        <v>45421.000497685192</v>
      </c>
      <c r="F168" s="2" t="s">
        <v>1416</v>
      </c>
      <c r="G168" s="2">
        <v>568116</v>
      </c>
      <c r="H168" s="2">
        <v>0</v>
      </c>
      <c r="I168" s="2">
        <v>0</v>
      </c>
      <c r="J168" s="2">
        <v>33</v>
      </c>
      <c r="K168" s="2" t="s">
        <v>25</v>
      </c>
      <c r="L168" s="4">
        <v>5255.07</v>
      </c>
      <c r="M168" s="2"/>
      <c r="N168" t="s">
        <v>4458</v>
      </c>
    </row>
    <row r="169" spans="1:14" ht="409.6" x14ac:dyDescent="0.3">
      <c r="A169" s="2" t="s">
        <v>1419</v>
      </c>
      <c r="B169" s="2" t="str">
        <f>HYPERLINK("https://www.oursportscentral.com/services/releases/san-antonio-fc-falls-to-indy-eleven-0-2-in-u-s-open-cup/n-6091593")</f>
        <v>https://www.oursportscentral.com/services/releases/san-antonio-fc-falls-to-indy-eleven-0-2-in-u-s-open-cup/n-6091593</v>
      </c>
      <c r="C169" s="2"/>
      <c r="D169" s="2" t="s">
        <v>24</v>
      </c>
      <c r="E169" s="5">
        <v>45420.862500000003</v>
      </c>
      <c r="F169" s="2" t="s">
        <v>1420</v>
      </c>
      <c r="G169" s="2">
        <v>40402</v>
      </c>
      <c r="H169" s="2">
        <v>0</v>
      </c>
      <c r="I169" s="2">
        <v>0</v>
      </c>
      <c r="J169" s="2">
        <v>0</v>
      </c>
      <c r="K169" s="2" t="s">
        <v>31</v>
      </c>
      <c r="L169" s="4">
        <v>373.72</v>
      </c>
      <c r="M169" s="2"/>
      <c r="N169" t="s">
        <v>4457</v>
      </c>
    </row>
    <row r="170" spans="1:14" ht="316.8" x14ac:dyDescent="0.3">
      <c r="A170" s="2" t="s">
        <v>1421</v>
      </c>
      <c r="B170" s="2" t="str">
        <f>HYPERLINK("https://freeread.causeaction.com/2024/05/09/safc-knocked-out-of-u-s-open-cup-in-loss-to-indy-eleven/")</f>
        <v>https://freeread.causeaction.com/2024/05/09/safc-knocked-out-of-u-s-open-cup-in-loss-to-indy-eleven/</v>
      </c>
      <c r="C170" s="2"/>
      <c r="D170" s="2" t="s">
        <v>1156</v>
      </c>
      <c r="E170" s="5">
        <v>45420.844525462962</v>
      </c>
      <c r="F170" s="2" t="s">
        <v>1422</v>
      </c>
      <c r="G170" s="2">
        <v>1793</v>
      </c>
      <c r="H170" s="2"/>
      <c r="I170" s="2"/>
      <c r="J170" s="2"/>
      <c r="K170" s="2" t="s">
        <v>47</v>
      </c>
      <c r="L170" s="4">
        <v>16.59</v>
      </c>
      <c r="M170" s="2"/>
      <c r="N170" t="s">
        <v>4459</v>
      </c>
    </row>
    <row r="171" spans="1:14" ht="330" x14ac:dyDescent="0.3">
      <c r="A171" s="2" t="s">
        <v>1423</v>
      </c>
      <c r="B171" s="2" t="str">
        <f>HYPERLINK("https://headtopics.com/us/indy-eleven-fans-hope-team-honors-human-remains-found-at-52231287")</f>
        <v>https://headtopics.com/us/indy-eleven-fans-hope-team-honors-human-remains-found-at-52231287</v>
      </c>
      <c r="C171" s="2"/>
      <c r="D171" s="2" t="s">
        <v>283</v>
      </c>
      <c r="E171" s="5">
        <v>45420.795138888891</v>
      </c>
      <c r="F171" s="2" t="s">
        <v>1074</v>
      </c>
      <c r="G171" s="2">
        <v>55248</v>
      </c>
      <c r="H171" s="2">
        <v>0</v>
      </c>
      <c r="I171" s="2">
        <v>0</v>
      </c>
      <c r="J171" s="2">
        <v>0</v>
      </c>
      <c r="K171" s="2" t="s">
        <v>25</v>
      </c>
      <c r="L171" s="4">
        <v>511.04</v>
      </c>
      <c r="M171" s="2"/>
      <c r="N171" t="s">
        <v>4459</v>
      </c>
    </row>
    <row r="172" spans="1:14" ht="330" x14ac:dyDescent="0.3">
      <c r="A172" s="2" t="s">
        <v>1424</v>
      </c>
      <c r="B172" s="2" t="str">
        <f>HYPERLINK("https://www.oursportscentral.com/services/releases/indy-blanks-san-antonio-fc-2-0/n-6091456")</f>
        <v>https://www.oursportscentral.com/services/releases/indy-blanks-san-antonio-fc-2-0/n-6091456</v>
      </c>
      <c r="C172" s="2"/>
      <c r="D172" s="2" t="s">
        <v>24</v>
      </c>
      <c r="E172" s="5">
        <v>45420.791666666657</v>
      </c>
      <c r="F172" s="2" t="s">
        <v>1425</v>
      </c>
      <c r="G172" s="2">
        <v>40402</v>
      </c>
      <c r="H172" s="2">
        <v>0</v>
      </c>
      <c r="I172" s="2">
        <v>0</v>
      </c>
      <c r="J172" s="2">
        <v>0</v>
      </c>
      <c r="K172" s="2" t="s">
        <v>25</v>
      </c>
      <c r="L172" s="4">
        <v>373.72</v>
      </c>
      <c r="M172" s="2"/>
      <c r="N172" t="s">
        <v>4457</v>
      </c>
    </row>
    <row r="173" spans="1:14" ht="409.6" x14ac:dyDescent="0.3">
      <c r="A173" s="2" t="s">
        <v>1423</v>
      </c>
      <c r="B173" s="2" t="str">
        <f>HYPERLINK("https://www.newsbreak.com/indianapolis-in/3431674459042-indy-eleven-fans-hope-team-honors-human-remains-found-at-eleven-park-site")</f>
        <v>https://www.newsbreak.com/indianapolis-in/3431674459042-indy-eleven-fans-hope-team-honors-human-remains-found-at-eleven-park-site</v>
      </c>
      <c r="C173" s="2"/>
      <c r="D173" s="2" t="s">
        <v>360</v>
      </c>
      <c r="E173" s="5">
        <v>45420.781226851846</v>
      </c>
      <c r="F173" s="2" t="s">
        <v>855</v>
      </c>
      <c r="G173" s="2">
        <v>18777858</v>
      </c>
      <c r="H173" s="2">
        <v>0</v>
      </c>
      <c r="I173" s="2">
        <v>0</v>
      </c>
      <c r="J173" s="2">
        <v>0</v>
      </c>
      <c r="K173" s="2" t="s">
        <v>25</v>
      </c>
      <c r="L173" s="4">
        <v>173695.19</v>
      </c>
      <c r="M173" s="2"/>
      <c r="N173" t="s">
        <v>4459</v>
      </c>
    </row>
    <row r="174" spans="1:14" ht="409.6" x14ac:dyDescent="0.3">
      <c r="A174" s="2" t="s">
        <v>1423</v>
      </c>
      <c r="B174" s="2" t="str">
        <f>HYPERLINK("https://www.wrtv.com/news/local-news/indy-eleven-fans-hope-team-honors-human-remains-found-at-eleven-park-site")</f>
        <v>https://www.wrtv.com/news/local-news/indy-eleven-fans-hope-team-honors-human-remains-found-at-eleven-park-site</v>
      </c>
      <c r="C174" s="2" t="s">
        <v>1157</v>
      </c>
      <c r="D174" s="2" t="s">
        <v>725</v>
      </c>
      <c r="E174" s="5">
        <v>45420.772546296299</v>
      </c>
      <c r="F174" s="2" t="s">
        <v>1426</v>
      </c>
      <c r="G174" s="2">
        <v>290626</v>
      </c>
      <c r="H174" s="2">
        <v>0</v>
      </c>
      <c r="I174" s="2">
        <v>0</v>
      </c>
      <c r="J174" s="2">
        <v>0</v>
      </c>
      <c r="K174" s="2" t="s">
        <v>25</v>
      </c>
      <c r="L174" s="4">
        <v>2688.29</v>
      </c>
      <c r="M174" s="2"/>
      <c r="N174" t="s">
        <v>4458</v>
      </c>
    </row>
    <row r="175" spans="1:14" ht="409.6" x14ac:dyDescent="0.3">
      <c r="A175" s="2" t="s">
        <v>1427</v>
      </c>
      <c r="B175" s="2" t="str">
        <f>HYPERLINK("https://ca.news.yahoo.com/indy-eleven-announces-co-owner-220606376.html")</f>
        <v>https://ca.news.yahoo.com/indy-eleven-announces-co-owner-220606376.html</v>
      </c>
      <c r="C175" s="2"/>
      <c r="D175" s="2" t="s">
        <v>433</v>
      </c>
      <c r="E175" s="5">
        <v>45420.764016203713</v>
      </c>
      <c r="F175" s="2" t="s">
        <v>1428</v>
      </c>
      <c r="G175" s="2">
        <v>1854860</v>
      </c>
      <c r="H175" s="2">
        <v>0</v>
      </c>
      <c r="I175" s="2">
        <v>0</v>
      </c>
      <c r="J175" s="2">
        <v>0</v>
      </c>
      <c r="K175" s="2" t="s">
        <v>31</v>
      </c>
      <c r="L175" s="4">
        <v>17157.46</v>
      </c>
      <c r="M175" s="2"/>
      <c r="N175" t="s">
        <v>4459</v>
      </c>
    </row>
    <row r="176" spans="1:14" ht="409.6" x14ac:dyDescent="0.3">
      <c r="A176" s="2" t="s">
        <v>1429</v>
      </c>
      <c r="B176" s="2" t="str">
        <f>HYPERLINK("https://1075thefan.com/314542/fort-wayne-billionaire-joins-indy-eleven-ownership-group/")</f>
        <v>https://1075thefan.com/314542/fort-wayne-billionaire-joins-indy-eleven-ownership-group/</v>
      </c>
      <c r="C176" s="2" t="s">
        <v>1430</v>
      </c>
      <c r="D176" s="2" t="s">
        <v>75</v>
      </c>
      <c r="E176" s="5">
        <v>45420.653009259258</v>
      </c>
      <c r="F176" s="2" t="s">
        <v>1431</v>
      </c>
      <c r="G176" s="2">
        <v>208881</v>
      </c>
      <c r="H176" s="2">
        <v>0</v>
      </c>
      <c r="I176" s="2">
        <v>0</v>
      </c>
      <c r="J176" s="2">
        <v>5</v>
      </c>
      <c r="K176" s="2" t="s">
        <v>25</v>
      </c>
      <c r="L176" s="4">
        <v>1932.15</v>
      </c>
      <c r="M176" s="2"/>
      <c r="N176" t="s">
        <v>4458</v>
      </c>
    </row>
    <row r="177" spans="1:14" ht="409.6" x14ac:dyDescent="0.3">
      <c r="A177" s="2" t="s">
        <v>1429</v>
      </c>
      <c r="B177" s="2" t="str">
        <f>HYPERLINK("https://wibc.com/336397/fort-wayne-billionaire-joins-indy-eleven-ownership-group/")</f>
        <v>https://wibc.com/336397/fort-wayne-billionaire-joins-indy-eleven-ownership-group/</v>
      </c>
      <c r="C177" s="2" t="s">
        <v>1430</v>
      </c>
      <c r="D177" s="2" t="s">
        <v>322</v>
      </c>
      <c r="E177" s="5">
        <v>45420.605682870373</v>
      </c>
      <c r="F177" s="2" t="s">
        <v>1431</v>
      </c>
      <c r="G177" s="2">
        <v>42815</v>
      </c>
      <c r="H177" s="2">
        <v>0</v>
      </c>
      <c r="I177" s="2">
        <v>0</v>
      </c>
      <c r="J177" s="2">
        <v>78</v>
      </c>
      <c r="K177" s="2" t="s">
        <v>31</v>
      </c>
      <c r="L177" s="4">
        <v>396.04</v>
      </c>
      <c r="M177" s="2"/>
      <c r="N177" t="s">
        <v>4458</v>
      </c>
    </row>
    <row r="178" spans="1:14" ht="409.6" x14ac:dyDescent="0.3">
      <c r="A178" s="2" t="s">
        <v>1432</v>
      </c>
      <c r="B178" s="2" t="str">
        <f>HYPERLINK("https://newsbeezer.com/hoosier-billionaire-joins-indy-eleven-ownership-group/")</f>
        <v>https://newsbeezer.com/hoosier-billionaire-joins-indy-eleven-ownership-group/</v>
      </c>
      <c r="C178" s="2"/>
      <c r="D178" s="2" t="s">
        <v>1433</v>
      </c>
      <c r="E178" s="5">
        <v>45420.597453703696</v>
      </c>
      <c r="F178" s="2" t="s">
        <v>1434</v>
      </c>
      <c r="G178" s="2">
        <v>141</v>
      </c>
      <c r="H178" s="2">
        <v>0</v>
      </c>
      <c r="I178" s="2">
        <v>0</v>
      </c>
      <c r="J178" s="2">
        <v>0</v>
      </c>
      <c r="K178" s="2" t="s">
        <v>25</v>
      </c>
      <c r="L178" s="4">
        <v>1.3</v>
      </c>
      <c r="M178" s="2"/>
      <c r="N178" t="s">
        <v>4459</v>
      </c>
    </row>
    <row r="179" spans="1:14" ht="409.6" x14ac:dyDescent="0.3">
      <c r="A179" s="2" t="s">
        <v>1435</v>
      </c>
      <c r="B179" s="2" t="str">
        <f>HYPERLINK("https://www.wane.com/news/indy-eleven-group-adds-fort-wayne-entrepreneur-as-co-owner-investor/")</f>
        <v>https://www.wane.com/news/indy-eleven-group-adds-fort-wayne-entrepreneur-as-co-owner-investor/</v>
      </c>
      <c r="C179" s="2" t="s">
        <v>964</v>
      </c>
      <c r="D179" s="2" t="s">
        <v>1130</v>
      </c>
      <c r="E179" s="5">
        <v>45420.581631944442</v>
      </c>
      <c r="F179" s="2" t="s">
        <v>1436</v>
      </c>
      <c r="G179" s="2">
        <v>532355</v>
      </c>
      <c r="H179" s="2">
        <v>0</v>
      </c>
      <c r="I179" s="2">
        <v>0</v>
      </c>
      <c r="J179" s="2">
        <v>357</v>
      </c>
      <c r="K179" s="2" t="s">
        <v>25</v>
      </c>
      <c r="L179" s="4">
        <v>4924.28</v>
      </c>
      <c r="M179" s="2"/>
      <c r="N179" t="s">
        <v>4458</v>
      </c>
    </row>
    <row r="180" spans="1:14" ht="369.6" x14ac:dyDescent="0.3">
      <c r="A180" s="2" t="s">
        <v>1437</v>
      </c>
      <c r="B180" s="2" t="str">
        <f>HYPERLINK("https://headtopics.com/us/billionaire-businessman-chuck-surack-joins-indy-eleven-52217568")</f>
        <v>https://headtopics.com/us/billionaire-businessman-chuck-surack-joins-indy-eleven-52217568</v>
      </c>
      <c r="C180" s="2"/>
      <c r="D180" s="2" t="s">
        <v>283</v>
      </c>
      <c r="E180" s="5">
        <v>45420.548611111109</v>
      </c>
      <c r="F180" s="2" t="s">
        <v>1438</v>
      </c>
      <c r="G180" s="2">
        <v>55248</v>
      </c>
      <c r="H180" s="2">
        <v>0</v>
      </c>
      <c r="I180" s="2">
        <v>0</v>
      </c>
      <c r="J180" s="2">
        <v>0</v>
      </c>
      <c r="K180" s="2" t="s">
        <v>47</v>
      </c>
      <c r="L180" s="4">
        <v>511.04</v>
      </c>
      <c r="M180" s="2"/>
      <c r="N180" t="s">
        <v>4459</v>
      </c>
    </row>
    <row r="181" spans="1:14" ht="409.6" x14ac:dyDescent="0.3">
      <c r="A181" s="2" t="s">
        <v>1439</v>
      </c>
      <c r="B181" s="2" t="str">
        <f>HYPERLINK("https://headtopics.com/us/indiana-billionaire-joins-indy-eleven-ownership-group-in-52217201")</f>
        <v>https://headtopics.com/us/indiana-billionaire-joins-indy-eleven-ownership-group-in-52217201</v>
      </c>
      <c r="C181" s="2"/>
      <c r="D181" s="2" t="s">
        <v>283</v>
      </c>
      <c r="E181" s="5">
        <v>45420.544444444437</v>
      </c>
      <c r="F181" s="2" t="s">
        <v>1440</v>
      </c>
      <c r="G181" s="2">
        <v>55248</v>
      </c>
      <c r="H181" s="2">
        <v>0</v>
      </c>
      <c r="I181" s="2">
        <v>0</v>
      </c>
      <c r="J181" s="2">
        <v>0</v>
      </c>
      <c r="K181" s="2" t="s">
        <v>25</v>
      </c>
      <c r="L181" s="4">
        <v>511.04</v>
      </c>
      <c r="M181" s="2"/>
      <c r="N181" t="s">
        <v>4459</v>
      </c>
    </row>
    <row r="182" spans="1:14" ht="277.2" x14ac:dyDescent="0.3">
      <c r="A182" s="2" t="s">
        <v>1439</v>
      </c>
      <c r="B182" s="2" t="str">
        <f>HYPERLINK("https://www.wthr.com/article/sports/local-sports/indiana-billionaire-joins-indy-eleven-ownership-group-chuck-surack-soccer-mls-indianapolis-mayor-joe-hogsett-park/531-2e1fdca6-80d9-47d6-ace4-3c861b26f992")</f>
        <v>https://www.wthr.com/article/sports/local-sports/indiana-billionaire-joins-indy-eleven-ownership-group-chuck-surack-soccer-mls-indianapolis-mayor-joe-hogsett-park/531-2e1fdca6-80d9-47d6-ace4-3c861b26f992</v>
      </c>
      <c r="C182" s="2"/>
      <c r="D182" s="2" t="s">
        <v>130</v>
      </c>
      <c r="E182" s="5">
        <v>45420.530428240738</v>
      </c>
      <c r="F182" s="2" t="s">
        <v>1441</v>
      </c>
      <c r="G182" s="2">
        <v>1222012</v>
      </c>
      <c r="H182" s="2">
        <v>2</v>
      </c>
      <c r="I182" s="2">
        <v>27864</v>
      </c>
      <c r="J182" s="2">
        <v>787</v>
      </c>
      <c r="K182" s="2" t="s">
        <v>25</v>
      </c>
      <c r="L182" s="4">
        <v>11303.61</v>
      </c>
      <c r="M182" s="2"/>
      <c r="N182" t="s">
        <v>4458</v>
      </c>
    </row>
    <row r="183" spans="1:14" ht="356.4" x14ac:dyDescent="0.3">
      <c r="A183" s="2" t="s">
        <v>1435</v>
      </c>
      <c r="B183" s="2" t="str">
        <f>HYPERLINK("https://cbs4indy.com/indiana-news/indy-eleven-group-adds-fort-wayne-entrepreneur-as-co-owner-investor/")</f>
        <v>https://cbs4indy.com/indiana-news/indy-eleven-group-adds-fort-wayne-entrepreneur-as-co-owner-investor/</v>
      </c>
      <c r="C183" s="2" t="s">
        <v>964</v>
      </c>
      <c r="D183" s="2" t="s">
        <v>146</v>
      </c>
      <c r="E183" s="5">
        <v>45420.52925925926</v>
      </c>
      <c r="F183" s="2" t="s">
        <v>1442</v>
      </c>
      <c r="G183" s="2">
        <v>153722</v>
      </c>
      <c r="H183" s="2">
        <v>0</v>
      </c>
      <c r="I183" s="2">
        <v>0</v>
      </c>
      <c r="J183" s="2">
        <v>0</v>
      </c>
      <c r="K183" s="2" t="s">
        <v>25</v>
      </c>
      <c r="L183" s="4">
        <v>1421.93</v>
      </c>
      <c r="M183" s="2"/>
      <c r="N183" t="s">
        <v>4458</v>
      </c>
    </row>
    <row r="184" spans="1:14" ht="409.6" x14ac:dyDescent="0.3">
      <c r="A184" s="2" t="s">
        <v>1443</v>
      </c>
      <c r="B184" s="2" t="str">
        <f>HYPERLINK("https://www.wrtv.com/sports/billionaire-businessman-chuck-surack-joins-indy-eleven-ownership-group-adding-to-teams-battle-with-city")</f>
        <v>https://www.wrtv.com/sports/billionaire-businessman-chuck-surack-joins-indy-eleven-ownership-group-adding-to-teams-battle-with-city</v>
      </c>
      <c r="C184" s="2" t="s">
        <v>1444</v>
      </c>
      <c r="D184" s="2" t="s">
        <v>725</v>
      </c>
      <c r="E184" s="5">
        <v>45420.525462962964</v>
      </c>
      <c r="F184" s="2" t="s">
        <v>1445</v>
      </c>
      <c r="G184" s="2">
        <v>290626</v>
      </c>
      <c r="H184" s="2">
        <v>0</v>
      </c>
      <c r="I184" s="2">
        <v>0</v>
      </c>
      <c r="J184" s="2">
        <v>46</v>
      </c>
      <c r="K184" s="2" t="s">
        <v>25</v>
      </c>
      <c r="L184" s="4">
        <v>2688.29</v>
      </c>
      <c r="M184" s="2"/>
      <c r="N184" t="s">
        <v>4458</v>
      </c>
    </row>
    <row r="185" spans="1:14" ht="343.2" x14ac:dyDescent="0.3">
      <c r="A185" s="2" t="s">
        <v>1435</v>
      </c>
      <c r="B185" s="2" t="str">
        <f>HYPERLINK("https://fox59.com/indiana-news/indy-eleven-group-adds-fort-wayne-entrepreneur-as-co-owner-investor/")</f>
        <v>https://fox59.com/indiana-news/indy-eleven-group-adds-fort-wayne-entrepreneur-as-co-owner-investor/</v>
      </c>
      <c r="C185" s="2" t="s">
        <v>964</v>
      </c>
      <c r="D185" s="2" t="s">
        <v>147</v>
      </c>
      <c r="E185" s="5">
        <v>45420.522465277783</v>
      </c>
      <c r="F185" s="2" t="s">
        <v>1446</v>
      </c>
      <c r="G185" s="2">
        <v>1351925</v>
      </c>
      <c r="H185" s="2">
        <v>1</v>
      </c>
      <c r="I185" s="2">
        <v>544</v>
      </c>
      <c r="J185" s="2">
        <v>85</v>
      </c>
      <c r="K185" s="2" t="s">
        <v>25</v>
      </c>
      <c r="L185" s="4">
        <v>12505.31</v>
      </c>
      <c r="M185" s="2"/>
      <c r="N185" t="s">
        <v>4458</v>
      </c>
    </row>
    <row r="186" spans="1:14" ht="409.6" x14ac:dyDescent="0.3">
      <c r="A186" s="2" t="s">
        <v>1447</v>
      </c>
      <c r="B186" s="2" t="str">
        <f>HYPERLINK("https://sports.yahoo.com/fort-wayne-billionaire-joins-eleven-160229934.html")</f>
        <v>https://sports.yahoo.com/fort-wayne-billionaire-joins-eleven-160229934.html</v>
      </c>
      <c r="C186" s="2" t="s">
        <v>1023</v>
      </c>
      <c r="D186" s="2" t="s">
        <v>137</v>
      </c>
      <c r="E186" s="5">
        <v>45420.50172453704</v>
      </c>
      <c r="F186" s="2" t="s">
        <v>1448</v>
      </c>
      <c r="G186" s="2">
        <v>23172409</v>
      </c>
      <c r="H186" s="2">
        <v>0</v>
      </c>
      <c r="I186" s="2">
        <v>0</v>
      </c>
      <c r="J186" s="2">
        <v>1</v>
      </c>
      <c r="K186" s="2" t="s">
        <v>31</v>
      </c>
      <c r="L186" s="4">
        <v>214344.78</v>
      </c>
      <c r="M186" s="2"/>
      <c r="N186" t="s">
        <v>4457</v>
      </c>
    </row>
    <row r="187" spans="1:14" ht="409.6" x14ac:dyDescent="0.3">
      <c r="A187" s="2" t="s">
        <v>1449</v>
      </c>
      <c r="B187" s="2" t="str">
        <f>HYPERLINK("https://www.indystar.com/story/news/investigations/2024/05/08/fort-wayne-billionaire-joins-eleven-park-ownership-group/73612134007/")</f>
        <v>https://www.indystar.com/story/news/investigations/2024/05/08/fort-wayne-billionaire-joins-eleven-park-ownership-group/73612134007/</v>
      </c>
      <c r="C187" s="2"/>
      <c r="D187" s="2" t="s">
        <v>321</v>
      </c>
      <c r="E187" s="5">
        <v>45420.50172453704</v>
      </c>
      <c r="F187" s="2" t="s">
        <v>1450</v>
      </c>
      <c r="G187" s="2">
        <v>3061566</v>
      </c>
      <c r="H187" s="2">
        <v>4</v>
      </c>
      <c r="I187" s="2">
        <v>26843</v>
      </c>
      <c r="J187" s="2">
        <v>96</v>
      </c>
      <c r="K187" s="2" t="s">
        <v>31</v>
      </c>
      <c r="L187" s="4">
        <v>28319.49</v>
      </c>
      <c r="M187" s="2"/>
      <c r="N187" t="s">
        <v>4458</v>
      </c>
    </row>
    <row r="188" spans="1:14" ht="409.6" x14ac:dyDescent="0.3">
      <c r="A188" s="2" t="s">
        <v>1451</v>
      </c>
      <c r="B188" s="2" t="str">
        <f>HYPERLINK("https://www.indyeleven.com/news/2024/05/08/indiana-billionaire-joins-indy-eleven-ownership-group/")</f>
        <v>https://www.indyeleven.com/news/2024/05/08/indiana-billionaire-joins-indy-eleven-ownership-group/</v>
      </c>
      <c r="C188" s="2"/>
      <c r="D188" s="2" t="s">
        <v>893</v>
      </c>
      <c r="E188" s="5">
        <v>45420.5</v>
      </c>
      <c r="F188" s="2" t="s">
        <v>1452</v>
      </c>
      <c r="G188" s="2">
        <v>6018</v>
      </c>
      <c r="H188" s="2">
        <v>2</v>
      </c>
      <c r="I188" s="2">
        <v>17709</v>
      </c>
      <c r="J188" s="2">
        <v>98</v>
      </c>
      <c r="K188" s="2" t="s">
        <v>25</v>
      </c>
      <c r="L188" s="4">
        <v>55.67</v>
      </c>
      <c r="M188" s="2"/>
      <c r="N188" t="s">
        <v>4458</v>
      </c>
    </row>
    <row r="189" spans="1:14" ht="409.6" x14ac:dyDescent="0.3">
      <c r="A189" s="2" t="s">
        <v>1451</v>
      </c>
      <c r="B189" s="2" t="str">
        <f>HYPERLINK("https://www.oursportscentral.com/services/releases/indiana-billionaire-joins-indy-eleven-ownership-group/n-6091228")</f>
        <v>https://www.oursportscentral.com/services/releases/indiana-billionaire-joins-indy-eleven-ownership-group/n-6091228</v>
      </c>
      <c r="C189" s="2"/>
      <c r="D189" s="2" t="s">
        <v>24</v>
      </c>
      <c r="E189" s="5">
        <v>45420.465277777781</v>
      </c>
      <c r="F189" s="2" t="s">
        <v>1453</v>
      </c>
      <c r="G189" s="2">
        <v>40402</v>
      </c>
      <c r="H189" s="2">
        <v>0</v>
      </c>
      <c r="I189" s="2">
        <v>0</v>
      </c>
      <c r="J189" s="2">
        <v>0</v>
      </c>
      <c r="K189" s="2" t="s">
        <v>25</v>
      </c>
      <c r="L189" s="4">
        <v>373.72</v>
      </c>
      <c r="M189" s="2"/>
      <c r="N189" t="s">
        <v>4457</v>
      </c>
    </row>
    <row r="190" spans="1:14" ht="409.6" x14ac:dyDescent="0.3">
      <c r="A190" s="2" t="s">
        <v>34</v>
      </c>
      <c r="B190" s="2" t="str">
        <f>HYPERLINK("https://www.heraldbulletin.com/sports/coming-up/article_dd2a7520-0cb0-11ef-bbdf-6f92d3d13fad.html")</f>
        <v>https://www.heraldbulletin.com/sports/coming-up/article_dd2a7520-0cb0-11ef-bbdf-6f92d3d13fad.html</v>
      </c>
      <c r="C190" s="2"/>
      <c r="D190" s="2" t="s">
        <v>35</v>
      </c>
      <c r="E190" s="5">
        <v>45420.299270833333</v>
      </c>
      <c r="F190" s="2" t="s">
        <v>1456</v>
      </c>
      <c r="G190" s="2">
        <v>50260</v>
      </c>
      <c r="H190" s="2">
        <v>0</v>
      </c>
      <c r="I190" s="2">
        <v>0</v>
      </c>
      <c r="J190" s="2">
        <v>17</v>
      </c>
      <c r="K190" s="2" t="s">
        <v>25</v>
      </c>
      <c r="L190" s="4">
        <v>464.9</v>
      </c>
      <c r="M190" s="2"/>
      <c r="N190" t="s">
        <v>4458</v>
      </c>
    </row>
    <row r="191" spans="1:14" ht="409.6" x14ac:dyDescent="0.3">
      <c r="A191" s="2" t="s">
        <v>1458</v>
      </c>
      <c r="B191" s="2" t="str">
        <f>HYPERLINK("https://www.sportsbusinessjournal.com/Articles/2024/05/08/indy-eleven-ownership-chuck-surack")</f>
        <v>https://www.sportsbusinessjournal.com/Articles/2024/05/08/indy-eleven-ownership-chuck-surack</v>
      </c>
      <c r="C191" s="2"/>
      <c r="D191" s="2" t="s">
        <v>723</v>
      </c>
      <c r="E191" s="5">
        <v>45420</v>
      </c>
      <c r="F191" s="2" t="s">
        <v>1459</v>
      </c>
      <c r="G191" s="2">
        <v>344651</v>
      </c>
      <c r="H191" s="2">
        <v>0</v>
      </c>
      <c r="I191" s="2">
        <v>0</v>
      </c>
      <c r="J191" s="2">
        <v>0</v>
      </c>
      <c r="K191" s="2" t="s">
        <v>25</v>
      </c>
      <c r="L191" s="4">
        <v>3188.02</v>
      </c>
      <c r="M191" s="2"/>
      <c r="N191" t="s">
        <v>4457</v>
      </c>
    </row>
    <row r="192" spans="1:14" ht="343.2" x14ac:dyDescent="0.3">
      <c r="A192" s="2" t="s">
        <v>1460</v>
      </c>
      <c r="B192" s="2" t="str">
        <f>HYPERLINK("https://www.wishtv.com/news/local-news/some-indy-eleven-fans-want-human-remains-removed-from-eleven-park/")</f>
        <v>https://www.wishtv.com/news/local-news/some-indy-eleven-fans-want-human-remains-removed-from-eleven-park/</v>
      </c>
      <c r="C192" s="2" t="s">
        <v>107</v>
      </c>
      <c r="D192" s="2" t="s">
        <v>38</v>
      </c>
      <c r="E192" s="5">
        <v>45419.575358796297</v>
      </c>
      <c r="F192" s="2" t="s">
        <v>1461</v>
      </c>
      <c r="G192" s="2">
        <v>568116</v>
      </c>
      <c r="H192" s="2">
        <v>0</v>
      </c>
      <c r="I192" s="2">
        <v>0</v>
      </c>
      <c r="J192" s="2">
        <v>1</v>
      </c>
      <c r="K192" s="2" t="s">
        <v>31</v>
      </c>
      <c r="L192" s="4">
        <v>5255.07</v>
      </c>
      <c r="M192" s="2"/>
      <c r="N192" t="s">
        <v>4458</v>
      </c>
    </row>
    <row r="193" spans="1:14" ht="409.6" x14ac:dyDescent="0.3">
      <c r="A193" s="2" t="s">
        <v>1462</v>
      </c>
      <c r="B193" s="2" t="str">
        <f>HYPERLINK("https://www.oursportscentral.com/services/releases/blake-earns-fourth-team-of-the-week-honor/n-6090762")</f>
        <v>https://www.oursportscentral.com/services/releases/blake-earns-fourth-team-of-the-week-honor/n-6090762</v>
      </c>
      <c r="C193" s="2"/>
      <c r="D193" s="2" t="s">
        <v>24</v>
      </c>
      <c r="E193" s="5">
        <v>45419.481249999997</v>
      </c>
      <c r="F193" s="2" t="s">
        <v>1463</v>
      </c>
      <c r="G193" s="2">
        <v>40402</v>
      </c>
      <c r="H193" s="2">
        <v>0</v>
      </c>
      <c r="I193" s="2">
        <v>0</v>
      </c>
      <c r="J193" s="2">
        <v>0</v>
      </c>
      <c r="K193" s="2" t="s">
        <v>25</v>
      </c>
      <c r="L193" s="4">
        <v>373.72</v>
      </c>
      <c r="M193" s="2"/>
      <c r="N193" t="s">
        <v>4457</v>
      </c>
    </row>
    <row r="194" spans="1:14" ht="145.19999999999999" x14ac:dyDescent="0.3">
      <c r="A194" s="2" t="s">
        <v>1465</v>
      </c>
      <c r="B194" s="2" t="str">
        <f>HYPERLINK("https://www.wishtv.com/contests/win-tickets-to-see-the-indy-eleven-play-august-31/")</f>
        <v>https://www.wishtv.com/contests/win-tickets-to-see-the-indy-eleven-play-august-31/</v>
      </c>
      <c r="C194" s="2" t="s">
        <v>55</v>
      </c>
      <c r="D194" s="2" t="s">
        <v>38</v>
      </c>
      <c r="E194" s="5">
        <v>45419.333333333343</v>
      </c>
      <c r="F194" s="2" t="s">
        <v>1466</v>
      </c>
      <c r="G194" s="2">
        <v>568116</v>
      </c>
      <c r="H194" s="2"/>
      <c r="I194" s="2"/>
      <c r="J194" s="2"/>
      <c r="K194" s="2" t="s">
        <v>25</v>
      </c>
      <c r="L194" s="4">
        <v>5255.07</v>
      </c>
      <c r="M194" s="2"/>
      <c r="N194" t="s">
        <v>4458</v>
      </c>
    </row>
    <row r="195" spans="1:14" ht="409.6" x14ac:dyDescent="0.3">
      <c r="A195" s="2" t="s">
        <v>34</v>
      </c>
      <c r="B195" s="2" t="str">
        <f>HYPERLINK("https://www.heraldbulletin.com/sports/coming-up/article_e339e9c2-0bd5-11ef-9ed2-679680b37c70.html")</f>
        <v>https://www.heraldbulletin.com/sports/coming-up/article_e339e9c2-0bd5-11ef-9ed2-679680b37c70.html</v>
      </c>
      <c r="C195" s="2"/>
      <c r="D195" s="2" t="s">
        <v>35</v>
      </c>
      <c r="E195" s="5">
        <v>45419.302743055552</v>
      </c>
      <c r="F195" s="2" t="s">
        <v>1456</v>
      </c>
      <c r="G195" s="2">
        <v>50260</v>
      </c>
      <c r="H195" s="2">
        <v>0</v>
      </c>
      <c r="I195" s="2">
        <v>0</v>
      </c>
      <c r="J195" s="2">
        <v>14</v>
      </c>
      <c r="K195" s="2" t="s">
        <v>25</v>
      </c>
      <c r="L195" s="4">
        <v>464.9</v>
      </c>
      <c r="M195" s="2"/>
      <c r="N195" t="s">
        <v>4458</v>
      </c>
    </row>
    <row r="196" spans="1:14" ht="290.39999999999998" x14ac:dyDescent="0.3">
      <c r="A196" s="2" t="s">
        <v>1468</v>
      </c>
      <c r="B196" s="2" t="str">
        <f>HYPERLINK("https://mirrorindy.org/eleven-park-indianapolis-soccer-greenlawn-cemetery-brickyard-battalion/")</f>
        <v>https://mirrorindy.org/eleven-park-indianapolis-soccer-greenlawn-cemetery-brickyard-battalion/</v>
      </c>
      <c r="C196" s="2" t="s">
        <v>107</v>
      </c>
      <c r="D196" s="2" t="s">
        <v>132</v>
      </c>
      <c r="E196" s="5">
        <v>45418.769861111112</v>
      </c>
      <c r="F196" s="2" t="s">
        <v>1469</v>
      </c>
      <c r="G196" s="2">
        <v>29972</v>
      </c>
      <c r="H196" s="2">
        <v>0</v>
      </c>
      <c r="I196" s="2">
        <v>0</v>
      </c>
      <c r="J196" s="2">
        <v>0</v>
      </c>
      <c r="K196" s="2" t="s">
        <v>31</v>
      </c>
      <c r="L196" s="4">
        <v>277.24</v>
      </c>
      <c r="M196" s="2"/>
      <c r="N196" t="s">
        <v>4458</v>
      </c>
    </row>
    <row r="197" spans="1:14" ht="409.6" x14ac:dyDescent="0.3">
      <c r="A197" s="2" t="s">
        <v>1472</v>
      </c>
      <c r="B197" s="2" t="str">
        <f>HYPERLINK("https://headtopics.com/us/san-antonio-fc-heads-to-indy-eleven-for-u-s-open-cup-52090383")</f>
        <v>https://headtopics.com/us/san-antonio-fc-heads-to-indy-eleven-for-u-s-open-cup-52090383</v>
      </c>
      <c r="C197" s="2"/>
      <c r="D197" s="2" t="s">
        <v>283</v>
      </c>
      <c r="E197" s="5">
        <v>45418.657638888893</v>
      </c>
      <c r="F197" s="2" t="s">
        <v>1473</v>
      </c>
      <c r="G197" s="2">
        <v>55248</v>
      </c>
      <c r="H197" s="2">
        <v>0</v>
      </c>
      <c r="I197" s="2">
        <v>0</v>
      </c>
      <c r="J197" s="2">
        <v>0</v>
      </c>
      <c r="K197" s="2" t="s">
        <v>31</v>
      </c>
      <c r="L197" s="4">
        <v>511.04</v>
      </c>
      <c r="M197" s="2"/>
      <c r="N197" t="s">
        <v>4459</v>
      </c>
    </row>
    <row r="198" spans="1:14" ht="237.6" x14ac:dyDescent="0.3">
      <c r="A198" s="2" t="s">
        <v>1474</v>
      </c>
      <c r="B198" s="2" t="str">
        <f>HYPERLINK("https://www.expressnews.com/sports/article/san-antonio-fc-heads-indy-eleven-u-s-open-cup-19442136.php")</f>
        <v>https://www.expressnews.com/sports/article/san-antonio-fc-heads-indy-eleven-u-s-open-cup-19442136.php</v>
      </c>
      <c r="C198" s="2" t="s">
        <v>993</v>
      </c>
      <c r="D198" s="2" t="s">
        <v>994</v>
      </c>
      <c r="E198" s="5">
        <v>45418.644560185188</v>
      </c>
      <c r="F198" s="2" t="s">
        <v>1475</v>
      </c>
      <c r="G198" s="2">
        <v>1305534</v>
      </c>
      <c r="H198" s="2">
        <v>1</v>
      </c>
      <c r="I198" s="2">
        <v>1083</v>
      </c>
      <c r="J198" s="2">
        <v>14</v>
      </c>
      <c r="K198" s="2" t="s">
        <v>25</v>
      </c>
      <c r="L198" s="4">
        <v>12076.19</v>
      </c>
      <c r="M198" s="2"/>
      <c r="N198" t="s">
        <v>4457</v>
      </c>
    </row>
    <row r="199" spans="1:14" ht="409.6" x14ac:dyDescent="0.3">
      <c r="A199" s="2" t="s">
        <v>1476</v>
      </c>
      <c r="B199" s="2" t="str">
        <f>HYPERLINK("https://headtopics.com/us/indy-eleven-development-group-make-case-to-move-forward-52089203")</f>
        <v>https://headtopics.com/us/indy-eleven-development-group-make-case-to-move-forward-52089203</v>
      </c>
      <c r="C199" s="2"/>
      <c r="D199" s="2" t="s">
        <v>283</v>
      </c>
      <c r="E199" s="5">
        <v>45418.636111111111</v>
      </c>
      <c r="F199" s="2" t="s">
        <v>1477</v>
      </c>
      <c r="G199" s="2">
        <v>55248</v>
      </c>
      <c r="H199" s="2">
        <v>0</v>
      </c>
      <c r="I199" s="2">
        <v>0</v>
      </c>
      <c r="J199" s="2">
        <v>0</v>
      </c>
      <c r="K199" s="2" t="s">
        <v>31</v>
      </c>
      <c r="L199" s="4">
        <v>511.04</v>
      </c>
      <c r="M199" s="2"/>
      <c r="N199" t="s">
        <v>4459</v>
      </c>
    </row>
    <row r="200" spans="1:14" ht="409.6" x14ac:dyDescent="0.3">
      <c r="A200" s="2" t="s">
        <v>1478</v>
      </c>
      <c r="B200" s="2" t="str">
        <f>HYPERLINK("https://www.oursportscentral.com/services/releases/indianas-team-announces-indy-eleven-academy/n-6090363")</f>
        <v>https://www.oursportscentral.com/services/releases/indianas-team-announces-indy-eleven-academy/n-6090363</v>
      </c>
      <c r="C200" s="2"/>
      <c r="D200" s="2" t="s">
        <v>24</v>
      </c>
      <c r="E200" s="5">
        <v>45418.470138888893</v>
      </c>
      <c r="F200" s="2" t="s">
        <v>1479</v>
      </c>
      <c r="G200" s="2">
        <v>40402</v>
      </c>
      <c r="H200" s="2">
        <v>0</v>
      </c>
      <c r="I200" s="2">
        <v>0</v>
      </c>
      <c r="J200" s="2">
        <v>0</v>
      </c>
      <c r="K200" s="2" t="s">
        <v>25</v>
      </c>
      <c r="L200" s="4">
        <v>373.72</v>
      </c>
      <c r="M200" s="2"/>
      <c r="N200" t="s">
        <v>4457</v>
      </c>
    </row>
    <row r="201" spans="1:14" ht="264" x14ac:dyDescent="0.3">
      <c r="A201" s="2" t="s">
        <v>1476</v>
      </c>
      <c r="B201" s="2" t="str">
        <f>HYPERLINK("https://www.wthr.com/article/sports/soccer/indy-eleven/indy-eleven-development-group-make-case-move-forward-stadium-major-league-soccer-bid-expansion-team-indianapolis/531-0a712d75-438c-48a6-888c-3101c84a28f9")</f>
        <v>https://www.wthr.com/article/sports/soccer/indy-eleven/indy-eleven-development-group-make-case-move-forward-stadium-major-league-soccer-bid-expansion-team-indianapolis/531-0a712d75-438c-48a6-888c-3101c84a28f9</v>
      </c>
      <c r="C201" s="2"/>
      <c r="D201" s="2" t="s">
        <v>130</v>
      </c>
      <c r="E201" s="5">
        <v>45418.467453703714</v>
      </c>
      <c r="F201" s="2" t="s">
        <v>1480</v>
      </c>
      <c r="G201" s="2">
        <v>1222012</v>
      </c>
      <c r="H201" s="2">
        <v>0</v>
      </c>
      <c r="I201" s="2">
        <v>0</v>
      </c>
      <c r="J201" s="2">
        <v>0</v>
      </c>
      <c r="K201" s="2" t="s">
        <v>31</v>
      </c>
      <c r="L201" s="4">
        <v>11303.61</v>
      </c>
      <c r="M201" s="2"/>
      <c r="N201" t="s">
        <v>4458</v>
      </c>
    </row>
    <row r="202" spans="1:14" ht="409.6" x14ac:dyDescent="0.3">
      <c r="A202" s="2" t="s">
        <v>1481</v>
      </c>
      <c r="B202" s="2" t="str">
        <f>HYPERLINK("https://wibc.com/playlist/tony-katz-and-the-morning-news-3rd-hr-5-6-24-u-s-halts-ammunition-to-israel-madonna-economics-of-the-may-races-status-of-indy-eleven-and-the-city-of-indianapolis-gm-sales-down-in-china-vp/")</f>
        <v>https://wibc.com/playlist/tony-katz-and-the-morning-news-3rd-hr-5-6-24-u-s-halts-ammunition-to-israel-madonna-economics-of-the-may-races-status-of-indy-eleven-and-the-city-of-indianapolis-gm-sales-down-in-china-vp/</v>
      </c>
      <c r="C202" s="2"/>
      <c r="D202" s="2" t="s">
        <v>322</v>
      </c>
      <c r="E202" s="5">
        <v>45418.39298611111</v>
      </c>
      <c r="F202" s="2" t="s">
        <v>1482</v>
      </c>
      <c r="G202" s="2">
        <v>42815</v>
      </c>
      <c r="H202" s="2">
        <v>0</v>
      </c>
      <c r="I202" s="2">
        <v>0</v>
      </c>
      <c r="J202" s="2">
        <v>0</v>
      </c>
      <c r="K202" s="2" t="s">
        <v>31</v>
      </c>
      <c r="L202" s="4">
        <v>396.04</v>
      </c>
      <c r="M202" s="2"/>
      <c r="N202" t="s">
        <v>4458</v>
      </c>
    </row>
    <row r="203" spans="1:14" ht="66" x14ac:dyDescent="0.3">
      <c r="A203" s="2" t="s">
        <v>1484</v>
      </c>
      <c r="B203" s="2" t="str">
        <f>HYPERLINK("https://www.wishtv.com/contests/win-tickets-to-see-the-indy-eleven-play-at-home-may-25th/")</f>
        <v>https://www.wishtv.com/contests/win-tickets-to-see-the-indy-eleven-play-at-home-may-25th/</v>
      </c>
      <c r="C203" s="2" t="s">
        <v>55</v>
      </c>
      <c r="D203" s="2" t="s">
        <v>38</v>
      </c>
      <c r="E203" s="5">
        <v>45418.333333333343</v>
      </c>
      <c r="F203" s="2"/>
      <c r="G203" s="2">
        <v>568116</v>
      </c>
      <c r="H203" s="2"/>
      <c r="I203" s="2"/>
      <c r="J203" s="2"/>
      <c r="K203" s="2"/>
      <c r="L203" s="4">
        <v>5255.07</v>
      </c>
      <c r="M203" s="2"/>
      <c r="N203" t="s">
        <v>4458</v>
      </c>
    </row>
    <row r="204" spans="1:14" ht="409.2" x14ac:dyDescent="0.3">
      <c r="A204" s="2" t="s">
        <v>144</v>
      </c>
      <c r="B204" s="2" t="str">
        <f>HYPERLINK("https://www.axios.com/newsletters/axios-indianapolis?utm_source=axios-slider&amp;utm_medium=indianapolis")</f>
        <v>https://www.axios.com/newsletters/axios-indianapolis?utm_source=axios-slider&amp;utm_medium=indianapolis</v>
      </c>
      <c r="C204" s="2" t="s">
        <v>356</v>
      </c>
      <c r="D204" s="2" t="s">
        <v>1485</v>
      </c>
      <c r="E204" s="5">
        <v>45418.320034722223</v>
      </c>
      <c r="F204" s="2" t="s">
        <v>1486</v>
      </c>
      <c r="G204" s="2">
        <v>14450483</v>
      </c>
      <c r="H204" s="2">
        <v>0</v>
      </c>
      <c r="I204" s="2">
        <v>0</v>
      </c>
      <c r="J204" s="2">
        <v>201</v>
      </c>
      <c r="K204" s="2" t="s">
        <v>31</v>
      </c>
      <c r="L204" s="4">
        <v>133666.97</v>
      </c>
      <c r="M204" s="2"/>
      <c r="N204" t="s">
        <v>4458</v>
      </c>
    </row>
    <row r="205" spans="1:14" ht="409.6" x14ac:dyDescent="0.3">
      <c r="A205" s="2" t="s">
        <v>34</v>
      </c>
      <c r="B205" s="2" t="str">
        <f>HYPERLINK("https://www.heraldbulletin.com/sports/coming-up/article_5fe30f8a-0b36-11ef-9405-f38807233562.html")</f>
        <v>https://www.heraldbulletin.com/sports/coming-up/article_5fe30f8a-0b36-11ef-9405-f38807233562.html</v>
      </c>
      <c r="C205" s="2"/>
      <c r="D205" s="2" t="s">
        <v>35</v>
      </c>
      <c r="E205" s="5">
        <v>45418.296817129631</v>
      </c>
      <c r="F205" s="2" t="s">
        <v>1456</v>
      </c>
      <c r="G205" s="2">
        <v>50260</v>
      </c>
      <c r="H205" s="2">
        <v>0</v>
      </c>
      <c r="I205" s="2">
        <v>0</v>
      </c>
      <c r="J205" s="2">
        <v>5</v>
      </c>
      <c r="K205" s="2" t="s">
        <v>25</v>
      </c>
      <c r="L205" s="4">
        <v>464.9</v>
      </c>
      <c r="M205" s="2"/>
      <c r="N205" t="s">
        <v>4458</v>
      </c>
    </row>
    <row r="206" spans="1:14" ht="409.6" x14ac:dyDescent="0.3">
      <c r="A206" s="2" t="s">
        <v>1487</v>
      </c>
      <c r="B206" s="2" t="str">
        <f>HYPERLINK("https://newspub.live/midwest/indianapolis-in/how-indys-negotiations-with-keystone-group-broke-down-inside-indiana-business/")</f>
        <v>https://newspub.live/midwest/indianapolis-in/how-indys-negotiations-with-keystone-group-broke-down-inside-indiana-business/</v>
      </c>
      <c r="C206" s="2"/>
      <c r="D206" s="2" t="s">
        <v>56</v>
      </c>
      <c r="E206" s="5">
        <v>45418.12259259259</v>
      </c>
      <c r="F206" s="2" t="s">
        <v>1470</v>
      </c>
      <c r="G206" s="2">
        <v>655</v>
      </c>
      <c r="H206" s="2">
        <v>0</v>
      </c>
      <c r="I206" s="2">
        <v>0</v>
      </c>
      <c r="J206" s="2">
        <v>0</v>
      </c>
      <c r="K206" s="2" t="s">
        <v>47</v>
      </c>
      <c r="L206" s="4">
        <v>6.06</v>
      </c>
      <c r="M206" s="2"/>
      <c r="N206" t="s">
        <v>4457</v>
      </c>
    </row>
    <row r="207" spans="1:14" ht="409.6" x14ac:dyDescent="0.3">
      <c r="A207" s="2" t="s">
        <v>1487</v>
      </c>
      <c r="B207" s="2" t="str">
        <f>HYPERLINK("https://www.insideindianabusiness.com/articles/how-indys-negotiations-with-keystone-group-broke-down")</f>
        <v>https://www.insideindianabusiness.com/articles/how-indys-negotiations-with-keystone-group-broke-down</v>
      </c>
      <c r="C207" s="2" t="s">
        <v>673</v>
      </c>
      <c r="D207" s="2" t="s">
        <v>438</v>
      </c>
      <c r="E207" s="5">
        <v>45418.048136574071</v>
      </c>
      <c r="F207" s="2" t="s">
        <v>1470</v>
      </c>
      <c r="G207" s="2">
        <v>78132</v>
      </c>
      <c r="H207" s="2">
        <v>0</v>
      </c>
      <c r="I207" s="2">
        <v>0</v>
      </c>
      <c r="J207" s="2">
        <v>29</v>
      </c>
      <c r="K207" s="2" t="s">
        <v>47</v>
      </c>
      <c r="L207" s="4">
        <v>722.72</v>
      </c>
      <c r="M207" s="2"/>
      <c r="N207" t="s">
        <v>4458</v>
      </c>
    </row>
    <row r="208" spans="1:14" ht="211.2" x14ac:dyDescent="0.3">
      <c r="A208" s="2" t="s">
        <v>34</v>
      </c>
      <c r="B208" s="2" t="str">
        <f>HYPERLINK("https://www.heraldbulletin.com/sports/coming-up/article_08cb6b34-0a91-11ef-b0ee-132316ec30da.html")</f>
        <v>https://www.heraldbulletin.com/sports/coming-up/article_08cb6b34-0a91-11ef-b0ee-132316ec30da.html</v>
      </c>
      <c r="C208" s="2"/>
      <c r="D208" s="2" t="s">
        <v>35</v>
      </c>
      <c r="E208" s="5">
        <v>45417.300092592603</v>
      </c>
      <c r="F208" s="2" t="s">
        <v>1488</v>
      </c>
      <c r="G208" s="2">
        <v>50260</v>
      </c>
      <c r="H208" s="2">
        <v>0</v>
      </c>
      <c r="I208" s="2">
        <v>0</v>
      </c>
      <c r="J208" s="2">
        <v>1</v>
      </c>
      <c r="K208" s="2" t="s">
        <v>25</v>
      </c>
      <c r="L208" s="4">
        <v>464.9</v>
      </c>
      <c r="M208" s="2"/>
      <c r="N208" t="s">
        <v>4458</v>
      </c>
    </row>
    <row r="209" spans="1:14" ht="303.60000000000002" x14ac:dyDescent="0.3">
      <c r="A209" s="2" t="s">
        <v>1489</v>
      </c>
      <c r="B209" s="2" t="str">
        <f>HYPERLINK("https://www.montereyherald.com/2024/05/04/pro-soccer-late-goal-lifts-indy-eleven-past-monterey-bay-f-c/")</f>
        <v>https://www.montereyherald.com/2024/05/04/pro-soccer-late-goal-lifts-indy-eleven-past-monterey-bay-f-c/</v>
      </c>
      <c r="C209" s="2" t="s">
        <v>1490</v>
      </c>
      <c r="D209" s="2" t="s">
        <v>1491</v>
      </c>
      <c r="E209" s="5">
        <v>45417.028090277781</v>
      </c>
      <c r="F209" s="2" t="s">
        <v>1492</v>
      </c>
      <c r="G209" s="2">
        <v>46645</v>
      </c>
      <c r="H209" s="2">
        <v>1</v>
      </c>
      <c r="I209" s="2">
        <v>16823</v>
      </c>
      <c r="J209" s="2">
        <v>2</v>
      </c>
      <c r="K209" s="2" t="s">
        <v>25</v>
      </c>
      <c r="L209" s="4">
        <v>431.47</v>
      </c>
      <c r="M209" s="2"/>
      <c r="N209" t="s">
        <v>4457</v>
      </c>
    </row>
    <row r="210" spans="1:14" ht="79.2" x14ac:dyDescent="0.3">
      <c r="A210" s="2" t="s">
        <v>1489</v>
      </c>
      <c r="B210" s="2" t="str">
        <f>HYPERLINK("https://article.wn.com/view/2024/05/05/Pro_soccer_Late_goal_lifts_Indy_Eleven_past_Monterey_Bay_FC/")</f>
        <v>https://article.wn.com/view/2024/05/05/Pro_soccer_Late_goal_lifts_Indy_Eleven_past_Monterey_Bay_FC/</v>
      </c>
      <c r="C210" s="2"/>
      <c r="D210" s="2" t="s">
        <v>632</v>
      </c>
      <c r="E210" s="5">
        <v>45417</v>
      </c>
      <c r="F210" s="2"/>
      <c r="G210" s="2">
        <v>185918</v>
      </c>
      <c r="H210" s="2">
        <v>0</v>
      </c>
      <c r="I210" s="2">
        <v>0</v>
      </c>
      <c r="J210" s="2">
        <v>0</v>
      </c>
      <c r="K210" s="2"/>
      <c r="L210" s="4">
        <v>1719.74</v>
      </c>
      <c r="M210" s="2"/>
      <c r="N210" t="s">
        <v>4459</v>
      </c>
    </row>
    <row r="211" spans="1:14" ht="409.6" x14ac:dyDescent="0.3">
      <c r="A211" s="2" t="s">
        <v>1493</v>
      </c>
      <c r="B211" s="2" t="str">
        <f>HYPERLINK("https://www.oursportscentral.com/services/releases/monterey-bay-f-c-falls-1-0-to-indy-eleven-at-cardinale-stadium/n-6089833")</f>
        <v>https://www.oursportscentral.com/services/releases/monterey-bay-f-c-falls-1-0-to-indy-eleven-at-cardinale-stadium/n-6089833</v>
      </c>
      <c r="C211" s="2"/>
      <c r="D211" s="2" t="s">
        <v>24</v>
      </c>
      <c r="E211" s="5">
        <v>45416.987500000003</v>
      </c>
      <c r="F211" s="2" t="s">
        <v>1494</v>
      </c>
      <c r="G211" s="2">
        <v>40402</v>
      </c>
      <c r="H211" s="2">
        <v>0</v>
      </c>
      <c r="I211" s="2">
        <v>0</v>
      </c>
      <c r="J211" s="2">
        <v>0</v>
      </c>
      <c r="K211" s="2" t="s">
        <v>31</v>
      </c>
      <c r="L211" s="4">
        <v>373.72</v>
      </c>
      <c r="M211" s="2"/>
      <c r="N211" t="s">
        <v>4457</v>
      </c>
    </row>
    <row r="212" spans="1:14" ht="409.6" x14ac:dyDescent="0.3">
      <c r="A212" s="2" t="s">
        <v>1495</v>
      </c>
      <c r="B212" s="2" t="str">
        <f>HYPERLINK("https://www.oursportscentral.com/services/releases/indy-eleven-earns-1-0-victory-over-monterey-bay-fc/n-6089827")</f>
        <v>https://www.oursportscentral.com/services/releases/indy-eleven-earns-1-0-victory-over-monterey-bay-fc/n-6089827</v>
      </c>
      <c r="C212" s="2"/>
      <c r="D212" s="2" t="s">
        <v>24</v>
      </c>
      <c r="E212" s="5">
        <v>45416.981944444437</v>
      </c>
      <c r="F212" s="2" t="s">
        <v>1496</v>
      </c>
      <c r="G212" s="2">
        <v>40402</v>
      </c>
      <c r="H212" s="2">
        <v>0</v>
      </c>
      <c r="I212" s="2">
        <v>0</v>
      </c>
      <c r="J212" s="2">
        <v>0</v>
      </c>
      <c r="K212" s="2" t="s">
        <v>25</v>
      </c>
      <c r="L212" s="4">
        <v>373.72</v>
      </c>
      <c r="M212" s="2"/>
      <c r="N212" t="s">
        <v>4457</v>
      </c>
    </row>
    <row r="213" spans="1:14" ht="409.6" x14ac:dyDescent="0.3">
      <c r="A213" s="2" t="s">
        <v>34</v>
      </c>
      <c r="B213" s="2" t="str">
        <f>HYPERLINK("https://www.heraldbulletin.com/sports/coming-up/article_5309d578-0979-11ef-971b-6b035f118b5a.html")</f>
        <v>https://www.heraldbulletin.com/sports/coming-up/article_5309d578-0979-11ef-971b-6b035f118b5a.html</v>
      </c>
      <c r="C213" s="2"/>
      <c r="D213" s="2" t="s">
        <v>35</v>
      </c>
      <c r="E213" s="5">
        <v>45416.30678240741</v>
      </c>
      <c r="F213" s="2" t="s">
        <v>1497</v>
      </c>
      <c r="G213" s="2">
        <v>50260</v>
      </c>
      <c r="H213" s="2">
        <v>0</v>
      </c>
      <c r="I213" s="2">
        <v>0</v>
      </c>
      <c r="J213" s="2">
        <v>19</v>
      </c>
      <c r="K213" s="2" t="s">
        <v>25</v>
      </c>
      <c r="L213" s="4">
        <v>464.9</v>
      </c>
      <c r="M213" s="2"/>
      <c r="N213" t="s">
        <v>4458</v>
      </c>
    </row>
    <row r="214" spans="1:14" ht="409.6" x14ac:dyDescent="0.3">
      <c r="A214" s="2" t="s">
        <v>1498</v>
      </c>
      <c r="B214" s="2" t="str">
        <f>HYPERLINK("https://spotonindiana.com/in-blogs-entertainment/in-parents/2220833/win-tickets-to-the-indy-eleven.html")</f>
        <v>https://spotonindiana.com/in-blogs-entertainment/in-parents/2220833/win-tickets-to-the-indy-eleven.html</v>
      </c>
      <c r="C214" s="2"/>
      <c r="D214" s="2" t="s">
        <v>1077</v>
      </c>
      <c r="E214" s="5">
        <v>45415.784722222219</v>
      </c>
      <c r="F214" s="2" t="s">
        <v>1499</v>
      </c>
      <c r="G214" s="2">
        <v>908</v>
      </c>
      <c r="H214" s="2">
        <v>0</v>
      </c>
      <c r="I214" s="2">
        <v>0</v>
      </c>
      <c r="J214" s="2">
        <v>0</v>
      </c>
      <c r="K214" s="2" t="s">
        <v>25</v>
      </c>
      <c r="L214" s="4">
        <v>8.4</v>
      </c>
      <c r="M214" s="2"/>
      <c r="N214" t="s">
        <v>4458</v>
      </c>
    </row>
    <row r="215" spans="1:14" ht="409.6" x14ac:dyDescent="0.3">
      <c r="A215" s="2" t="s">
        <v>1500</v>
      </c>
      <c r="B215" s="2" t="str">
        <f>HYPERLINK("https://www.ibj.com/articles/how-the-citys-negotiations-with-keystone-group-broke-down")</f>
        <v>https://www.ibj.com/articles/how-the-citys-negotiations-with-keystone-group-broke-down</v>
      </c>
      <c r="C215" s="2" t="s">
        <v>673</v>
      </c>
      <c r="D215" s="2" t="s">
        <v>268</v>
      </c>
      <c r="E215" s="5">
        <v>45415.585740740738</v>
      </c>
      <c r="F215" s="2" t="s">
        <v>1470</v>
      </c>
      <c r="G215" s="2">
        <v>112057</v>
      </c>
      <c r="H215" s="2">
        <v>2</v>
      </c>
      <c r="I215" s="2">
        <v>4699</v>
      </c>
      <c r="J215" s="2">
        <v>20</v>
      </c>
      <c r="K215" s="2" t="s">
        <v>47</v>
      </c>
      <c r="L215" s="4">
        <v>1036.53</v>
      </c>
      <c r="M215" s="2"/>
      <c r="N215" t="s">
        <v>4458</v>
      </c>
    </row>
    <row r="216" spans="1:14" ht="382.8" x14ac:dyDescent="0.3">
      <c r="A216" s="2" t="s">
        <v>1501</v>
      </c>
      <c r="B216" s="2" t="str">
        <f>HYPERLINK("https://www.oursportscentral.com/services/releases/decatur-united-soccer-club-joins-indy-eleven-club-affiliate-program/n-6088973")</f>
        <v>https://www.oursportscentral.com/services/releases/decatur-united-soccer-club-joins-indy-eleven-club-affiliate-program/n-6088973</v>
      </c>
      <c r="C216" s="2"/>
      <c r="D216" s="2" t="s">
        <v>24</v>
      </c>
      <c r="E216" s="5">
        <v>45415.470138888893</v>
      </c>
      <c r="F216" s="2" t="s">
        <v>1502</v>
      </c>
      <c r="G216" s="2">
        <v>40402</v>
      </c>
      <c r="H216" s="2">
        <v>0</v>
      </c>
      <c r="I216" s="2">
        <v>0</v>
      </c>
      <c r="J216" s="2">
        <v>0</v>
      </c>
      <c r="K216" s="2" t="s">
        <v>25</v>
      </c>
      <c r="L216" s="4">
        <v>373.72</v>
      </c>
      <c r="M216" s="2"/>
      <c r="N216" t="s">
        <v>4457</v>
      </c>
    </row>
    <row r="217" spans="1:14" ht="409.6" x14ac:dyDescent="0.3">
      <c r="A217" s="2" t="s">
        <v>1503</v>
      </c>
      <c r="B217" s="2" t="str">
        <f>HYPERLINK("https://www.oursportscentral.com/services/releases/monterey-bay-battles-indy-eleven-in-the-return-of-the-union-to-seaside-on-star-wars-night-at-cardinale-stadium/n-6088971")</f>
        <v>https://www.oursportscentral.com/services/releases/monterey-bay-battles-indy-eleven-in-the-return-of-the-union-to-seaside-on-star-wars-night-at-cardinale-stadium/n-6088971</v>
      </c>
      <c r="C217" s="2"/>
      <c r="D217" s="2" t="s">
        <v>24</v>
      </c>
      <c r="E217" s="5">
        <v>45415.46875</v>
      </c>
      <c r="F217" s="2" t="s">
        <v>1504</v>
      </c>
      <c r="G217" s="2">
        <v>40402</v>
      </c>
      <c r="H217" s="2">
        <v>0</v>
      </c>
      <c r="I217" s="2">
        <v>0</v>
      </c>
      <c r="J217" s="2">
        <v>0</v>
      </c>
      <c r="K217" s="2" t="s">
        <v>47</v>
      </c>
      <c r="L217" s="4">
        <v>373.72</v>
      </c>
      <c r="M217" s="2"/>
      <c r="N217" t="s">
        <v>4457</v>
      </c>
    </row>
    <row r="218" spans="1:14" ht="382.8" x14ac:dyDescent="0.3">
      <c r="A218" s="2" t="s">
        <v>1498</v>
      </c>
      <c r="B218" s="2" t="str">
        <f>HYPERLINK("https://indyschild.com/win-tickets-to-the-indy-eleven/")</f>
        <v>https://indyschild.com/win-tickets-to-the-indy-eleven/</v>
      </c>
      <c r="C218" s="2"/>
      <c r="D218" s="2" t="s">
        <v>1080</v>
      </c>
      <c r="E218" s="5">
        <v>45415.386747685188</v>
      </c>
      <c r="F218" s="2" t="s">
        <v>1505</v>
      </c>
      <c r="G218" s="2">
        <v>30517</v>
      </c>
      <c r="H218" s="2"/>
      <c r="I218" s="2"/>
      <c r="J218" s="2"/>
      <c r="K218" s="2" t="s">
        <v>25</v>
      </c>
      <c r="L218" s="4">
        <v>282.27999999999997</v>
      </c>
      <c r="M218" s="2"/>
      <c r="N218" t="s">
        <v>4458</v>
      </c>
    </row>
    <row r="219" spans="1:14" ht="409.6" x14ac:dyDescent="0.3">
      <c r="A219" s="2" t="s">
        <v>34</v>
      </c>
      <c r="B219" s="2" t="str">
        <f>HYPERLINK("https://www.heraldbulletin.com/sports/coming-up/article_f1f7e02c-08ba-11ef-b6a9-8fadf308e88f.html")</f>
        <v>https://www.heraldbulletin.com/sports/coming-up/article_f1f7e02c-08ba-11ef-b6a9-8fadf308e88f.html</v>
      </c>
      <c r="C219" s="2"/>
      <c r="D219" s="2" t="s">
        <v>35</v>
      </c>
      <c r="E219" s="5">
        <v>45415.299537037034</v>
      </c>
      <c r="F219" s="2" t="s">
        <v>1497</v>
      </c>
      <c r="G219" s="2">
        <v>50260</v>
      </c>
      <c r="H219" s="2">
        <v>0</v>
      </c>
      <c r="I219" s="2">
        <v>0</v>
      </c>
      <c r="J219" s="2">
        <v>59</v>
      </c>
      <c r="K219" s="2" t="s">
        <v>25</v>
      </c>
      <c r="L219" s="4">
        <v>464.9</v>
      </c>
      <c r="M219" s="2"/>
      <c r="N219" t="s">
        <v>4458</v>
      </c>
    </row>
    <row r="220" spans="1:14" ht="409.6" x14ac:dyDescent="0.3">
      <c r="A220" s="2" t="s">
        <v>1506</v>
      </c>
      <c r="B220" s="2" t="str">
        <f>HYPERLINK("https://www.coliseum-online.com/eleven-park-plume-to-indianapolis-beret/")</f>
        <v>https://www.coliseum-online.com/eleven-park-plume-to-indianapolis-beret/</v>
      </c>
      <c r="C220" s="2" t="s">
        <v>1051</v>
      </c>
      <c r="D220" s="2" t="s">
        <v>1052</v>
      </c>
      <c r="E220" s="5">
        <v>45415.17391203704</v>
      </c>
      <c r="F220" s="2" t="s">
        <v>1507</v>
      </c>
      <c r="G220" s="2">
        <v>32530</v>
      </c>
      <c r="H220" s="2">
        <v>0</v>
      </c>
      <c r="I220" s="2">
        <v>0</v>
      </c>
      <c r="J220" s="2">
        <v>0</v>
      </c>
      <c r="K220" s="2" t="s">
        <v>25</v>
      </c>
      <c r="L220" s="4">
        <v>300.89999999999998</v>
      </c>
      <c r="M220" s="2"/>
      <c r="N220" t="s">
        <v>4457</v>
      </c>
    </row>
    <row r="221" spans="1:14" ht="409.6" x14ac:dyDescent="0.3">
      <c r="A221" s="2" t="s">
        <v>1508</v>
      </c>
      <c r="B221" s="2" t="str">
        <f>HYPERLINK("https://www.timbers.com/news/loan-watch-hunter-sulte-earns-first-win-with-indy-eleven")</f>
        <v>https://www.timbers.com/news/loan-watch-hunter-sulte-earns-first-win-with-indy-eleven</v>
      </c>
      <c r="C221" s="2"/>
      <c r="D221" s="2" t="s">
        <v>49</v>
      </c>
      <c r="E221" s="5">
        <v>45415.08803240741</v>
      </c>
      <c r="F221" s="2" t="s">
        <v>1509</v>
      </c>
      <c r="G221" s="2">
        <v>63318</v>
      </c>
      <c r="H221" s="2">
        <v>0</v>
      </c>
      <c r="I221" s="2">
        <v>0</v>
      </c>
      <c r="J221" s="2">
        <v>0</v>
      </c>
      <c r="K221" s="2" t="s">
        <v>25</v>
      </c>
      <c r="L221" s="4">
        <v>585.69000000000005</v>
      </c>
      <c r="M221" s="2"/>
      <c r="N221" t="s">
        <v>4457</v>
      </c>
    </row>
    <row r="222" spans="1:14" ht="409.6" x14ac:dyDescent="0.3">
      <c r="A222" s="2" t="s">
        <v>34</v>
      </c>
      <c r="B222" s="2" t="str">
        <f>HYPERLINK("https://www.heraldbulletin.com/sports/coming-up/article_635726d4-07f7-11ef-9b5a-3f142c1e7b77.html")</f>
        <v>https://www.heraldbulletin.com/sports/coming-up/article_635726d4-07f7-11ef-9b5a-3f142c1e7b77.html</v>
      </c>
      <c r="C222" s="2"/>
      <c r="D222" s="2" t="s">
        <v>35</v>
      </c>
      <c r="E222" s="5">
        <v>45414.306840277779</v>
      </c>
      <c r="F222" s="2" t="s">
        <v>1497</v>
      </c>
      <c r="G222" s="2">
        <v>50260</v>
      </c>
      <c r="H222" s="2">
        <v>0</v>
      </c>
      <c r="I222" s="2">
        <v>0</v>
      </c>
      <c r="J222" s="2">
        <v>9</v>
      </c>
      <c r="K222" s="2" t="s">
        <v>25</v>
      </c>
      <c r="L222" s="4">
        <v>464.9</v>
      </c>
      <c r="M222" s="2"/>
      <c r="N222" t="s">
        <v>4458</v>
      </c>
    </row>
    <row r="223" spans="1:14" ht="409.6" x14ac:dyDescent="0.3">
      <c r="A223" s="2" t="s">
        <v>1512</v>
      </c>
      <c r="B223" s="2" t="str">
        <f>HYPERLINK("https://mirrorindy.org/greenlawn-cemetery-keystone-eleven-park-indianapolis/")</f>
        <v>https://mirrorindy.org/greenlawn-cemetery-keystone-eleven-park-indianapolis/</v>
      </c>
      <c r="C223" s="2" t="s">
        <v>107</v>
      </c>
      <c r="D223" s="2" t="s">
        <v>132</v>
      </c>
      <c r="E223" s="5">
        <v>45413.793391203697</v>
      </c>
      <c r="F223" s="2" t="s">
        <v>1513</v>
      </c>
      <c r="G223" s="2">
        <v>29972</v>
      </c>
      <c r="H223" s="2">
        <v>16</v>
      </c>
      <c r="I223" s="2">
        <v>67420</v>
      </c>
      <c r="J223" s="2">
        <v>247</v>
      </c>
      <c r="K223" s="2" t="s">
        <v>31</v>
      </c>
      <c r="L223" s="4">
        <v>277.24</v>
      </c>
      <c r="M223" s="2"/>
      <c r="N223" t="s">
        <v>4458</v>
      </c>
    </row>
    <row r="224" spans="1:14" ht="409.6" x14ac:dyDescent="0.3">
      <c r="A224" s="2" t="s">
        <v>1514</v>
      </c>
      <c r="B224" s="2" t="str">
        <f>HYPERLINK("https://www.wishtv.com/podcast-episode/indy-eleven-coaches-show-episode-3/")</f>
        <v>https://www.wishtv.com/podcast-episode/indy-eleven-coaches-show-episode-3/</v>
      </c>
      <c r="C224" s="2"/>
      <c r="D224" s="2" t="s">
        <v>38</v>
      </c>
      <c r="E224" s="5">
        <v>45413.63208333333</v>
      </c>
      <c r="F224" s="2" t="s">
        <v>1515</v>
      </c>
      <c r="G224" s="2">
        <v>568116</v>
      </c>
      <c r="H224" s="2">
        <v>0</v>
      </c>
      <c r="I224" s="2">
        <v>0</v>
      </c>
      <c r="J224" s="2">
        <v>0</v>
      </c>
      <c r="K224" s="2" t="s">
        <v>31</v>
      </c>
      <c r="L224" s="4">
        <v>5255.07</v>
      </c>
      <c r="M224" s="2"/>
      <c r="N224" t="s">
        <v>4458</v>
      </c>
    </row>
    <row r="225" spans="1:14" ht="237.6" x14ac:dyDescent="0.3">
      <c r="A225" s="2" t="s">
        <v>34</v>
      </c>
      <c r="B225" s="2" t="str">
        <f>HYPERLINK("https://www.heraldbulletin.com/sports/coming-up/article_86042230-0758-11ef-8eaa-ffc97b43f955.html")</f>
        <v>https://www.heraldbulletin.com/sports/coming-up/article_86042230-0758-11ef-8eaa-ffc97b43f955.html</v>
      </c>
      <c r="C225" s="2"/>
      <c r="D225" s="2" t="s">
        <v>35</v>
      </c>
      <c r="E225" s="5">
        <v>45413.326226851852</v>
      </c>
      <c r="F225" s="2" t="s">
        <v>1516</v>
      </c>
      <c r="G225" s="2">
        <v>50260</v>
      </c>
      <c r="H225" s="2">
        <v>0</v>
      </c>
      <c r="I225" s="2">
        <v>0</v>
      </c>
      <c r="J225" s="2">
        <v>6</v>
      </c>
      <c r="K225" s="2" t="s">
        <v>25</v>
      </c>
      <c r="L225" s="4">
        <v>464.9</v>
      </c>
      <c r="M225" s="2"/>
      <c r="N225" t="s">
        <v>4458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2BD8B-18BE-4666-9200-E348ACB45631}">
  <dimension ref="A1:N87"/>
  <sheetViews>
    <sheetView workbookViewId="0">
      <selection activeCell="E2" sqref="E2"/>
    </sheetView>
  </sheetViews>
  <sheetFormatPr defaultRowHeight="14.4" x14ac:dyDescent="0.3"/>
  <cols>
    <col min="1" max="1" width="23.5546875" customWidth="1"/>
    <col min="2" max="2" width="14.6640625" customWidth="1"/>
    <col min="4" max="4" width="16.33203125" customWidth="1"/>
    <col min="5" max="5" width="19.6640625" customWidth="1"/>
    <col min="7" max="7" width="10" bestFit="1" customWidth="1"/>
    <col min="13" max="13" width="15.109375" bestFit="1" customWidth="1"/>
    <col min="14" max="14" width="17.33203125" bestFit="1" customWidth="1"/>
  </cols>
  <sheetData>
    <row r="1" spans="1:14" x14ac:dyDescent="0.3">
      <c r="A1" s="1" t="s">
        <v>13</v>
      </c>
      <c r="B1" s="1" t="s">
        <v>2</v>
      </c>
      <c r="C1" s="1" t="s">
        <v>14</v>
      </c>
      <c r="D1" s="1" t="s">
        <v>15</v>
      </c>
      <c r="E1" s="1" t="s">
        <v>16</v>
      </c>
      <c r="F1" s="1" t="s">
        <v>17</v>
      </c>
      <c r="G1" s="1" t="s">
        <v>18</v>
      </c>
      <c r="H1" s="1" t="s">
        <v>19</v>
      </c>
      <c r="I1" s="1" t="s">
        <v>20</v>
      </c>
      <c r="J1" s="1" t="s">
        <v>7</v>
      </c>
      <c r="K1" s="1" t="s">
        <v>21</v>
      </c>
      <c r="L1" s="1" t="s">
        <v>22</v>
      </c>
      <c r="M1" s="1" t="s">
        <v>23</v>
      </c>
      <c r="N1" s="1" t="s">
        <v>4456</v>
      </c>
    </row>
    <row r="2" spans="1:14" ht="396" x14ac:dyDescent="0.3">
      <c r="A2" s="2" t="s">
        <v>956</v>
      </c>
      <c r="B2" s="2" t="str">
        <f>HYPERLINK("https://bvmsports.com/2024/06/30/racing-louisville-dominates-indy-eleven-in-impressive-usl-w-league-finale/")</f>
        <v>https://bvmsports.com/2024/06/30/racing-louisville-dominates-indy-eleven-in-impressive-usl-w-league-finale/</v>
      </c>
      <c r="C2" s="2" t="s">
        <v>270</v>
      </c>
      <c r="D2" s="2" t="s">
        <v>271</v>
      </c>
      <c r="E2" s="5">
        <v>45473.912199074082</v>
      </c>
      <c r="F2" s="2" t="s">
        <v>957</v>
      </c>
      <c r="G2" s="2">
        <v>2152626</v>
      </c>
      <c r="H2" s="2">
        <v>0</v>
      </c>
      <c r="I2" s="2">
        <v>0</v>
      </c>
      <c r="J2" s="2">
        <v>0</v>
      </c>
      <c r="K2" s="2" t="s">
        <v>25</v>
      </c>
      <c r="L2" s="4">
        <v>19911.79</v>
      </c>
      <c r="M2" s="2"/>
      <c r="N2" t="s">
        <v>4459</v>
      </c>
    </row>
    <row r="3" spans="1:14" ht="409.6" x14ac:dyDescent="0.3">
      <c r="A3" s="2" t="s">
        <v>958</v>
      </c>
      <c r="B3" s="2" t="str">
        <f>HYPERLINK("https://www.oursportscentral.com/services/releases/indy-eleven-announces-acquisition-of-james-musa-from-colorado-springs/n-6115908")</f>
        <v>https://www.oursportscentral.com/services/releases/indy-eleven-announces-acquisition-of-james-musa-from-colorado-springs/n-6115908</v>
      </c>
      <c r="C3" s="2"/>
      <c r="D3" s="2" t="s">
        <v>24</v>
      </c>
      <c r="E3" s="5">
        <v>45471.368055555547</v>
      </c>
      <c r="F3" s="2" t="s">
        <v>959</v>
      </c>
      <c r="G3" s="2">
        <v>40402</v>
      </c>
      <c r="H3" s="2">
        <v>0</v>
      </c>
      <c r="I3" s="2">
        <v>0</v>
      </c>
      <c r="J3" s="2">
        <v>0</v>
      </c>
      <c r="K3" s="2" t="s">
        <v>25</v>
      </c>
      <c r="L3" s="4">
        <v>373.72</v>
      </c>
      <c r="M3" s="2"/>
      <c r="N3" t="s">
        <v>4457</v>
      </c>
    </row>
    <row r="4" spans="1:14" ht="409.6" x14ac:dyDescent="0.3">
      <c r="A4" s="2" t="s">
        <v>960</v>
      </c>
      <c r="B4" s="2" t="str">
        <f>HYPERLINK("https://www.oursportscentral.com/services/releases/switchbacks-fc-announce-transfer-of-james-musa-to-indy-eleven/n-6115905")</f>
        <v>https://www.oursportscentral.com/services/releases/switchbacks-fc-announce-transfer-of-james-musa-to-indy-eleven/n-6115905</v>
      </c>
      <c r="C4" s="2"/>
      <c r="D4" s="2" t="s">
        <v>24</v>
      </c>
      <c r="E4" s="5">
        <v>45471.366666666669</v>
      </c>
      <c r="F4" s="2" t="s">
        <v>961</v>
      </c>
      <c r="G4" s="2">
        <v>40402</v>
      </c>
      <c r="H4" s="2">
        <v>0</v>
      </c>
      <c r="I4" s="2">
        <v>0</v>
      </c>
      <c r="J4" s="2">
        <v>0</v>
      </c>
      <c r="K4" s="2" t="s">
        <v>25</v>
      </c>
      <c r="L4" s="4">
        <v>373.72</v>
      </c>
      <c r="M4" s="2"/>
      <c r="N4" t="s">
        <v>4457</v>
      </c>
    </row>
    <row r="5" spans="1:14" ht="409.6" x14ac:dyDescent="0.3">
      <c r="A5" s="2" t="s">
        <v>962</v>
      </c>
      <c r="B5" s="2" t="str">
        <f>HYPERLINK("https://www.wishtv.com/sports/indy-eleven/former-indy-eleven-womens-player-hal-hershfelt-makes-us-olympic-team/")</f>
        <v>https://www.wishtv.com/sports/indy-eleven/former-indy-eleven-womens-player-hal-hershfelt-makes-us-olympic-team/</v>
      </c>
      <c r="C5" s="2" t="s">
        <v>539</v>
      </c>
      <c r="D5" s="2" t="s">
        <v>38</v>
      </c>
      <c r="E5" s="5">
        <v>45469.688692129632</v>
      </c>
      <c r="F5" s="2" t="s">
        <v>963</v>
      </c>
      <c r="G5" s="2">
        <v>568116</v>
      </c>
      <c r="H5" s="2">
        <v>0</v>
      </c>
      <c r="I5" s="2">
        <v>0</v>
      </c>
      <c r="J5" s="2">
        <v>106</v>
      </c>
      <c r="K5" s="2" t="s">
        <v>31</v>
      </c>
      <c r="L5" s="4">
        <v>5255.07</v>
      </c>
      <c r="M5" s="2"/>
      <c r="N5" t="s">
        <v>4458</v>
      </c>
    </row>
    <row r="6" spans="1:14" ht="145.19999999999999" x14ac:dyDescent="0.3">
      <c r="A6" s="2" t="s">
        <v>967</v>
      </c>
      <c r="B6" s="2" t="str">
        <f>HYPERLINK("https://www.wishtv.com/contests/win-tickets-to-see-the-indy-eleven-play-july-20/")</f>
        <v>https://www.wishtv.com/contests/win-tickets-to-see-the-indy-eleven-play-july-20/</v>
      </c>
      <c r="C6" s="2" t="s">
        <v>55</v>
      </c>
      <c r="D6" s="2" t="s">
        <v>38</v>
      </c>
      <c r="E6" s="5">
        <v>45467.458333333343</v>
      </c>
      <c r="F6" s="2" t="s">
        <v>968</v>
      </c>
      <c r="G6" s="2">
        <v>568116</v>
      </c>
      <c r="H6" s="2">
        <v>0</v>
      </c>
      <c r="I6" s="2">
        <v>0</v>
      </c>
      <c r="J6" s="2">
        <v>0</v>
      </c>
      <c r="K6" s="2" t="s">
        <v>25</v>
      </c>
      <c r="L6" s="4">
        <v>5255.07</v>
      </c>
      <c r="M6" s="2"/>
      <c r="N6" t="s">
        <v>4458</v>
      </c>
    </row>
    <row r="7" spans="1:14" ht="79.2" x14ac:dyDescent="0.3">
      <c r="A7" s="2" t="s">
        <v>969</v>
      </c>
      <c r="B7" s="2" t="str">
        <f>HYPERLINK("https://www.wishtv.com/contests/win-tickets-to-see-the-indy-eleven-play-july-13/")</f>
        <v>https://www.wishtv.com/contests/win-tickets-to-see-the-indy-eleven-play-july-13/</v>
      </c>
      <c r="C7" s="2" t="s">
        <v>55</v>
      </c>
      <c r="D7" s="2" t="s">
        <v>38</v>
      </c>
      <c r="E7" s="5">
        <v>45467.333333333343</v>
      </c>
      <c r="F7" s="2"/>
      <c r="G7" s="2">
        <v>568116</v>
      </c>
      <c r="H7" s="2">
        <v>0</v>
      </c>
      <c r="I7" s="2">
        <v>0</v>
      </c>
      <c r="J7" s="2">
        <v>0</v>
      </c>
      <c r="K7" s="2"/>
      <c r="L7" s="4">
        <v>5255.07</v>
      </c>
      <c r="M7" s="2"/>
      <c r="N7" t="s">
        <v>4458</v>
      </c>
    </row>
    <row r="8" spans="1:14" ht="409.6" x14ac:dyDescent="0.3">
      <c r="A8" s="2" t="s">
        <v>971</v>
      </c>
      <c r="B8" s="2" t="str">
        <f>HYPERLINK("https://www.oursportscentral.com/services/releases/orange-county-sc-ends-the-longest-win-streak-in-the-country-shuts-out-indy-eleven-1-0/n-6113303")</f>
        <v>https://www.oursportscentral.com/services/releases/orange-county-sc-ends-the-longest-win-streak-in-the-country-shuts-out-indy-eleven-1-0/n-6113303</v>
      </c>
      <c r="C8" s="2"/>
      <c r="D8" s="2" t="s">
        <v>24</v>
      </c>
      <c r="E8" s="5">
        <v>45465.847916666673</v>
      </c>
      <c r="F8" s="2" t="s">
        <v>972</v>
      </c>
      <c r="G8" s="2">
        <v>40402</v>
      </c>
      <c r="H8" s="2">
        <v>0</v>
      </c>
      <c r="I8" s="2">
        <v>0</v>
      </c>
      <c r="J8" s="2">
        <v>0</v>
      </c>
      <c r="K8" s="2" t="s">
        <v>25</v>
      </c>
      <c r="L8" s="4">
        <v>373.72</v>
      </c>
      <c r="M8" s="2"/>
      <c r="N8" t="s">
        <v>4457</v>
      </c>
    </row>
    <row r="9" spans="1:14" ht="409.6" x14ac:dyDescent="0.3">
      <c r="A9" s="2" t="s">
        <v>973</v>
      </c>
      <c r="B9" s="2" t="str">
        <f>HYPERLINK("https://www.oursportscentral.com/services/releases/ocsc-defeats-indy-eleven-1-0/n-6113265")</f>
        <v>https://www.oursportscentral.com/services/releases/ocsc-defeats-indy-eleven-1-0/n-6113265</v>
      </c>
      <c r="C9" s="2"/>
      <c r="D9" s="2" t="s">
        <v>24</v>
      </c>
      <c r="E9" s="5">
        <v>45465.835416666669</v>
      </c>
      <c r="F9" s="2" t="s">
        <v>974</v>
      </c>
      <c r="G9" s="2">
        <v>40402</v>
      </c>
      <c r="H9" s="2">
        <v>0</v>
      </c>
      <c r="I9" s="2">
        <v>0</v>
      </c>
      <c r="J9" s="2">
        <v>0</v>
      </c>
      <c r="K9" s="2" t="s">
        <v>47</v>
      </c>
      <c r="L9" s="4">
        <v>373.72</v>
      </c>
      <c r="M9" s="2"/>
      <c r="N9" t="s">
        <v>4457</v>
      </c>
    </row>
    <row r="10" spans="1:14" ht="409.6" x14ac:dyDescent="0.3">
      <c r="A10" s="2" t="s">
        <v>975</v>
      </c>
      <c r="B10" s="2" t="str">
        <f>HYPERLINK("https://www.oursportscentral.com/services/releases/indy-elevens-streak-ends-with-loss-to-orange-county-sc-1-0/n-6113229")</f>
        <v>https://www.oursportscentral.com/services/releases/indy-elevens-streak-ends-with-loss-to-orange-county-sc-1-0/n-6113229</v>
      </c>
      <c r="C10" s="2"/>
      <c r="D10" s="2" t="s">
        <v>24</v>
      </c>
      <c r="E10" s="5">
        <v>45465.824305555558</v>
      </c>
      <c r="F10" s="2" t="s">
        <v>976</v>
      </c>
      <c r="G10" s="2">
        <v>40402</v>
      </c>
      <c r="H10" s="2">
        <v>0</v>
      </c>
      <c r="I10" s="2">
        <v>0</v>
      </c>
      <c r="J10" s="2">
        <v>0</v>
      </c>
      <c r="K10" s="2" t="s">
        <v>47</v>
      </c>
      <c r="L10" s="4">
        <v>373.72</v>
      </c>
      <c r="M10" s="2"/>
      <c r="N10" t="s">
        <v>4457</v>
      </c>
    </row>
    <row r="11" spans="1:14" ht="409.2" x14ac:dyDescent="0.3">
      <c r="A11" s="2" t="s">
        <v>977</v>
      </c>
      <c r="B11" s="2" t="str">
        <f>HYPERLINK("https://www.oursportscentral.com/services/releases/6-22-2024-indy-eleven-vs-orange-county-sc--game-highlights/n-6113206")</f>
        <v>https://www.oursportscentral.com/services/releases/6-22-2024-indy-eleven-vs-orange-county-sc--game-highlights/n-6113206</v>
      </c>
      <c r="C11" s="2"/>
      <c r="D11" s="2" t="s">
        <v>24</v>
      </c>
      <c r="E11" s="5">
        <v>45465.816666666673</v>
      </c>
      <c r="F11" s="2" t="s">
        <v>978</v>
      </c>
      <c r="G11" s="2">
        <v>40402</v>
      </c>
      <c r="H11" s="2">
        <v>0</v>
      </c>
      <c r="I11" s="2">
        <v>0</v>
      </c>
      <c r="J11" s="2">
        <v>0</v>
      </c>
      <c r="K11" s="2" t="s">
        <v>25</v>
      </c>
      <c r="L11" s="4">
        <v>373.72</v>
      </c>
      <c r="M11" s="2"/>
      <c r="N11" t="s">
        <v>4457</v>
      </c>
    </row>
    <row r="12" spans="1:14" ht="409.2" x14ac:dyDescent="0.3">
      <c r="A12" s="2" t="s">
        <v>34</v>
      </c>
      <c r="B12" s="2" t="str">
        <f>HYPERLINK("https://www.heraldbulletin.com/sports/coming-up/article_95b9e526-3015-11ef-8b27-c7bc2a658994.html")</f>
        <v>https://www.heraldbulletin.com/sports/coming-up/article_95b9e526-3015-11ef-8b27-c7bc2a658994.html</v>
      </c>
      <c r="C12" s="2"/>
      <c r="D12" s="2" t="s">
        <v>35</v>
      </c>
      <c r="E12" s="5">
        <v>45465.297418981478</v>
      </c>
      <c r="F12" s="2" t="s">
        <v>979</v>
      </c>
      <c r="G12" s="2">
        <v>50260</v>
      </c>
      <c r="H12" s="2">
        <v>0</v>
      </c>
      <c r="I12" s="2">
        <v>0</v>
      </c>
      <c r="J12" s="2">
        <v>15</v>
      </c>
      <c r="K12" s="2" t="s">
        <v>25</v>
      </c>
      <c r="L12" s="4">
        <v>464.9</v>
      </c>
      <c r="M12" s="2"/>
      <c r="N12" t="s">
        <v>4458</v>
      </c>
    </row>
    <row r="13" spans="1:14" ht="224.4" x14ac:dyDescent="0.3">
      <c r="A13" s="2" t="s">
        <v>980</v>
      </c>
      <c r="B13" s="2" t="str">
        <f>HYPERLINK("https://www.oursportscentral.com/services/releases/everything-you-need-to-know-before-orange-county-sc-races-to-the-circle-city-for-a-matchup-with-indy-eleven/n-6112716")</f>
        <v>https://www.oursportscentral.com/services/releases/everything-you-need-to-know-before-orange-county-sc-races-to-the-circle-city-for-a-matchup-with-indy-eleven/n-6112716</v>
      </c>
      <c r="C13" s="2"/>
      <c r="D13" s="2" t="s">
        <v>24</v>
      </c>
      <c r="E13" s="5">
        <v>45464.813888888893</v>
      </c>
      <c r="F13" s="2" t="s">
        <v>981</v>
      </c>
      <c r="G13" s="2">
        <v>40402</v>
      </c>
      <c r="H13" s="2">
        <v>0</v>
      </c>
      <c r="I13" s="2">
        <v>0</v>
      </c>
      <c r="J13" s="2">
        <v>0</v>
      </c>
      <c r="K13" s="2" t="s">
        <v>25</v>
      </c>
      <c r="L13" s="4">
        <v>373.72</v>
      </c>
      <c r="M13" s="2"/>
      <c r="N13" t="s">
        <v>4457</v>
      </c>
    </row>
    <row r="14" spans="1:14" ht="409.6" x14ac:dyDescent="0.3">
      <c r="A14" s="2" t="s">
        <v>982</v>
      </c>
      <c r="B14" s="2" t="str">
        <f>HYPERLINK("https://ca.news.yahoo.com/indy-eleven-69-day-win-230628552.html")</f>
        <v>https://ca.news.yahoo.com/indy-eleven-69-day-win-230628552.html</v>
      </c>
      <c r="C14" s="2"/>
      <c r="D14" s="2" t="s">
        <v>433</v>
      </c>
      <c r="E14" s="5">
        <v>45464.804884259262</v>
      </c>
      <c r="F14" s="2" t="s">
        <v>983</v>
      </c>
      <c r="G14" s="2">
        <v>1854860</v>
      </c>
      <c r="H14" s="2">
        <v>0</v>
      </c>
      <c r="I14" s="2">
        <v>0</v>
      </c>
      <c r="J14" s="2">
        <v>0</v>
      </c>
      <c r="K14" s="2" t="s">
        <v>25</v>
      </c>
      <c r="L14" s="4">
        <v>17157.46</v>
      </c>
      <c r="M14" s="2"/>
      <c r="N14" t="s">
        <v>4459</v>
      </c>
    </row>
    <row r="15" spans="1:14" ht="409.6" x14ac:dyDescent="0.3">
      <c r="A15" s="2" t="s">
        <v>985</v>
      </c>
      <c r="B15" s="2" t="str">
        <f>HYPERLINK("https://www.timbers.com/news/loan-watch-update-timbers-loanees-at-indy-eleven-making-impact")</f>
        <v>https://www.timbers.com/news/loan-watch-update-timbers-loanees-at-indy-eleven-making-impact</v>
      </c>
      <c r="C15" s="2"/>
      <c r="D15" s="2" t="s">
        <v>49</v>
      </c>
      <c r="E15" s="5">
        <v>45464.604305555556</v>
      </c>
      <c r="F15" s="2" t="s">
        <v>986</v>
      </c>
      <c r="G15" s="2">
        <v>63318</v>
      </c>
      <c r="H15" s="2">
        <v>0</v>
      </c>
      <c r="I15" s="2">
        <v>0</v>
      </c>
      <c r="J15" s="2">
        <v>0</v>
      </c>
      <c r="K15" s="2" t="s">
        <v>31</v>
      </c>
      <c r="L15" s="4">
        <v>585.69000000000005</v>
      </c>
      <c r="M15" s="2"/>
      <c r="N15" t="s">
        <v>4457</v>
      </c>
    </row>
    <row r="16" spans="1:14" ht="409.6" x14ac:dyDescent="0.3">
      <c r="A16" s="2" t="s">
        <v>34</v>
      </c>
      <c r="B16" s="2" t="str">
        <f>HYPERLINK("https://www.heraldbulletin.com/sports/coming-up/article_61b022ee-2f44-11ef-b3e6-b73f525495b5.html")</f>
        <v>https://www.heraldbulletin.com/sports/coming-up/article_61b022ee-2f44-11ef-b3e6-b73f525495b5.html</v>
      </c>
      <c r="C16" s="2"/>
      <c r="D16" s="2" t="s">
        <v>35</v>
      </c>
      <c r="E16" s="5">
        <v>45464.295983796299</v>
      </c>
      <c r="F16" s="2" t="s">
        <v>987</v>
      </c>
      <c r="G16" s="2">
        <v>50260</v>
      </c>
      <c r="H16" s="2">
        <v>0</v>
      </c>
      <c r="I16" s="2">
        <v>0</v>
      </c>
      <c r="J16" s="2">
        <v>9</v>
      </c>
      <c r="K16" s="2" t="s">
        <v>25</v>
      </c>
      <c r="L16" s="4">
        <v>464.9</v>
      </c>
      <c r="M16" s="2"/>
      <c r="N16" t="s">
        <v>4458</v>
      </c>
    </row>
    <row r="17" spans="1:14" ht="382.8" x14ac:dyDescent="0.3">
      <c r="A17" s="2" t="s">
        <v>34</v>
      </c>
      <c r="B17" s="2" t="str">
        <f>HYPERLINK("https://www.heraldbulletin.com/sports/coming-up/article_dce3221a-2e89-11ef-91a1-374f99a200f2.html")</f>
        <v>https://www.heraldbulletin.com/sports/coming-up/article_dce3221a-2e89-11ef-91a1-374f99a200f2.html</v>
      </c>
      <c r="C17" s="2"/>
      <c r="D17" s="2" t="s">
        <v>35</v>
      </c>
      <c r="E17" s="5">
        <v>45463.302719907413</v>
      </c>
      <c r="F17" s="2" t="s">
        <v>988</v>
      </c>
      <c r="G17" s="2">
        <v>50260</v>
      </c>
      <c r="H17" s="2">
        <v>0</v>
      </c>
      <c r="I17" s="2">
        <v>0</v>
      </c>
      <c r="J17" s="2">
        <v>23</v>
      </c>
      <c r="K17" s="2" t="s">
        <v>25</v>
      </c>
      <c r="L17" s="4">
        <v>464.9</v>
      </c>
      <c r="M17" s="2"/>
      <c r="N17" t="s">
        <v>4458</v>
      </c>
    </row>
    <row r="18" spans="1:14" ht="250.8" x14ac:dyDescent="0.3">
      <c r="A18" s="2" t="s">
        <v>34</v>
      </c>
      <c r="B18" s="2" t="str">
        <f>HYPERLINK("https://www.heraldbulletin.com/sports/coming-up/article_b7dad48e-2daf-11ef-b9a7-47ee0ef19162.html")</f>
        <v>https://www.heraldbulletin.com/sports/coming-up/article_b7dad48e-2daf-11ef-b9a7-47ee0ef19162.html</v>
      </c>
      <c r="C18" s="2"/>
      <c r="D18" s="2" t="s">
        <v>35</v>
      </c>
      <c r="E18" s="5">
        <v>45462.300266203703</v>
      </c>
      <c r="F18" s="2" t="s">
        <v>990</v>
      </c>
      <c r="G18" s="2">
        <v>50260</v>
      </c>
      <c r="H18" s="2">
        <v>0</v>
      </c>
      <c r="I18" s="2">
        <v>0</v>
      </c>
      <c r="J18" s="2">
        <v>5</v>
      </c>
      <c r="K18" s="2" t="s">
        <v>25</v>
      </c>
      <c r="L18" s="4">
        <v>464.9</v>
      </c>
      <c r="M18" s="2"/>
      <c r="N18" t="s">
        <v>4458</v>
      </c>
    </row>
    <row r="19" spans="1:14" ht="409.6" x14ac:dyDescent="0.3">
      <c r="A19" s="2" t="s">
        <v>991</v>
      </c>
      <c r="B19" s="2" t="str">
        <f>HYPERLINK("https://www.oursportscentral.com/services/releases/sulte-named-to-usl-championship-team-of-the-week/n-6110932")</f>
        <v>https://www.oursportscentral.com/services/releases/sulte-named-to-usl-championship-team-of-the-week/n-6110932</v>
      </c>
      <c r="C19" s="2"/>
      <c r="D19" s="2" t="s">
        <v>24</v>
      </c>
      <c r="E19" s="5">
        <v>45461.587500000001</v>
      </c>
      <c r="F19" s="2" t="s">
        <v>992</v>
      </c>
      <c r="G19" s="2">
        <v>40402</v>
      </c>
      <c r="H19" s="2">
        <v>0</v>
      </c>
      <c r="I19" s="2">
        <v>0</v>
      </c>
      <c r="J19" s="2">
        <v>0</v>
      </c>
      <c r="K19" s="2" t="s">
        <v>25</v>
      </c>
      <c r="L19" s="4">
        <v>373.72</v>
      </c>
      <c r="M19" s="2"/>
      <c r="N19" t="s">
        <v>4457</v>
      </c>
    </row>
    <row r="20" spans="1:14" ht="303.60000000000002" x14ac:dyDescent="0.3">
      <c r="A20" s="2" t="s">
        <v>34</v>
      </c>
      <c r="B20" s="2" t="str">
        <f>HYPERLINK("https://www.heraldbulletin.com/sports/coming-up/article_b63203ee-2ce9-11ef-8060-8b0a41ad9da5.html")</f>
        <v>https://www.heraldbulletin.com/sports/coming-up/article_b63203ee-2ce9-11ef-8060-8b0a41ad9da5.html</v>
      </c>
      <c r="C20" s="2"/>
      <c r="D20" s="2" t="s">
        <v>35</v>
      </c>
      <c r="E20" s="5">
        <v>45461.297546296293</v>
      </c>
      <c r="F20" s="2" t="s">
        <v>995</v>
      </c>
      <c r="G20" s="2">
        <v>50260</v>
      </c>
      <c r="H20" s="2">
        <v>0</v>
      </c>
      <c r="I20" s="2">
        <v>0</v>
      </c>
      <c r="J20" s="2">
        <v>30</v>
      </c>
      <c r="K20" s="2" t="s">
        <v>25</v>
      </c>
      <c r="L20" s="4">
        <v>464.9</v>
      </c>
      <c r="M20" s="2"/>
      <c r="N20" t="s">
        <v>4458</v>
      </c>
    </row>
    <row r="21" spans="1:14" ht="409.6" x14ac:dyDescent="0.3">
      <c r="A21" s="2" t="s">
        <v>34</v>
      </c>
      <c r="B21" s="2" t="str">
        <f>HYPERLINK("https://www.heraldbulletin.com/sports/coming-up/article_6a8116f8-2bf2-11ef-b553-4353b52f9254.html")</f>
        <v>https://www.heraldbulletin.com/sports/coming-up/article_6a8116f8-2bf2-11ef-b553-4353b52f9254.html</v>
      </c>
      <c r="C21" s="2"/>
      <c r="D21" s="2" t="s">
        <v>35</v>
      </c>
      <c r="E21" s="5">
        <v>45460.513472222221</v>
      </c>
      <c r="F21" s="2" t="s">
        <v>996</v>
      </c>
      <c r="G21" s="2">
        <v>50260</v>
      </c>
      <c r="H21" s="2">
        <v>0</v>
      </c>
      <c r="I21" s="2">
        <v>0</v>
      </c>
      <c r="J21" s="2">
        <v>2</v>
      </c>
      <c r="K21" s="2" t="s">
        <v>47</v>
      </c>
      <c r="L21" s="4">
        <v>464.9</v>
      </c>
      <c r="M21" s="2"/>
      <c r="N21" t="s">
        <v>4458</v>
      </c>
    </row>
    <row r="22" spans="1:14" ht="409.6" x14ac:dyDescent="0.3">
      <c r="A22" s="2" t="s">
        <v>997</v>
      </c>
      <c r="B22" s="2" t="str">
        <f>HYPERLINK("https://www.wishtv.com/sports/indy-eleven/indy-eleven-vs-san-antonio-fc-from-june-15-2024/")</f>
        <v>https://www.wishtv.com/sports/indy-eleven/indy-eleven-vs-san-antonio-fc-from-june-15-2024/</v>
      </c>
      <c r="C22" s="2" t="s">
        <v>109</v>
      </c>
      <c r="D22" s="2" t="s">
        <v>38</v>
      </c>
      <c r="E22" s="5">
        <v>45460.342592592591</v>
      </c>
      <c r="F22" s="2" t="s">
        <v>998</v>
      </c>
      <c r="G22" s="2">
        <v>568116</v>
      </c>
      <c r="H22" s="2">
        <v>0</v>
      </c>
      <c r="I22" s="2">
        <v>0</v>
      </c>
      <c r="J22" s="2">
        <v>0</v>
      </c>
      <c r="K22" s="2" t="s">
        <v>47</v>
      </c>
      <c r="L22" s="4">
        <v>5255.07</v>
      </c>
      <c r="M22" s="2"/>
      <c r="N22" t="s">
        <v>4458</v>
      </c>
    </row>
    <row r="23" spans="1:14" ht="303.60000000000002" x14ac:dyDescent="0.3">
      <c r="A23" s="2" t="s">
        <v>999</v>
      </c>
      <c r="B23" s="2" t="str">
        <f>HYPERLINK("https://www.socceramerica.com/indy-eleven-oakland-roots-tampa-bay-rowdies-usl/")</f>
        <v>https://www.socceramerica.com/indy-eleven-oakland-roots-tampa-bay-rowdies-usl/</v>
      </c>
      <c r="C23" s="2" t="s">
        <v>263</v>
      </c>
      <c r="D23" s="2" t="s">
        <v>264</v>
      </c>
      <c r="E23" s="5">
        <v>45460.233587962961</v>
      </c>
      <c r="F23" s="2" t="s">
        <v>1000</v>
      </c>
      <c r="G23" s="2">
        <v>17486</v>
      </c>
      <c r="H23" s="2">
        <v>0</v>
      </c>
      <c r="I23" s="2">
        <v>0</v>
      </c>
      <c r="J23" s="2">
        <v>0</v>
      </c>
      <c r="K23" s="2" t="s">
        <v>31</v>
      </c>
      <c r="L23" s="4">
        <v>161.75</v>
      </c>
      <c r="M23" s="2"/>
      <c r="N23" t="s">
        <v>4457</v>
      </c>
    </row>
    <row r="24" spans="1:14" ht="409.6" x14ac:dyDescent="0.3">
      <c r="A24" s="2" t="s">
        <v>1001</v>
      </c>
      <c r="B24" s="2" t="str">
        <f>HYPERLINK("https://www.socceramerica.com/indy-elevens-sean-mcauley-on-the-usl-championships-growth-and-challenges-the-open-cup-and-what-hed-ask-alex-ferguson/")</f>
        <v>https://www.socceramerica.com/indy-elevens-sean-mcauley-on-the-usl-championships-growth-and-challenges-the-open-cup-and-what-hed-ask-alex-ferguson/</v>
      </c>
      <c r="C24" s="2" t="s">
        <v>1002</v>
      </c>
      <c r="D24" s="2" t="s">
        <v>264</v>
      </c>
      <c r="E24" s="5">
        <v>45460.027499999997</v>
      </c>
      <c r="F24" s="2" t="s">
        <v>1003</v>
      </c>
      <c r="G24" s="2">
        <v>17486</v>
      </c>
      <c r="H24" s="2">
        <v>1</v>
      </c>
      <c r="I24" s="2">
        <v>9982</v>
      </c>
      <c r="J24" s="2">
        <v>26</v>
      </c>
      <c r="K24" s="2" t="s">
        <v>25</v>
      </c>
      <c r="L24" s="4">
        <v>161.75</v>
      </c>
      <c r="M24" s="2"/>
      <c r="N24" t="s">
        <v>4457</v>
      </c>
    </row>
    <row r="25" spans="1:14" ht="409.6" x14ac:dyDescent="0.3">
      <c r="A25" s="2" t="s">
        <v>34</v>
      </c>
      <c r="B25" s="2" t="str">
        <f>HYPERLINK("https://www.heraldbulletin.com/sports/coming-up/article_a659d9ae-2bf1-11ef-8082-cb67ba0a795a.html")</f>
        <v>https://www.heraldbulletin.com/sports/coming-up/article_a659d9ae-2bf1-11ef-8082-cb67ba0a795a.html</v>
      </c>
      <c r="C25" s="2"/>
      <c r="D25" s="2" t="s">
        <v>35</v>
      </c>
      <c r="E25" s="5">
        <v>45459.473032407397</v>
      </c>
      <c r="F25" s="2" t="s">
        <v>1004</v>
      </c>
      <c r="G25" s="2">
        <v>50260</v>
      </c>
      <c r="H25" s="2">
        <v>0</v>
      </c>
      <c r="I25" s="2">
        <v>0</v>
      </c>
      <c r="J25" s="2">
        <v>1</v>
      </c>
      <c r="K25" s="2" t="s">
        <v>47</v>
      </c>
      <c r="L25" s="4">
        <v>464.9</v>
      </c>
      <c r="M25" s="2"/>
      <c r="N25" t="s">
        <v>4458</v>
      </c>
    </row>
    <row r="26" spans="1:14" ht="409.6" x14ac:dyDescent="0.3">
      <c r="A26" s="2" t="s">
        <v>1005</v>
      </c>
      <c r="B26" s="2" t="str">
        <f>HYPERLINK("https://headtopics.com/us/san-antonio-fc-falls-1-0-at-indy-eleven-54326685")</f>
        <v>https://headtopics.com/us/san-antonio-fc-falls-1-0-at-indy-eleven-54326685</v>
      </c>
      <c r="C26" s="2"/>
      <c r="D26" s="2" t="s">
        <v>283</v>
      </c>
      <c r="E26" s="5">
        <v>45459.115972222222</v>
      </c>
      <c r="F26" s="2" t="s">
        <v>1006</v>
      </c>
      <c r="G26" s="2">
        <v>55248</v>
      </c>
      <c r="H26" s="2">
        <v>0</v>
      </c>
      <c r="I26" s="2">
        <v>0</v>
      </c>
      <c r="J26" s="2">
        <v>0</v>
      </c>
      <c r="K26" s="2" t="s">
        <v>31</v>
      </c>
      <c r="L26" s="4">
        <v>511.04</v>
      </c>
      <c r="M26" s="2"/>
      <c r="N26" t="s">
        <v>4459</v>
      </c>
    </row>
    <row r="27" spans="1:14" ht="409.6" x14ac:dyDescent="0.3">
      <c r="A27" s="2" t="s">
        <v>1005</v>
      </c>
      <c r="B27" s="2" t="str">
        <f>HYPERLINK("https://www.expressnews.com/sports/article/san-antonio-fc-falls-1-0-indy-eleven-19516720.php")</f>
        <v>https://www.expressnews.com/sports/article/san-antonio-fc-falls-1-0-indy-eleven-19516720.php</v>
      </c>
      <c r="C27" s="2" t="s">
        <v>993</v>
      </c>
      <c r="D27" s="2" t="s">
        <v>994</v>
      </c>
      <c r="E27" s="5">
        <v>45459.043402777781</v>
      </c>
      <c r="F27" s="2" t="s">
        <v>1007</v>
      </c>
      <c r="G27" s="2">
        <v>1305534</v>
      </c>
      <c r="H27" s="2">
        <v>1</v>
      </c>
      <c r="I27" s="2">
        <v>1127</v>
      </c>
      <c r="J27" s="2">
        <v>3</v>
      </c>
      <c r="K27" s="2" t="s">
        <v>31</v>
      </c>
      <c r="L27" s="4">
        <v>12076.19</v>
      </c>
      <c r="M27" s="2"/>
      <c r="N27" t="s">
        <v>4457</v>
      </c>
    </row>
    <row r="28" spans="1:14" ht="409.6" x14ac:dyDescent="0.3">
      <c r="A28" s="2" t="s">
        <v>1008</v>
      </c>
      <c r="B28" s="2" t="str">
        <f>HYPERLINK("https://fwrdaxis.com/own-goal-costs-depleted-san-antonio-fc-in-indiana/")</f>
        <v>https://fwrdaxis.com/own-goal-costs-depleted-san-antonio-fc-in-indiana/</v>
      </c>
      <c r="C28" s="2" t="s">
        <v>1009</v>
      </c>
      <c r="D28" s="2" t="s">
        <v>1010</v>
      </c>
      <c r="E28" s="5">
        <v>45459.015104166669</v>
      </c>
      <c r="F28" s="2" t="s">
        <v>1011</v>
      </c>
      <c r="G28" s="2">
        <v>201</v>
      </c>
      <c r="H28" s="2">
        <v>0</v>
      </c>
      <c r="I28" s="2">
        <v>0</v>
      </c>
      <c r="J28" s="2">
        <v>9</v>
      </c>
      <c r="K28" s="2" t="s">
        <v>31</v>
      </c>
      <c r="L28" s="4">
        <v>1.86</v>
      </c>
      <c r="M28" s="2"/>
      <c r="N28" t="s">
        <v>4459</v>
      </c>
    </row>
    <row r="29" spans="1:14" ht="382.8" x14ac:dyDescent="0.3">
      <c r="A29" s="2" t="s">
        <v>1012</v>
      </c>
      <c r="B29" s="2" t="str">
        <f>HYPERLINK("https://www.oursportscentral.com/services/releases/san-antonio-fc-falls-0-1-at-indy-eleven/n-6109969")</f>
        <v>https://www.oursportscentral.com/services/releases/san-antonio-fc-falls-0-1-at-indy-eleven/n-6109969</v>
      </c>
      <c r="C29" s="2"/>
      <c r="D29" s="2" t="s">
        <v>24</v>
      </c>
      <c r="E29" s="5">
        <v>45458.852777777778</v>
      </c>
      <c r="F29" s="2" t="s">
        <v>1013</v>
      </c>
      <c r="G29" s="2">
        <v>40402</v>
      </c>
      <c r="H29" s="2">
        <v>0</v>
      </c>
      <c r="I29" s="2">
        <v>0</v>
      </c>
      <c r="J29" s="2">
        <v>0</v>
      </c>
      <c r="K29" s="2" t="s">
        <v>25</v>
      </c>
      <c r="L29" s="4">
        <v>373.72</v>
      </c>
      <c r="M29" s="2"/>
      <c r="N29" t="s">
        <v>4457</v>
      </c>
    </row>
    <row r="30" spans="1:14" ht="409.6" x14ac:dyDescent="0.3">
      <c r="A30" s="2" t="s">
        <v>1014</v>
      </c>
      <c r="B30" s="2" t="str">
        <f>HYPERLINK("https://www.oursportscentral.com/services/releases/indy-now-unbeaten-in-12-straight-across-all-competitions/n-6109793")</f>
        <v>https://www.oursportscentral.com/services/releases/indy-now-unbeaten-in-12-straight-across-all-competitions/n-6109793</v>
      </c>
      <c r="C30" s="2"/>
      <c r="D30" s="2" t="s">
        <v>24</v>
      </c>
      <c r="E30" s="5">
        <v>45458.781944444447</v>
      </c>
      <c r="F30" s="2" t="s">
        <v>1015</v>
      </c>
      <c r="G30" s="2">
        <v>40402</v>
      </c>
      <c r="H30" s="2">
        <v>0</v>
      </c>
      <c r="I30" s="2">
        <v>0</v>
      </c>
      <c r="J30" s="2">
        <v>0</v>
      </c>
      <c r="K30" s="2" t="s">
        <v>25</v>
      </c>
      <c r="L30" s="4">
        <v>373.72</v>
      </c>
      <c r="M30" s="2"/>
      <c r="N30" t="s">
        <v>4457</v>
      </c>
    </row>
    <row r="31" spans="1:14" ht="409.6" x14ac:dyDescent="0.3">
      <c r="A31" s="2" t="s">
        <v>1016</v>
      </c>
      <c r="B31" s="2" t="str">
        <f>HYPERLINK("https://www.oursportscentral.com/services/releases/6-15-2024-indy-eleven-vs-san-antonio-fc--game-highlights/n-6109791")</f>
        <v>https://www.oursportscentral.com/services/releases/6-15-2024-indy-eleven-vs-san-antonio-fc--game-highlights/n-6109791</v>
      </c>
      <c r="C31" s="2"/>
      <c r="D31" s="2" t="s">
        <v>24</v>
      </c>
      <c r="E31" s="5">
        <v>45458.78125</v>
      </c>
      <c r="F31" s="2" t="s">
        <v>1017</v>
      </c>
      <c r="G31" s="2">
        <v>40402</v>
      </c>
      <c r="H31" s="2">
        <v>0</v>
      </c>
      <c r="I31" s="2">
        <v>0</v>
      </c>
      <c r="J31" s="2">
        <v>0</v>
      </c>
      <c r="K31" s="2" t="s">
        <v>25</v>
      </c>
      <c r="L31" s="4">
        <v>373.72</v>
      </c>
      <c r="M31" s="2"/>
      <c r="N31" t="s">
        <v>4457</v>
      </c>
    </row>
    <row r="32" spans="1:14" ht="409.6" x14ac:dyDescent="0.3">
      <c r="A32" s="2" t="s">
        <v>34</v>
      </c>
      <c r="B32" s="2" t="str">
        <f>HYPERLINK("https://www.heraldbulletin.com/sports/coming-up/article_ee1c270a-2a8a-11ef-91d7-23ebff51b462.html")</f>
        <v>https://www.heraldbulletin.com/sports/coming-up/article_ee1c270a-2a8a-11ef-91d7-23ebff51b462.html</v>
      </c>
      <c r="C32" s="2"/>
      <c r="D32" s="2" t="s">
        <v>35</v>
      </c>
      <c r="E32" s="5">
        <v>45458.296249999999</v>
      </c>
      <c r="F32" s="2" t="s">
        <v>1020</v>
      </c>
      <c r="G32" s="2">
        <v>50260</v>
      </c>
      <c r="H32" s="2">
        <v>0</v>
      </c>
      <c r="I32" s="2">
        <v>0</v>
      </c>
      <c r="J32" s="2">
        <v>2</v>
      </c>
      <c r="K32" s="2" t="s">
        <v>25</v>
      </c>
      <c r="L32" s="4">
        <v>464.9</v>
      </c>
      <c r="M32" s="2"/>
      <c r="N32" t="s">
        <v>4458</v>
      </c>
    </row>
    <row r="33" spans="1:14" ht="158.4" x14ac:dyDescent="0.3">
      <c r="A33" s="2" t="s">
        <v>1021</v>
      </c>
      <c r="B33" s="2" t="str">
        <f>HYPERLINK("https://www.oursportscentral.com/services/releases/game-information-and-match-notes--safc-at-indy-eleven/n-6109629")</f>
        <v>https://www.oursportscentral.com/services/releases/game-information-and-match-notes--safc-at-indy-eleven/n-6109629</v>
      </c>
      <c r="C33" s="2"/>
      <c r="D33" s="2" t="s">
        <v>24</v>
      </c>
      <c r="E33" s="5">
        <v>45458.276388888888</v>
      </c>
      <c r="F33" s="2" t="s">
        <v>1022</v>
      </c>
      <c r="G33" s="2">
        <v>40402</v>
      </c>
      <c r="H33" s="2">
        <v>0</v>
      </c>
      <c r="I33" s="2">
        <v>0</v>
      </c>
      <c r="J33" s="2">
        <v>0</v>
      </c>
      <c r="K33" s="2" t="s">
        <v>25</v>
      </c>
      <c r="L33" s="4">
        <v>373.72</v>
      </c>
      <c r="M33" s="2"/>
      <c r="N33" t="s">
        <v>4457</v>
      </c>
    </row>
    <row r="34" spans="1:14" ht="409.6" x14ac:dyDescent="0.3">
      <c r="A34" s="2" t="s">
        <v>1024</v>
      </c>
      <c r="B34" s="2" t="str">
        <f>HYPERLINK("https://www.hartfordathletic.com/news/2024/06/14/hartford-athletic-acquire-defender-younes-boudadi-transfer-forward-romario-williams-to-indy-eleven/")</f>
        <v>https://www.hartfordathletic.com/news/2024/06/14/hartford-athletic-acquire-defender-younes-boudadi-transfer-forward-romario-williams-to-indy-eleven/</v>
      </c>
      <c r="C34" s="2"/>
      <c r="D34" s="2" t="s">
        <v>404</v>
      </c>
      <c r="E34" s="5">
        <v>45457.410740740743</v>
      </c>
      <c r="F34" s="2" t="s">
        <v>1025</v>
      </c>
      <c r="G34" s="2"/>
      <c r="H34" s="2">
        <v>1</v>
      </c>
      <c r="I34" s="2">
        <v>1104</v>
      </c>
      <c r="J34" s="2">
        <v>1</v>
      </c>
      <c r="K34" s="2" t="s">
        <v>25</v>
      </c>
      <c r="L34" s="2"/>
      <c r="M34" s="2"/>
      <c r="N34" t="s">
        <v>4457</v>
      </c>
    </row>
    <row r="35" spans="1:14" ht="409.6" x14ac:dyDescent="0.3">
      <c r="A35" s="2" t="s">
        <v>1026</v>
      </c>
      <c r="B35" s="2" t="str">
        <f>HYPERLINK("https://www.ibj.com/articles/jennifer-wagner-chartier-suburbs-offer-opportunity-to-indy-eleven")</f>
        <v>https://www.ibj.com/articles/jennifer-wagner-chartier-suburbs-offer-opportunity-to-indy-eleven</v>
      </c>
      <c r="C35" s="2" t="s">
        <v>1027</v>
      </c>
      <c r="D35" s="2" t="s">
        <v>268</v>
      </c>
      <c r="E35" s="5">
        <v>45457.387164351851</v>
      </c>
      <c r="F35" s="2" t="s">
        <v>1028</v>
      </c>
      <c r="G35" s="2">
        <v>112057</v>
      </c>
      <c r="H35" s="2">
        <v>0</v>
      </c>
      <c r="I35" s="2">
        <v>0</v>
      </c>
      <c r="J35" s="2">
        <v>0</v>
      </c>
      <c r="K35" s="2" t="s">
        <v>25</v>
      </c>
      <c r="L35" s="4">
        <v>1036.53</v>
      </c>
      <c r="M35" s="2"/>
      <c r="N35" t="s">
        <v>4458</v>
      </c>
    </row>
    <row r="36" spans="1:14" ht="409.6" x14ac:dyDescent="0.3">
      <c r="A36" s="2" t="s">
        <v>1024</v>
      </c>
      <c r="B36" s="2" t="str">
        <f>HYPERLINK("https://www.oursportscentral.com/services/releases/hartford-athletic-acquire-defender-younes-boudadi-transfer-forward-romario-williams-to-indy-eleven/n-6109129")</f>
        <v>https://www.oursportscentral.com/services/releases/hartford-athletic-acquire-defender-younes-boudadi-transfer-forward-romario-williams-to-indy-eleven/n-6109129</v>
      </c>
      <c r="C36" s="2"/>
      <c r="D36" s="2" t="s">
        <v>24</v>
      </c>
      <c r="E36" s="5">
        <v>45457.323611111111</v>
      </c>
      <c r="F36" s="2" t="s">
        <v>1029</v>
      </c>
      <c r="G36" s="2">
        <v>40402</v>
      </c>
      <c r="H36" s="2">
        <v>0</v>
      </c>
      <c r="I36" s="2">
        <v>0</v>
      </c>
      <c r="J36" s="2">
        <v>0</v>
      </c>
      <c r="K36" s="2" t="s">
        <v>25</v>
      </c>
      <c r="L36" s="4">
        <v>373.72</v>
      </c>
      <c r="M36" s="2"/>
      <c r="N36" t="s">
        <v>4457</v>
      </c>
    </row>
    <row r="37" spans="1:14" ht="409.6" x14ac:dyDescent="0.3">
      <c r="A37" s="2" t="s">
        <v>1030</v>
      </c>
      <c r="B37" s="2" t="str">
        <f>HYPERLINK("https://www.oursportscentral.com/services/releases/indy-eleven-acquires-romario-williams-from-hartford-athletic/n-6109130")</f>
        <v>https://www.oursportscentral.com/services/releases/indy-eleven-acquires-romario-williams-from-hartford-athletic/n-6109130</v>
      </c>
      <c r="C37" s="2"/>
      <c r="D37" s="2" t="s">
        <v>24</v>
      </c>
      <c r="E37" s="5">
        <v>45457.323611111111</v>
      </c>
      <c r="F37" s="2" t="s">
        <v>1031</v>
      </c>
      <c r="G37" s="2">
        <v>40402</v>
      </c>
      <c r="H37" s="2">
        <v>0</v>
      </c>
      <c r="I37" s="2">
        <v>0</v>
      </c>
      <c r="J37" s="2">
        <v>0</v>
      </c>
      <c r="K37" s="2" t="s">
        <v>25</v>
      </c>
      <c r="L37" s="4">
        <v>373.72</v>
      </c>
      <c r="M37" s="2"/>
      <c r="N37" t="s">
        <v>4457</v>
      </c>
    </row>
    <row r="38" spans="1:14" ht="409.6" x14ac:dyDescent="0.3">
      <c r="A38" s="2" t="s">
        <v>34</v>
      </c>
      <c r="B38" s="2" t="str">
        <f>HYPERLINK("https://www.heraldbulletin.com/sports/coming-up/article_91b86a0c-29b6-11ef-bc1b-bb9c373faae2.html")</f>
        <v>https://www.heraldbulletin.com/sports/coming-up/article_91b86a0c-29b6-11ef-bc1b-bb9c373faae2.html</v>
      </c>
      <c r="C38" s="2"/>
      <c r="D38" s="2" t="s">
        <v>35</v>
      </c>
      <c r="E38" s="5">
        <v>45457.300902777781</v>
      </c>
      <c r="F38" s="2" t="s">
        <v>1020</v>
      </c>
      <c r="G38" s="2">
        <v>50260</v>
      </c>
      <c r="H38" s="2">
        <v>0</v>
      </c>
      <c r="I38" s="2">
        <v>0</v>
      </c>
      <c r="J38" s="2">
        <v>2</v>
      </c>
      <c r="K38" s="2" t="s">
        <v>25</v>
      </c>
      <c r="L38" s="4">
        <v>464.9</v>
      </c>
      <c r="M38" s="2"/>
      <c r="N38" t="s">
        <v>4458</v>
      </c>
    </row>
    <row r="39" spans="1:14" ht="409.6" x14ac:dyDescent="0.3">
      <c r="A39" s="2" t="s">
        <v>1032</v>
      </c>
      <c r="B39" s="2" t="str">
        <f>HYPERLINK("https://headtopics.com/us/san-antonio-fc-looks-to-snap-losing-streak-at-indy-eleven-54227925")</f>
        <v>https://headtopics.com/us/san-antonio-fc-looks-to-snap-losing-streak-at-indy-eleven-54227925</v>
      </c>
      <c r="C39" s="2"/>
      <c r="D39" s="2" t="s">
        <v>283</v>
      </c>
      <c r="E39" s="5">
        <v>45456.75277777778</v>
      </c>
      <c r="F39" s="2" t="s">
        <v>1033</v>
      </c>
      <c r="G39" s="2">
        <v>55248</v>
      </c>
      <c r="H39" s="2">
        <v>0</v>
      </c>
      <c r="I39" s="2">
        <v>0</v>
      </c>
      <c r="J39" s="2">
        <v>0</v>
      </c>
      <c r="K39" s="2" t="s">
        <v>47</v>
      </c>
      <c r="L39" s="4">
        <v>511.04</v>
      </c>
      <c r="M39" s="2"/>
      <c r="N39" t="s">
        <v>4459</v>
      </c>
    </row>
    <row r="40" spans="1:14" ht="409.6" x14ac:dyDescent="0.3">
      <c r="A40" s="2" t="s">
        <v>1032</v>
      </c>
      <c r="B40" s="2" t="str">
        <f>HYPERLINK("https://www.expressnews.com/sports/article/san-antonio-fc-looks-snap-losing-streak-indy-19513346.php")</f>
        <v>https://www.expressnews.com/sports/article/san-antonio-fc-looks-snap-losing-streak-indy-19513346.php</v>
      </c>
      <c r="C40" s="2" t="s">
        <v>993</v>
      </c>
      <c r="D40" s="2" t="s">
        <v>994</v>
      </c>
      <c r="E40" s="5">
        <v>45456.719039351847</v>
      </c>
      <c r="F40" s="2" t="s">
        <v>1034</v>
      </c>
      <c r="G40" s="2">
        <v>1305534</v>
      </c>
      <c r="H40" s="2">
        <v>1</v>
      </c>
      <c r="I40" s="2">
        <v>1127</v>
      </c>
      <c r="J40" s="2">
        <v>27</v>
      </c>
      <c r="K40" s="2" t="s">
        <v>47</v>
      </c>
      <c r="L40" s="4">
        <v>12076.19</v>
      </c>
      <c r="M40" s="2"/>
      <c r="N40" t="s">
        <v>4457</v>
      </c>
    </row>
    <row r="41" spans="1:14" ht="409.6" x14ac:dyDescent="0.3">
      <c r="A41" s="2" t="s">
        <v>34</v>
      </c>
      <c r="B41" s="2" t="str">
        <f>HYPERLINK("https://www.heraldbulletin.com/sports/coming-up/article_89cee216-290d-11ef-bd48-cf73faf99c13.html")</f>
        <v>https://www.heraldbulletin.com/sports/coming-up/article_89cee216-290d-11ef-bd48-cf73faf99c13.html</v>
      </c>
      <c r="C41" s="2"/>
      <c r="D41" s="2" t="s">
        <v>35</v>
      </c>
      <c r="E41" s="5">
        <v>45456.304166666669</v>
      </c>
      <c r="F41" s="2" t="s">
        <v>1020</v>
      </c>
      <c r="G41" s="2">
        <v>50260</v>
      </c>
      <c r="H41" s="2">
        <v>0</v>
      </c>
      <c r="I41" s="2">
        <v>0</v>
      </c>
      <c r="J41" s="2">
        <v>1</v>
      </c>
      <c r="K41" s="2" t="s">
        <v>25</v>
      </c>
      <c r="L41" s="4">
        <v>464.9</v>
      </c>
      <c r="M41" s="2"/>
      <c r="N41" t="s">
        <v>4458</v>
      </c>
    </row>
    <row r="42" spans="1:14" ht="409.6" x14ac:dyDescent="0.3">
      <c r="A42" s="2" t="s">
        <v>1035</v>
      </c>
      <c r="B42" s="2" t="str">
        <f>HYPERLINK("https://www.uslchampionship.com/news_article/show/1312320")</f>
        <v>https://www.uslchampionship.com/news_article/show/1312320</v>
      </c>
      <c r="C42" s="2" t="s">
        <v>45</v>
      </c>
      <c r="D42" s="2" t="s">
        <v>28</v>
      </c>
      <c r="E42" s="5">
        <v>45455.559027777781</v>
      </c>
      <c r="F42" s="2" t="s">
        <v>1036</v>
      </c>
      <c r="G42" s="2">
        <v>44392</v>
      </c>
      <c r="H42" s="2">
        <v>0</v>
      </c>
      <c r="I42" s="2">
        <v>0</v>
      </c>
      <c r="J42" s="2">
        <v>0</v>
      </c>
      <c r="K42" s="2" t="s">
        <v>25</v>
      </c>
      <c r="L42" s="4">
        <v>410.63</v>
      </c>
      <c r="M42" s="2"/>
      <c r="N42" t="s">
        <v>4457</v>
      </c>
    </row>
    <row r="43" spans="1:14" ht="409.6" x14ac:dyDescent="0.3">
      <c r="A43" s="2" t="s">
        <v>1037</v>
      </c>
      <c r="B43" s="2" t="str">
        <f>HYPERLINK("https://www.uslchampionship.com/news_article/show/1312290")</f>
        <v>https://www.uslchampionship.com/news_article/show/1312290</v>
      </c>
      <c r="C43" s="2" t="s">
        <v>26</v>
      </c>
      <c r="D43" s="2" t="s">
        <v>28</v>
      </c>
      <c r="E43" s="5">
        <v>45455.520833333343</v>
      </c>
      <c r="F43" s="2" t="s">
        <v>1038</v>
      </c>
      <c r="G43" s="2">
        <v>44392</v>
      </c>
      <c r="H43" s="2">
        <v>0</v>
      </c>
      <c r="I43" s="2">
        <v>0</v>
      </c>
      <c r="J43" s="2">
        <v>42</v>
      </c>
      <c r="K43" s="2" t="s">
        <v>25</v>
      </c>
      <c r="L43" s="4">
        <v>410.63</v>
      </c>
      <c r="M43" s="2"/>
      <c r="N43" t="s">
        <v>4457</v>
      </c>
    </row>
    <row r="44" spans="1:14" ht="409.6" x14ac:dyDescent="0.3">
      <c r="A44" s="2" t="s">
        <v>1039</v>
      </c>
      <c r="B44" s="2" t="str">
        <f>HYPERLINK("https://www.indyeleven.com/news/2024/06/12/mcauley-named-usl-championship-coach-of-the-month/")</f>
        <v>https://www.indyeleven.com/news/2024/06/12/mcauley-named-usl-championship-coach-of-the-month/</v>
      </c>
      <c r="C44" s="2"/>
      <c r="D44" s="2" t="s">
        <v>893</v>
      </c>
      <c r="E44" s="5">
        <v>45455.520833333343</v>
      </c>
      <c r="F44" s="2" t="s">
        <v>1040</v>
      </c>
      <c r="G44" s="2">
        <v>6018</v>
      </c>
      <c r="H44" s="2">
        <v>1</v>
      </c>
      <c r="I44" s="2">
        <v>1445</v>
      </c>
      <c r="J44" s="2">
        <v>1</v>
      </c>
      <c r="K44" s="2" t="s">
        <v>25</v>
      </c>
      <c r="L44" s="4">
        <v>55.67</v>
      </c>
      <c r="M44" s="2"/>
      <c r="N44" t="s">
        <v>4458</v>
      </c>
    </row>
    <row r="45" spans="1:14" ht="409.6" x14ac:dyDescent="0.3">
      <c r="A45" s="2" t="s">
        <v>1039</v>
      </c>
      <c r="B45" s="2" t="str">
        <f>HYPERLINK("https://www.oursportscentral.com/services/releases/mcauley-named-usl-championship-coach-of-the-month/n-6108187")</f>
        <v>https://www.oursportscentral.com/services/releases/mcauley-named-usl-championship-coach-of-the-month/n-6108187</v>
      </c>
      <c r="C45" s="2"/>
      <c r="D45" s="2" t="s">
        <v>24</v>
      </c>
      <c r="E45" s="5">
        <v>45455.447222222218</v>
      </c>
      <c r="F45" s="2" t="s">
        <v>1041</v>
      </c>
      <c r="G45" s="2">
        <v>40402</v>
      </c>
      <c r="H45" s="2">
        <v>0</v>
      </c>
      <c r="I45" s="2">
        <v>0</v>
      </c>
      <c r="J45" s="2">
        <v>0</v>
      </c>
      <c r="K45" s="2" t="s">
        <v>25</v>
      </c>
      <c r="L45" s="4">
        <v>373.72</v>
      </c>
      <c r="M45" s="2"/>
      <c r="N45" t="s">
        <v>4457</v>
      </c>
    </row>
    <row r="46" spans="1:14" ht="409.6" x14ac:dyDescent="0.3">
      <c r="A46" s="2" t="s">
        <v>1042</v>
      </c>
      <c r="B46" s="2" t="str">
        <f>HYPERLINK("https://www.uslchampionship.com/news_article/show/1312286")</f>
        <v>https://www.uslchampionship.com/news_article/show/1312286</v>
      </c>
      <c r="C46" s="2" t="s">
        <v>26</v>
      </c>
      <c r="D46" s="2" t="s">
        <v>28</v>
      </c>
      <c r="E46" s="5">
        <v>45455.354166666657</v>
      </c>
      <c r="F46" s="2" t="s">
        <v>1043</v>
      </c>
      <c r="G46" s="2">
        <v>44392</v>
      </c>
      <c r="H46" s="2">
        <v>0</v>
      </c>
      <c r="I46" s="2">
        <v>0</v>
      </c>
      <c r="J46" s="2">
        <v>0</v>
      </c>
      <c r="K46" s="2" t="s">
        <v>25</v>
      </c>
      <c r="L46" s="4">
        <v>410.63</v>
      </c>
      <c r="M46" s="2"/>
      <c r="N46" t="s">
        <v>4457</v>
      </c>
    </row>
    <row r="47" spans="1:14" ht="409.6" x14ac:dyDescent="0.3">
      <c r="A47" s="2" t="s">
        <v>34</v>
      </c>
      <c r="B47" s="2" t="str">
        <f>HYPERLINK("https://www.heraldbulletin.com/sports/coming-up/article_56b87c90-2839-11ef-afdd-137bfd74af72.html")</f>
        <v>https://www.heraldbulletin.com/sports/coming-up/article_56b87c90-2839-11ef-afdd-137bfd74af72.html</v>
      </c>
      <c r="C47" s="2"/>
      <c r="D47" s="2" t="s">
        <v>35</v>
      </c>
      <c r="E47" s="5">
        <v>45455.294305555559</v>
      </c>
      <c r="F47" s="2" t="s">
        <v>1044</v>
      </c>
      <c r="G47" s="2">
        <v>50260</v>
      </c>
      <c r="H47" s="2">
        <v>0</v>
      </c>
      <c r="I47" s="2">
        <v>0</v>
      </c>
      <c r="J47" s="2">
        <v>12</v>
      </c>
      <c r="K47" s="2" t="s">
        <v>25</v>
      </c>
      <c r="L47" s="4">
        <v>464.9</v>
      </c>
      <c r="M47" s="2"/>
      <c r="N47" t="s">
        <v>4458</v>
      </c>
    </row>
    <row r="48" spans="1:14" ht="409.6" x14ac:dyDescent="0.3">
      <c r="A48" s="2" t="s">
        <v>1045</v>
      </c>
      <c r="B48" s="2" t="str">
        <f>HYPERLINK("https://www.oursportscentral.com/services/releases/how-indy-eleven-built-the-longest-winning-streak-in-its-history-usl-all-access/n-6108115")</f>
        <v>https://www.oursportscentral.com/services/releases/how-indy-eleven-built-the-longest-winning-streak-in-its-history-usl-all-access/n-6108115</v>
      </c>
      <c r="C48" s="2"/>
      <c r="D48" s="2" t="s">
        <v>24</v>
      </c>
      <c r="E48" s="5">
        <v>45455.259722222218</v>
      </c>
      <c r="F48" s="2" t="s">
        <v>1046</v>
      </c>
      <c r="G48" s="2">
        <v>40402</v>
      </c>
      <c r="H48" s="2">
        <v>0</v>
      </c>
      <c r="I48" s="2">
        <v>0</v>
      </c>
      <c r="J48" s="2">
        <v>0</v>
      </c>
      <c r="K48" s="2" t="s">
        <v>25</v>
      </c>
      <c r="L48" s="4">
        <v>373.72</v>
      </c>
      <c r="M48" s="2"/>
      <c r="N48" t="s">
        <v>4457</v>
      </c>
    </row>
    <row r="49" spans="1:14" ht="409.6" x14ac:dyDescent="0.3">
      <c r="A49" s="2" t="s">
        <v>1047</v>
      </c>
      <c r="B49" s="2" t="str">
        <f>HYPERLINK("https://www.wishtv.com/sports/indy-eleven-make-history-with-seventh-straight-win/")</f>
        <v>https://www.wishtv.com/sports/indy-eleven-make-history-with-seventh-straight-win/</v>
      </c>
      <c r="C49" s="2" t="s">
        <v>1048</v>
      </c>
      <c r="D49" s="2" t="s">
        <v>38</v>
      </c>
      <c r="E49" s="5">
        <v>45454.693842592591</v>
      </c>
      <c r="F49" s="2" t="s">
        <v>1049</v>
      </c>
      <c r="G49" s="2">
        <v>568116</v>
      </c>
      <c r="H49" s="2">
        <v>1</v>
      </c>
      <c r="I49" s="2">
        <v>7751</v>
      </c>
      <c r="J49" s="2">
        <v>121</v>
      </c>
      <c r="K49" s="2" t="s">
        <v>25</v>
      </c>
      <c r="L49" s="4">
        <v>5255.07</v>
      </c>
      <c r="M49" s="2"/>
      <c r="N49" t="s">
        <v>4458</v>
      </c>
    </row>
    <row r="50" spans="1:14" ht="409.6" x14ac:dyDescent="0.3">
      <c r="A50" s="2" t="s">
        <v>34</v>
      </c>
      <c r="B50" s="2" t="str">
        <f>HYPERLINK("https://www.heraldbulletin.com/sports/coming-up/article_5ca1ec5c-2750-11ef-b6b0-0b8df8c20edb.html")</f>
        <v>https://www.heraldbulletin.com/sports/coming-up/article_5ca1ec5c-2750-11ef-b6b0-0b8df8c20edb.html</v>
      </c>
      <c r="C50" s="2"/>
      <c r="D50" s="2" t="s">
        <v>35</v>
      </c>
      <c r="E50" s="5">
        <v>45454.307152777779</v>
      </c>
      <c r="F50" s="2" t="s">
        <v>1050</v>
      </c>
      <c r="G50" s="2">
        <v>50260</v>
      </c>
      <c r="H50" s="2">
        <v>0</v>
      </c>
      <c r="I50" s="2">
        <v>0</v>
      </c>
      <c r="J50" s="2">
        <v>24</v>
      </c>
      <c r="K50" s="2" t="s">
        <v>25</v>
      </c>
      <c r="L50" s="4">
        <v>464.9</v>
      </c>
      <c r="M50" s="2"/>
      <c r="N50" t="s">
        <v>4458</v>
      </c>
    </row>
    <row r="51" spans="1:14" ht="409.6" x14ac:dyDescent="0.3">
      <c r="A51" s="2" t="s">
        <v>34</v>
      </c>
      <c r="B51" s="2" t="str">
        <f>HYPERLINK("https://www.heraldbulletin.com/sports/coming-up/article_9ca53f06-274c-11ef-934a-bf704503ed83.html")</f>
        <v>https://www.heraldbulletin.com/sports/coming-up/article_9ca53f06-274c-11ef-934a-bf704503ed83.html</v>
      </c>
      <c r="C51" s="2"/>
      <c r="D51" s="2" t="s">
        <v>35</v>
      </c>
      <c r="E51" s="5">
        <v>45453.576921296299</v>
      </c>
      <c r="F51" s="2" t="s">
        <v>1050</v>
      </c>
      <c r="G51" s="2">
        <v>50260</v>
      </c>
      <c r="H51" s="2">
        <v>0</v>
      </c>
      <c r="I51" s="2">
        <v>0</v>
      </c>
      <c r="J51" s="2">
        <v>0</v>
      </c>
      <c r="K51" s="2" t="s">
        <v>25</v>
      </c>
      <c r="L51" s="4">
        <v>464.9</v>
      </c>
      <c r="M51" s="2"/>
      <c r="N51" t="s">
        <v>4458</v>
      </c>
    </row>
    <row r="52" spans="1:14" ht="409.6" x14ac:dyDescent="0.3">
      <c r="A52" s="2" t="s">
        <v>1053</v>
      </c>
      <c r="B52" s="2" t="str">
        <f>HYPERLINK("https://www.uslchampionship.com/birminghamlegionfc-indyeleven-2416357")</f>
        <v>https://www.uslchampionship.com/birminghamlegionfc-indyeleven-2416357</v>
      </c>
      <c r="C52" s="2"/>
      <c r="D52" s="2" t="s">
        <v>28</v>
      </c>
      <c r="E52" s="5">
        <v>45452.894247685188</v>
      </c>
      <c r="F52" s="2" t="s">
        <v>1054</v>
      </c>
      <c r="G52" s="2">
        <v>44392</v>
      </c>
      <c r="H52" s="2">
        <v>0</v>
      </c>
      <c r="I52" s="2">
        <v>0</v>
      </c>
      <c r="J52" s="2">
        <v>0</v>
      </c>
      <c r="K52" s="2" t="s">
        <v>47</v>
      </c>
      <c r="L52" s="4">
        <v>410.63</v>
      </c>
      <c r="M52" s="2"/>
      <c r="N52" t="s">
        <v>4457</v>
      </c>
    </row>
    <row r="53" spans="1:14" ht="409.6" x14ac:dyDescent="0.3">
      <c r="A53" s="2" t="s">
        <v>1055</v>
      </c>
      <c r="B53" s="2" t="str">
        <f>HYPERLINK("https://www.oursportscentral.com/services/releases/blake-lifts-eleven-on-the-road/n-6107133")</f>
        <v>https://www.oursportscentral.com/services/releases/blake-lifts-eleven-on-the-road/n-6107133</v>
      </c>
      <c r="C53" s="2"/>
      <c r="D53" s="2" t="s">
        <v>24</v>
      </c>
      <c r="E53" s="5">
        <v>45452.787499999999</v>
      </c>
      <c r="F53" s="2" t="s">
        <v>1056</v>
      </c>
      <c r="G53" s="2">
        <v>40402</v>
      </c>
      <c r="H53" s="2">
        <v>0</v>
      </c>
      <c r="I53" s="2">
        <v>0</v>
      </c>
      <c r="J53" s="2">
        <v>0</v>
      </c>
      <c r="K53" s="2" t="s">
        <v>25</v>
      </c>
      <c r="L53" s="4">
        <v>373.72</v>
      </c>
      <c r="M53" s="2"/>
      <c r="N53" t="s">
        <v>4457</v>
      </c>
    </row>
    <row r="54" spans="1:14" ht="409.6" x14ac:dyDescent="0.3">
      <c r="A54" s="2" t="s">
        <v>1057</v>
      </c>
      <c r="B54" s="2" t="str">
        <f>HYPERLINK("https://www.oursportscentral.com/services/releases/6-9-2024-birmingham-legion-fc-vs-indy-eleven--game-highlights/n-6107129")</f>
        <v>https://www.oursportscentral.com/services/releases/6-9-2024-birmingham-legion-fc-vs-indy-eleven--game-highlights/n-6107129</v>
      </c>
      <c r="C54" s="2"/>
      <c r="D54" s="2" t="s">
        <v>24</v>
      </c>
      <c r="E54" s="5">
        <v>45452.779166666667</v>
      </c>
      <c r="F54" s="2" t="s">
        <v>1058</v>
      </c>
      <c r="G54" s="2">
        <v>40402</v>
      </c>
      <c r="H54" s="2">
        <v>0</v>
      </c>
      <c r="I54" s="2">
        <v>0</v>
      </c>
      <c r="J54" s="2">
        <v>0</v>
      </c>
      <c r="K54" s="2" t="s">
        <v>25</v>
      </c>
      <c r="L54" s="4">
        <v>373.72</v>
      </c>
      <c r="M54" s="2"/>
      <c r="N54" t="s">
        <v>4457</v>
      </c>
    </row>
    <row r="55" spans="1:14" ht="409.6" x14ac:dyDescent="0.3">
      <c r="A55" s="2" t="s">
        <v>34</v>
      </c>
      <c r="B55" s="2" t="str">
        <f>HYPERLINK("https://www.heraldbulletin.com/sports/coming-up/article_72a60932-260d-11ef-b5ae-6ba39a4d8c50.html")</f>
        <v>https://www.heraldbulletin.com/sports/coming-up/article_72a60932-260d-11ef-b5ae-6ba39a4d8c50.html</v>
      </c>
      <c r="C55" s="2"/>
      <c r="D55" s="2" t="s">
        <v>35</v>
      </c>
      <c r="E55" s="5">
        <v>45452.29991898148</v>
      </c>
      <c r="F55" s="2" t="s">
        <v>1059</v>
      </c>
      <c r="G55" s="2">
        <v>50260</v>
      </c>
      <c r="H55" s="2">
        <v>0</v>
      </c>
      <c r="I55" s="2">
        <v>0</v>
      </c>
      <c r="J55" s="2">
        <v>2</v>
      </c>
      <c r="K55" s="2" t="s">
        <v>25</v>
      </c>
      <c r="L55" s="4">
        <v>464.9</v>
      </c>
      <c r="M55" s="2"/>
      <c r="N55" t="s">
        <v>4458</v>
      </c>
    </row>
    <row r="56" spans="1:14" ht="409.6" x14ac:dyDescent="0.3">
      <c r="A56" s="2" t="s">
        <v>1060</v>
      </c>
      <c r="B56" s="2" t="str">
        <f>HYPERLINK("https://dailysports.net/predictions/birmingham-vs-indy-eleven-prediction-and-betting-tips-june-10-2024/")</f>
        <v>https://dailysports.net/predictions/birmingham-vs-indy-eleven-prediction-and-betting-tips-june-10-2024/</v>
      </c>
      <c r="C56" s="2" t="s">
        <v>284</v>
      </c>
      <c r="D56" s="2" t="s">
        <v>285</v>
      </c>
      <c r="E56" s="5">
        <v>45451.903668981482</v>
      </c>
      <c r="F56" s="2" t="s">
        <v>1061</v>
      </c>
      <c r="G56" s="2"/>
      <c r="H56" s="2">
        <v>0</v>
      </c>
      <c r="I56" s="2">
        <v>0</v>
      </c>
      <c r="J56" s="2">
        <v>0</v>
      </c>
      <c r="K56" s="2" t="s">
        <v>25</v>
      </c>
      <c r="L56" s="2"/>
      <c r="M56" s="2"/>
      <c r="N56" t="s">
        <v>4459</v>
      </c>
    </row>
    <row r="57" spans="1:14" ht="409.6" x14ac:dyDescent="0.3">
      <c r="A57" s="2" t="s">
        <v>34</v>
      </c>
      <c r="B57" s="2" t="str">
        <f>HYPERLINK("https://www.heraldbulletin.com/sports/coming-up/article_2117700c-250d-11ef-8d5c-6f4816810b35.html")</f>
        <v>https://www.heraldbulletin.com/sports/coming-up/article_2117700c-250d-11ef-8d5c-6f4816810b35.html</v>
      </c>
      <c r="C57" s="2"/>
      <c r="D57" s="2" t="s">
        <v>35</v>
      </c>
      <c r="E57" s="5">
        <v>45451.303483796299</v>
      </c>
      <c r="F57" s="2" t="s">
        <v>1059</v>
      </c>
      <c r="G57" s="2">
        <v>50260</v>
      </c>
      <c r="H57" s="2">
        <v>0</v>
      </c>
      <c r="I57" s="2">
        <v>0</v>
      </c>
      <c r="J57" s="2">
        <v>15</v>
      </c>
      <c r="K57" s="2" t="s">
        <v>25</v>
      </c>
      <c r="L57" s="4">
        <v>464.9</v>
      </c>
      <c r="M57" s="2"/>
      <c r="N57" t="s">
        <v>4458</v>
      </c>
    </row>
    <row r="58" spans="1:14" ht="409.6" x14ac:dyDescent="0.3">
      <c r="A58" s="2" t="s">
        <v>1064</v>
      </c>
      <c r="B58" s="2" t="str">
        <f>HYPERLINK("https://www.bhmlegion.com/news/2024/06/07/legion-fc-rides-momentum-as-red-hot-indy-eleven-looms/")</f>
        <v>https://www.bhmlegion.com/news/2024/06/07/legion-fc-rides-momentum-as-red-hot-indy-eleven-looms/</v>
      </c>
      <c r="C58" s="2"/>
      <c r="D58" s="2" t="s">
        <v>1065</v>
      </c>
      <c r="E58" s="5">
        <v>45450.683958333328</v>
      </c>
      <c r="F58" s="2" t="s">
        <v>1066</v>
      </c>
      <c r="G58" s="2"/>
      <c r="H58" s="2">
        <v>1</v>
      </c>
      <c r="I58" s="2">
        <v>1852</v>
      </c>
      <c r="J58" s="2">
        <v>1</v>
      </c>
      <c r="K58" s="2" t="s">
        <v>31</v>
      </c>
      <c r="L58" s="2"/>
      <c r="M58" s="2"/>
      <c r="N58" t="s">
        <v>4457</v>
      </c>
    </row>
    <row r="59" spans="1:14" ht="382.8" x14ac:dyDescent="0.3">
      <c r="A59" s="2" t="s">
        <v>1067</v>
      </c>
      <c r="B59" s="2" t="str">
        <f>HYPERLINK("https://www.wishtv.com/lifestylelive/stonewall-sports-bringing-fun-and-inclusivity-to-indianapolis/")</f>
        <v>https://www.wishtv.com/lifestylelive/stonewall-sports-bringing-fun-and-inclusivity-to-indianapolis/</v>
      </c>
      <c r="C59" s="2" t="s">
        <v>496</v>
      </c>
      <c r="D59" s="2" t="s">
        <v>135</v>
      </c>
      <c r="E59" s="5">
        <v>45450.464259259257</v>
      </c>
      <c r="F59" s="2" t="s">
        <v>1068</v>
      </c>
      <c r="G59" s="2">
        <v>568116</v>
      </c>
      <c r="H59" s="2">
        <v>0</v>
      </c>
      <c r="I59" s="2">
        <v>0</v>
      </c>
      <c r="J59" s="2">
        <v>5</v>
      </c>
      <c r="K59" s="2" t="s">
        <v>25</v>
      </c>
      <c r="L59" s="4">
        <v>5255.07</v>
      </c>
      <c r="M59" s="2"/>
      <c r="N59" t="s">
        <v>4458</v>
      </c>
    </row>
    <row r="60" spans="1:14" ht="409.6" x14ac:dyDescent="0.3">
      <c r="A60" s="2" t="s">
        <v>34</v>
      </c>
      <c r="B60" s="2" t="str">
        <f>HYPERLINK("https://www.heraldbulletin.com/sports/coming-up/article_ed2d7120-2443-11ef-a209-6bdd6c101170.html")</f>
        <v>https://www.heraldbulletin.com/sports/coming-up/article_ed2d7120-2443-11ef-a209-6bdd6c101170.html</v>
      </c>
      <c r="C60" s="2"/>
      <c r="D60" s="2" t="s">
        <v>35</v>
      </c>
      <c r="E60" s="5">
        <v>45450.316655092603</v>
      </c>
      <c r="F60" s="2" t="s">
        <v>1070</v>
      </c>
      <c r="G60" s="2">
        <v>50260</v>
      </c>
      <c r="H60" s="2">
        <v>0</v>
      </c>
      <c r="I60" s="2">
        <v>0</v>
      </c>
      <c r="J60" s="2">
        <v>1</v>
      </c>
      <c r="K60" s="2" t="s">
        <v>25</v>
      </c>
      <c r="L60" s="4">
        <v>464.9</v>
      </c>
      <c r="M60" s="2"/>
      <c r="N60" t="s">
        <v>4458</v>
      </c>
    </row>
    <row r="61" spans="1:14" ht="330" x14ac:dyDescent="0.3">
      <c r="A61" s="2" t="s">
        <v>1071</v>
      </c>
      <c r="B61" s="2" t="str">
        <f>HYPERLINK("https://www.oursportscentral.com/services/releases/indy-eleven-vs-orange-county-sc-june-22-2024/n-6105557")</f>
        <v>https://www.oursportscentral.com/services/releases/indy-eleven-vs-orange-county-sc-june-22-2024/n-6105557</v>
      </c>
      <c r="C61" s="2"/>
      <c r="D61" s="2" t="s">
        <v>24</v>
      </c>
      <c r="E61" s="5">
        <v>45449.80972222222</v>
      </c>
      <c r="F61" s="2" t="s">
        <v>1072</v>
      </c>
      <c r="G61" s="2">
        <v>40402</v>
      </c>
      <c r="H61" s="2">
        <v>0</v>
      </c>
      <c r="I61" s="2">
        <v>0</v>
      </c>
      <c r="J61" s="2">
        <v>0</v>
      </c>
      <c r="K61" s="2" t="s">
        <v>25</v>
      </c>
      <c r="L61" s="4">
        <v>373.72</v>
      </c>
      <c r="M61" s="2"/>
      <c r="N61" t="s">
        <v>4457</v>
      </c>
    </row>
    <row r="62" spans="1:14" ht="409.6" x14ac:dyDescent="0.3">
      <c r="A62" s="2" t="s">
        <v>34</v>
      </c>
      <c r="B62" s="2" t="str">
        <f>HYPERLINK("https://www.heraldbulletin.com/sports/coming-up/article_98bad34e-2362-11ef-92b6-e706222d27af.html")</f>
        <v>https://www.heraldbulletin.com/sports/coming-up/article_98bad34e-2362-11ef-92b6-e706222d27af.html</v>
      </c>
      <c r="C62" s="2"/>
      <c r="D62" s="2" t="s">
        <v>35</v>
      </c>
      <c r="E62" s="5">
        <v>45449.293391203697</v>
      </c>
      <c r="F62" s="2" t="s">
        <v>1075</v>
      </c>
      <c r="G62" s="2">
        <v>50260</v>
      </c>
      <c r="H62" s="2">
        <v>0</v>
      </c>
      <c r="I62" s="2">
        <v>0</v>
      </c>
      <c r="J62" s="2">
        <v>1</v>
      </c>
      <c r="K62" s="2" t="s">
        <v>25</v>
      </c>
      <c r="L62" s="4">
        <v>464.9</v>
      </c>
      <c r="M62" s="2"/>
      <c r="N62" t="s">
        <v>4458</v>
      </c>
    </row>
    <row r="63" spans="1:14" ht="409.6" x14ac:dyDescent="0.3">
      <c r="A63" s="2" t="s">
        <v>1076</v>
      </c>
      <c r="B63" s="2" t="str">
        <f>HYPERLINK("https://spotonindiana.com/in-blogs-entertainment/in-parents/2240534/indy-eleven-celebrates-11th-anniversary.html")</f>
        <v>https://spotonindiana.com/in-blogs-entertainment/in-parents/2240534/indy-eleven-celebrates-11th-anniversary.html</v>
      </c>
      <c r="C63" s="2"/>
      <c r="D63" s="2" t="s">
        <v>1077</v>
      </c>
      <c r="E63" s="5">
        <v>45448.938888888893</v>
      </c>
      <c r="F63" s="2" t="s">
        <v>1078</v>
      </c>
      <c r="G63" s="2">
        <v>908</v>
      </c>
      <c r="H63" s="2">
        <v>0</v>
      </c>
      <c r="I63" s="2">
        <v>0</v>
      </c>
      <c r="J63" s="2">
        <v>0</v>
      </c>
      <c r="K63" s="2" t="s">
        <v>25</v>
      </c>
      <c r="L63" s="4">
        <v>8.4</v>
      </c>
      <c r="M63" s="2"/>
      <c r="N63" t="s">
        <v>4458</v>
      </c>
    </row>
    <row r="64" spans="1:14" ht="409.6" x14ac:dyDescent="0.3">
      <c r="A64" s="2" t="s">
        <v>1076</v>
      </c>
      <c r="B64" s="2" t="str">
        <f>HYPERLINK("https://indyschild.com/indy-eleven-celebrates-11th-anniversary-season/")</f>
        <v>https://indyschild.com/indy-eleven-celebrates-11th-anniversary-season/</v>
      </c>
      <c r="C64" s="2" t="s">
        <v>1079</v>
      </c>
      <c r="D64" s="2" t="s">
        <v>1080</v>
      </c>
      <c r="E64" s="5">
        <v>45448.430717592593</v>
      </c>
      <c r="F64" s="2" t="s">
        <v>1081</v>
      </c>
      <c r="G64" s="2">
        <v>30517</v>
      </c>
      <c r="H64" s="2">
        <v>0</v>
      </c>
      <c r="I64" s="2">
        <v>0</v>
      </c>
      <c r="J64" s="2">
        <v>2</v>
      </c>
      <c r="K64" s="2" t="s">
        <v>25</v>
      </c>
      <c r="L64" s="4">
        <v>282.27999999999997</v>
      </c>
      <c r="M64" s="2"/>
      <c r="N64" t="s">
        <v>4458</v>
      </c>
    </row>
    <row r="65" spans="1:14" ht="409.6" x14ac:dyDescent="0.3">
      <c r="A65" s="2" t="s">
        <v>34</v>
      </c>
      <c r="B65" s="2" t="str">
        <f>HYPERLINK("https://www.heraldbulletin.com/sports/coming-up/article_4eca2502-2298-11ef-b216-73f7c2ce47c2.html")</f>
        <v>https://www.heraldbulletin.com/sports/coming-up/article_4eca2502-2298-11ef-b216-73f7c2ce47c2.html</v>
      </c>
      <c r="C65" s="2"/>
      <c r="D65" s="2" t="s">
        <v>35</v>
      </c>
      <c r="E65" s="5">
        <v>45448.29791666667</v>
      </c>
      <c r="F65" s="2" t="s">
        <v>1075</v>
      </c>
      <c r="G65" s="2">
        <v>50260</v>
      </c>
      <c r="H65" s="2">
        <v>0</v>
      </c>
      <c r="I65" s="2">
        <v>0</v>
      </c>
      <c r="J65" s="2">
        <v>28</v>
      </c>
      <c r="K65" s="2" t="s">
        <v>47</v>
      </c>
      <c r="L65" s="4">
        <v>464.9</v>
      </c>
      <c r="M65" s="2"/>
      <c r="N65" t="s">
        <v>4458</v>
      </c>
    </row>
    <row r="66" spans="1:14" ht="409.6" x14ac:dyDescent="0.3">
      <c r="A66" s="2" t="s">
        <v>1083</v>
      </c>
      <c r="B66" s="2" t="str">
        <f>HYPERLINK("https://www.yahoo.com/news/briggs-indy-elevens-loudest-voices-100427918.html")</f>
        <v>https://www.yahoo.com/news/briggs-indy-elevens-loudest-voices-100427918.html</v>
      </c>
      <c r="C66" s="2" t="s">
        <v>1084</v>
      </c>
      <c r="D66" s="2" t="s">
        <v>435</v>
      </c>
      <c r="E66" s="5">
        <v>45448.25309027778</v>
      </c>
      <c r="F66" s="2" t="s">
        <v>1085</v>
      </c>
      <c r="G66" s="2">
        <v>372878377</v>
      </c>
      <c r="H66" s="2">
        <v>0</v>
      </c>
      <c r="I66" s="2">
        <v>0</v>
      </c>
      <c r="J66" s="2">
        <v>0</v>
      </c>
      <c r="K66" s="2" t="s">
        <v>47</v>
      </c>
      <c r="L66" s="4">
        <v>3449124.99</v>
      </c>
      <c r="M66" s="2"/>
      <c r="N66" t="s">
        <v>4457</v>
      </c>
    </row>
    <row r="67" spans="1:14" ht="409.6" x14ac:dyDescent="0.3">
      <c r="A67" s="2" t="s">
        <v>1086</v>
      </c>
      <c r="B67" s="2" t="str">
        <f>HYPERLINK("https://www.indystar.com/story/opinion/columnists/james-briggs/2024/06/05/indy-eleven-won-indiana-soccer-messaging-war-but-mls-is-more-popular/73970245007/")</f>
        <v>https://www.indystar.com/story/opinion/columnists/james-briggs/2024/06/05/indy-eleven-won-indiana-soccer-messaging-war-but-mls-is-more-popular/73970245007/</v>
      </c>
      <c r="C67" s="2" t="s">
        <v>1084</v>
      </c>
      <c r="D67" s="2" t="s">
        <v>321</v>
      </c>
      <c r="E67" s="5">
        <v>45448.25309027778</v>
      </c>
      <c r="F67" s="2" t="s">
        <v>1085</v>
      </c>
      <c r="G67" s="2">
        <v>3061566</v>
      </c>
      <c r="H67" s="2">
        <v>1</v>
      </c>
      <c r="I67" s="2">
        <v>7246</v>
      </c>
      <c r="J67" s="2">
        <v>136</v>
      </c>
      <c r="K67" s="2" t="s">
        <v>25</v>
      </c>
      <c r="L67" s="4">
        <v>28319.49</v>
      </c>
      <c r="M67" s="2"/>
      <c r="N67" t="s">
        <v>4458</v>
      </c>
    </row>
    <row r="68" spans="1:14" ht="409.6" x14ac:dyDescent="0.3">
      <c r="A68" s="2" t="s">
        <v>1087</v>
      </c>
      <c r="B68" s="2" t="str">
        <f>HYPERLINK("https://www.wishtv.com/podcast-episode/indy-eleven-coaches-show-episode-4/")</f>
        <v>https://www.wishtv.com/podcast-episode/indy-eleven-coaches-show-episode-4/</v>
      </c>
      <c r="C68" s="2"/>
      <c r="D68" s="2" t="s">
        <v>38</v>
      </c>
      <c r="E68" s="5">
        <v>45448.208483796298</v>
      </c>
      <c r="F68" s="2" t="s">
        <v>1088</v>
      </c>
      <c r="G68" s="2">
        <v>568116</v>
      </c>
      <c r="H68" s="2">
        <v>0</v>
      </c>
      <c r="I68" s="2">
        <v>0</v>
      </c>
      <c r="J68" s="2">
        <v>0</v>
      </c>
      <c r="K68" s="2" t="s">
        <v>31</v>
      </c>
      <c r="L68" s="4">
        <v>5255.07</v>
      </c>
      <c r="M68" s="2"/>
      <c r="N68" t="s">
        <v>4458</v>
      </c>
    </row>
    <row r="69" spans="1:14" ht="409.6" x14ac:dyDescent="0.3">
      <c r="A69" s="2" t="s">
        <v>34</v>
      </c>
      <c r="B69" s="2" t="str">
        <f>HYPERLINK("https://www.heraldbulletin.com/sports/coming-up/article_3a75f47c-21e0-11ef-875f-8f7c13cd7d06.html")</f>
        <v>https://www.heraldbulletin.com/sports/coming-up/article_3a75f47c-21e0-11ef-875f-8f7c13cd7d06.html</v>
      </c>
      <c r="C69" s="2"/>
      <c r="D69" s="2" t="s">
        <v>35</v>
      </c>
      <c r="E69" s="5">
        <v>45447.299907407411</v>
      </c>
      <c r="F69" s="2" t="s">
        <v>1075</v>
      </c>
      <c r="G69" s="2">
        <v>50260</v>
      </c>
      <c r="H69" s="2">
        <v>0</v>
      </c>
      <c r="I69" s="2">
        <v>0</v>
      </c>
      <c r="J69" s="2">
        <v>23</v>
      </c>
      <c r="K69" s="2" t="s">
        <v>47</v>
      </c>
      <c r="L69" s="4">
        <v>464.9</v>
      </c>
      <c r="M69" s="2"/>
      <c r="N69" t="s">
        <v>4458</v>
      </c>
    </row>
    <row r="70" spans="1:14" ht="250.8" x14ac:dyDescent="0.3">
      <c r="A70" s="2" t="s">
        <v>1090</v>
      </c>
      <c r="B70" s="2" t="str">
        <f>HYPERLINK("https://1075thefan.com/playlist/summer-sports-events-around-indianapolis-for-the-whole-family/")</f>
        <v>https://1075thefan.com/playlist/summer-sports-events-around-indianapolis-for-the-whole-family/</v>
      </c>
      <c r="C70" s="2" t="s">
        <v>1091</v>
      </c>
      <c r="D70" s="2" t="s">
        <v>75</v>
      </c>
      <c r="E70" s="5">
        <v>45446.947164351863</v>
      </c>
      <c r="F70" s="2" t="s">
        <v>1092</v>
      </c>
      <c r="G70" s="2">
        <v>208881</v>
      </c>
      <c r="H70" s="2">
        <v>0</v>
      </c>
      <c r="I70" s="2">
        <v>0</v>
      </c>
      <c r="J70" s="2">
        <v>25</v>
      </c>
      <c r="K70" s="2" t="s">
        <v>25</v>
      </c>
      <c r="L70" s="4">
        <v>1932.15</v>
      </c>
      <c r="M70" s="2"/>
      <c r="N70" t="s">
        <v>4458</v>
      </c>
    </row>
    <row r="71" spans="1:14" ht="409.6" x14ac:dyDescent="0.3">
      <c r="A71" s="2" t="s">
        <v>1093</v>
      </c>
      <c r="B71" s="2" t="str">
        <f>HYPERLINK("https://www.oursportscentral.com/services/releases/indy-eleven-partners-with-spokenote-to-deliver-dynamic-video-messages-to-fans/n-6103882")</f>
        <v>https://www.oursportscentral.com/services/releases/indy-eleven-partners-with-spokenote-to-deliver-dynamic-video-messages-to-fans/n-6103882</v>
      </c>
      <c r="C71" s="2"/>
      <c r="D71" s="2" t="s">
        <v>24</v>
      </c>
      <c r="E71" s="5">
        <v>45446.469444444447</v>
      </c>
      <c r="F71" s="2" t="s">
        <v>1094</v>
      </c>
      <c r="G71" s="2">
        <v>40402</v>
      </c>
      <c r="H71" s="2">
        <v>0</v>
      </c>
      <c r="I71" s="2">
        <v>0</v>
      </c>
      <c r="J71" s="2">
        <v>0</v>
      </c>
      <c r="K71" s="2" t="s">
        <v>25</v>
      </c>
      <c r="L71" s="4">
        <v>373.72</v>
      </c>
      <c r="M71" s="2"/>
      <c r="N71" t="s">
        <v>4457</v>
      </c>
    </row>
    <row r="72" spans="1:14" ht="303.60000000000002" x14ac:dyDescent="0.3">
      <c r="A72" s="2" t="s">
        <v>1095</v>
      </c>
      <c r="B72" s="2" t="str">
        <f>HYPERLINK("https://www.insideindianabusiness.com/videos/indy-eleven-owner-talks-future-of-eleven-park")</f>
        <v>https://www.insideindianabusiness.com/videos/indy-eleven-owner-talks-future-of-eleven-park</v>
      </c>
      <c r="C72" s="2"/>
      <c r="D72" s="2" t="s">
        <v>438</v>
      </c>
      <c r="E72" s="5">
        <v>45446.412893518522</v>
      </c>
      <c r="F72" s="2" t="s">
        <v>1096</v>
      </c>
      <c r="G72" s="2">
        <v>78132</v>
      </c>
      <c r="H72" s="2">
        <v>0</v>
      </c>
      <c r="I72" s="2">
        <v>0</v>
      </c>
      <c r="J72" s="2">
        <v>0</v>
      </c>
      <c r="K72" s="2" t="s">
        <v>47</v>
      </c>
      <c r="L72" s="4">
        <v>722.72</v>
      </c>
      <c r="M72" s="2"/>
      <c r="N72" t="s">
        <v>4458</v>
      </c>
    </row>
    <row r="73" spans="1:14" ht="409.6" x14ac:dyDescent="0.3">
      <c r="A73" s="2" t="s">
        <v>1097</v>
      </c>
      <c r="B73" s="2" t="str">
        <f>HYPERLINK("https://www.wishtv.com/sports/indy-eleven/indy-eleven-vs-pittsburgh-riverhounds-from-june-1-2024/")</f>
        <v>https://www.wishtv.com/sports/indy-eleven/indy-eleven-vs-pittsburgh-riverhounds-from-june-1-2024/</v>
      </c>
      <c r="C73" s="2" t="s">
        <v>109</v>
      </c>
      <c r="D73" s="2" t="s">
        <v>38</v>
      </c>
      <c r="E73" s="5">
        <v>45446.318599537037</v>
      </c>
      <c r="F73" s="2" t="s">
        <v>1098</v>
      </c>
      <c r="G73" s="2">
        <v>568116</v>
      </c>
      <c r="H73" s="2">
        <v>0</v>
      </c>
      <c r="I73" s="2">
        <v>0</v>
      </c>
      <c r="J73" s="2">
        <v>0</v>
      </c>
      <c r="K73" s="2" t="s">
        <v>47</v>
      </c>
      <c r="L73" s="4">
        <v>5255.07</v>
      </c>
      <c r="M73" s="2"/>
      <c r="N73" t="s">
        <v>4458</v>
      </c>
    </row>
    <row r="74" spans="1:14" ht="79.2" x14ac:dyDescent="0.3">
      <c r="A74" s="2" t="s">
        <v>1099</v>
      </c>
      <c r="B74" s="2" t="str">
        <f>HYPERLINK("https://www.wishtv.com/contests/win-2-tickets-to-see-the-indy-eleven-play-june-22/")</f>
        <v>https://www.wishtv.com/contests/win-2-tickets-to-see-the-indy-eleven-play-june-22/</v>
      </c>
      <c r="C74" s="2" t="s">
        <v>55</v>
      </c>
      <c r="D74" s="2" t="s">
        <v>38</v>
      </c>
      <c r="E74" s="5">
        <v>45445.333333333343</v>
      </c>
      <c r="F74" s="2"/>
      <c r="G74" s="2">
        <v>568116</v>
      </c>
      <c r="H74" s="2">
        <v>0</v>
      </c>
      <c r="I74" s="2">
        <v>0</v>
      </c>
      <c r="J74" s="2">
        <v>0</v>
      </c>
      <c r="K74" s="2"/>
      <c r="L74" s="4">
        <v>5255.07</v>
      </c>
      <c r="M74" s="2"/>
      <c r="N74" t="s">
        <v>4458</v>
      </c>
    </row>
    <row r="75" spans="1:14" ht="409.6" x14ac:dyDescent="0.3">
      <c r="A75" s="2" t="s">
        <v>34</v>
      </c>
      <c r="B75" s="2" t="str">
        <f>HYPERLINK("https://www.heraldbulletin.com/sports/coming-up/article_bcbb9342-2096-11ef-a3ef-ffd6a34011d0.html")</f>
        <v>https://www.heraldbulletin.com/sports/coming-up/article_bcbb9342-2096-11ef-a3ef-ffd6a34011d0.html</v>
      </c>
      <c r="C75" s="2"/>
      <c r="D75" s="2" t="s">
        <v>35</v>
      </c>
      <c r="E75" s="5">
        <v>45445.297268518523</v>
      </c>
      <c r="F75" s="2" t="s">
        <v>1100</v>
      </c>
      <c r="G75" s="2">
        <v>50260</v>
      </c>
      <c r="H75" s="2">
        <v>0</v>
      </c>
      <c r="I75" s="2">
        <v>0</v>
      </c>
      <c r="J75" s="2">
        <v>1</v>
      </c>
      <c r="K75" s="2" t="s">
        <v>25</v>
      </c>
      <c r="L75" s="4">
        <v>464.9</v>
      </c>
      <c r="M75" s="2"/>
      <c r="N75" t="s">
        <v>4458</v>
      </c>
    </row>
    <row r="76" spans="1:14" ht="132" x14ac:dyDescent="0.3">
      <c r="A76" s="2" t="s">
        <v>1101</v>
      </c>
      <c r="B76" s="2" t="str">
        <f>HYPERLINK("https://www.post-gazette.com/sports/riverhounds/2024/06/01/riverhounds-bob-lilley-gabriel-perrotta-pablo-linzoain/stories/202405290087")</f>
        <v>https://www.post-gazette.com/sports/riverhounds/2024/06/01/riverhounds-bob-lilley-gabriel-perrotta-pablo-linzoain/stories/202405290087</v>
      </c>
      <c r="C76" s="2" t="s">
        <v>1102</v>
      </c>
      <c r="D76" s="2" t="s">
        <v>398</v>
      </c>
      <c r="E76" s="5">
        <v>45444.953599537039</v>
      </c>
      <c r="F76" s="2" t="s">
        <v>1103</v>
      </c>
      <c r="G76" s="2">
        <v>1797196</v>
      </c>
      <c r="H76" s="2">
        <v>1</v>
      </c>
      <c r="I76" s="2">
        <v>1436</v>
      </c>
      <c r="J76" s="2">
        <v>1</v>
      </c>
      <c r="K76" s="2" t="s">
        <v>47</v>
      </c>
      <c r="L76" s="4">
        <v>16624.060000000001</v>
      </c>
      <c r="M76" s="2"/>
      <c r="N76" t="s">
        <v>4457</v>
      </c>
    </row>
    <row r="77" spans="1:14" ht="409.6" x14ac:dyDescent="0.3">
      <c r="A77" s="2" t="s">
        <v>1104</v>
      </c>
      <c r="B77" s="2" t="str">
        <f>HYPERLINK("https://www.uslchampionship.com/pittsburghriverhoundssc-indyeleven-2416337")</f>
        <v>https://www.uslchampionship.com/pittsburghriverhoundssc-indyeleven-2416337</v>
      </c>
      <c r="C77" s="2"/>
      <c r="D77" s="2" t="s">
        <v>28</v>
      </c>
      <c r="E77" s="5">
        <v>45444.896469907413</v>
      </c>
      <c r="F77" s="2" t="s">
        <v>1105</v>
      </c>
      <c r="G77" s="2">
        <v>44392</v>
      </c>
      <c r="H77" s="2">
        <v>0</v>
      </c>
      <c r="I77" s="2">
        <v>0</v>
      </c>
      <c r="J77" s="2">
        <v>0</v>
      </c>
      <c r="K77" s="2" t="s">
        <v>47</v>
      </c>
      <c r="L77" s="4">
        <v>410.63</v>
      </c>
      <c r="M77" s="2"/>
      <c r="N77" t="s">
        <v>4457</v>
      </c>
    </row>
    <row r="78" spans="1:14" ht="409.6" x14ac:dyDescent="0.3">
      <c r="A78" s="2" t="s">
        <v>1106</v>
      </c>
      <c r="B78" s="2" t="str">
        <f>HYPERLINK("https://www.oursportscentral.com/services/releases/second-half-rally-falls-short-vs-indy/n-6103194")</f>
        <v>https://www.oursportscentral.com/services/releases/second-half-rally-falls-short-vs-indy/n-6103194</v>
      </c>
      <c r="C78" s="2"/>
      <c r="D78" s="2" t="s">
        <v>24</v>
      </c>
      <c r="E78" s="5">
        <v>45444.884027777778</v>
      </c>
      <c r="F78" s="2" t="s">
        <v>1107</v>
      </c>
      <c r="G78" s="2">
        <v>40402</v>
      </c>
      <c r="H78" s="2">
        <v>0</v>
      </c>
      <c r="I78" s="2">
        <v>0</v>
      </c>
      <c r="J78" s="2">
        <v>0</v>
      </c>
      <c r="K78" s="2" t="s">
        <v>47</v>
      </c>
      <c r="L78" s="4">
        <v>373.72</v>
      </c>
      <c r="M78" s="2"/>
      <c r="N78" t="s">
        <v>4457</v>
      </c>
    </row>
    <row r="79" spans="1:14" ht="409.6" x14ac:dyDescent="0.3">
      <c r="A79" s="2" t="s">
        <v>1108</v>
      </c>
      <c r="B79" s="2" t="str">
        <f>HYPERLINK("https://www.oursportscentral.com/services/releases/hounds-second-half-rally-falls-short-vs-indy/n-6103168")</f>
        <v>https://www.oursportscentral.com/services/releases/hounds-second-half-rally-falls-short-vs-indy/n-6103168</v>
      </c>
      <c r="C79" s="2"/>
      <c r="D79" s="2" t="s">
        <v>24</v>
      </c>
      <c r="E79" s="5">
        <v>45444.834722222222</v>
      </c>
      <c r="F79" s="2" t="s">
        <v>1107</v>
      </c>
      <c r="G79" s="2">
        <v>40402</v>
      </c>
      <c r="H79" s="2">
        <v>0</v>
      </c>
      <c r="I79" s="2">
        <v>0</v>
      </c>
      <c r="J79" s="2">
        <v>0</v>
      </c>
      <c r="K79" s="2" t="s">
        <v>47</v>
      </c>
      <c r="L79" s="4">
        <v>373.72</v>
      </c>
      <c r="M79" s="2"/>
      <c r="N79" t="s">
        <v>4457</v>
      </c>
    </row>
    <row r="80" spans="1:14" ht="343.2" x14ac:dyDescent="0.3">
      <c r="A80" s="2" t="s">
        <v>1109</v>
      </c>
      <c r="B80" s="2" t="str">
        <f>HYPERLINK("https://triblive.com/sports/struggling-riverhounds-lose-at-home-to-indy-eleven/")</f>
        <v>https://triblive.com/sports/struggling-riverhounds-lose-at-home-to-indy-eleven/</v>
      </c>
      <c r="C80" s="2" t="s">
        <v>83</v>
      </c>
      <c r="D80" s="2" t="s">
        <v>84</v>
      </c>
      <c r="E80" s="5">
        <v>45444.801030092603</v>
      </c>
      <c r="F80" s="2" t="s">
        <v>1110</v>
      </c>
      <c r="G80" s="2">
        <v>1707872</v>
      </c>
      <c r="H80" s="2">
        <v>0</v>
      </c>
      <c r="I80" s="2">
        <v>0</v>
      </c>
      <c r="J80" s="2">
        <v>0</v>
      </c>
      <c r="K80" s="2" t="s">
        <v>47</v>
      </c>
      <c r="L80" s="4">
        <v>15797.82</v>
      </c>
      <c r="M80" s="2"/>
      <c r="N80" t="s">
        <v>4457</v>
      </c>
    </row>
    <row r="81" spans="1:14" ht="409.6" x14ac:dyDescent="0.3">
      <c r="A81" s="2" t="s">
        <v>1111</v>
      </c>
      <c r="B81" s="2" t="str">
        <f>HYPERLINK("https://www.oursportscentral.com/services/releases/guenzatti-scores-73rd-career-goal-stanley-registers-league-leading-seventh-assist-as-indys-unbeaten-streak-moves-to-ten/n-6103094")</f>
        <v>https://www.oursportscentral.com/services/releases/guenzatti-scores-73rd-career-goal-stanley-registers-league-leading-seventh-assist-as-indys-unbeaten-streak-moves-to-ten/n-6103094</v>
      </c>
      <c r="C81" s="2"/>
      <c r="D81" s="2" t="s">
        <v>24</v>
      </c>
      <c r="E81" s="5">
        <v>45444.800000000003</v>
      </c>
      <c r="F81" s="2" t="s">
        <v>1112</v>
      </c>
      <c r="G81" s="2">
        <v>40402</v>
      </c>
      <c r="H81" s="2">
        <v>0</v>
      </c>
      <c r="I81" s="2">
        <v>0</v>
      </c>
      <c r="J81" s="2">
        <v>0</v>
      </c>
      <c r="K81" s="2" t="s">
        <v>31</v>
      </c>
      <c r="L81" s="4">
        <v>373.72</v>
      </c>
      <c r="M81" s="2"/>
      <c r="N81" t="s">
        <v>4457</v>
      </c>
    </row>
    <row r="82" spans="1:14" ht="409.6" x14ac:dyDescent="0.3">
      <c r="A82" s="2" t="s">
        <v>1113</v>
      </c>
      <c r="B82" s="2" t="str">
        <f>HYPERLINK("https://www.oursportscentral.com/services/releases/6-1-2024-pittsburgh-riverhounds-sc-vs-indy-eleven--game-highlights/n-6103038")</f>
        <v>https://www.oursportscentral.com/services/releases/6-1-2024-pittsburgh-riverhounds-sc-vs-indy-eleven--game-highlights/n-6103038</v>
      </c>
      <c r="C82" s="2"/>
      <c r="D82" s="2" t="s">
        <v>24</v>
      </c>
      <c r="E82" s="5">
        <v>45444.789583333331</v>
      </c>
      <c r="F82" s="2" t="s">
        <v>1114</v>
      </c>
      <c r="G82" s="2">
        <v>40402</v>
      </c>
      <c r="H82" s="2">
        <v>0</v>
      </c>
      <c r="I82" s="2">
        <v>0</v>
      </c>
      <c r="J82" s="2">
        <v>0</v>
      </c>
      <c r="K82" s="2" t="s">
        <v>25</v>
      </c>
      <c r="L82" s="4">
        <v>373.72</v>
      </c>
      <c r="M82" s="2"/>
      <c r="N82" t="s">
        <v>4457</v>
      </c>
    </row>
    <row r="83" spans="1:14" ht="409.6" x14ac:dyDescent="0.3">
      <c r="A83" s="2" t="s">
        <v>1115</v>
      </c>
      <c r="B83" s="2" t="str">
        <f>HYPERLINK("https://pittsburghsoccernow.com/2024/06/01/live-riverhounds-indy-eleven-6-1-24/")</f>
        <v>https://pittsburghsoccernow.com/2024/06/01/live-riverhounds-indy-eleven-6-1-24/</v>
      </c>
      <c r="C83" s="2" t="s">
        <v>1116</v>
      </c>
      <c r="D83" s="2" t="s">
        <v>105</v>
      </c>
      <c r="E83" s="5">
        <v>45444.750914351847</v>
      </c>
      <c r="F83" s="2" t="s">
        <v>1117</v>
      </c>
      <c r="G83" s="2">
        <v>3863</v>
      </c>
      <c r="H83" s="2">
        <v>1</v>
      </c>
      <c r="I83" s="2">
        <v>9636</v>
      </c>
      <c r="J83" s="2">
        <v>7</v>
      </c>
      <c r="K83" s="2" t="s">
        <v>25</v>
      </c>
      <c r="L83" s="4">
        <v>35.729999999999997</v>
      </c>
      <c r="M83" s="2"/>
      <c r="N83" t="s">
        <v>4457</v>
      </c>
    </row>
    <row r="84" spans="1:14" ht="409.6" x14ac:dyDescent="0.3">
      <c r="A84" s="2" t="s">
        <v>1118</v>
      </c>
      <c r="B84" s="2" t="str">
        <f>HYPERLINK("https://www.cbsnews.com/pittsburgh/news/watch-live-pittsburgh-riverhounds-vs-indy-eleven-live-stream-highmark-stadium/")</f>
        <v>https://www.cbsnews.com/pittsburgh/news/watch-live-pittsburgh-riverhounds-vs-indy-eleven-live-stream-highmark-stadium/</v>
      </c>
      <c r="C84" s="2" t="s">
        <v>371</v>
      </c>
      <c r="D84" s="2" t="s">
        <v>300</v>
      </c>
      <c r="E84" s="5">
        <v>45444.627638888887</v>
      </c>
      <c r="F84" s="2" t="s">
        <v>1119</v>
      </c>
      <c r="G84" s="2">
        <v>43927397</v>
      </c>
      <c r="H84" s="2">
        <v>0</v>
      </c>
      <c r="I84" s="2">
        <v>0</v>
      </c>
      <c r="J84" s="2">
        <v>0</v>
      </c>
      <c r="K84" s="2" t="s">
        <v>31</v>
      </c>
      <c r="L84" s="4">
        <v>406328.42</v>
      </c>
      <c r="M84" s="2"/>
      <c r="N84" t="s">
        <v>4457</v>
      </c>
    </row>
    <row r="85" spans="1:14" ht="409.2" x14ac:dyDescent="0.3">
      <c r="A85" s="2" t="s">
        <v>34</v>
      </c>
      <c r="B85" s="2" t="str">
        <f>HYPERLINK("https://www.heraldbulletin.com/sports/coming-up/article_787e85cc-1fb0-11ef-a302-bfe219957777.html")</f>
        <v>https://www.heraldbulletin.com/sports/coming-up/article_787e85cc-1fb0-11ef-a302-bfe219957777.html</v>
      </c>
      <c r="C85" s="2"/>
      <c r="D85" s="2" t="s">
        <v>35</v>
      </c>
      <c r="E85" s="5">
        <v>45444.299537037034</v>
      </c>
      <c r="F85" s="2" t="s">
        <v>1120</v>
      </c>
      <c r="G85" s="2">
        <v>50260</v>
      </c>
      <c r="H85" s="2">
        <v>0</v>
      </c>
      <c r="I85" s="2">
        <v>0</v>
      </c>
      <c r="J85" s="2">
        <v>20</v>
      </c>
      <c r="K85" s="2" t="s">
        <v>25</v>
      </c>
      <c r="L85" s="4">
        <v>464.9</v>
      </c>
      <c r="M85" s="2"/>
      <c r="N85" t="s">
        <v>4458</v>
      </c>
    </row>
    <row r="86" spans="1:14" ht="409.2" x14ac:dyDescent="0.3">
      <c r="A86" s="2" t="s">
        <v>1121</v>
      </c>
      <c r="B86" s="2" t="str">
        <f>HYPERLINK("https://pittsburghsoccernow.com/2024/06/01/preview-riverhounds-seek-to-revitalize-attack-vs-streaking-indy-eleven/")</f>
        <v>https://pittsburghsoccernow.com/2024/06/01/preview-riverhounds-seek-to-revitalize-attack-vs-streaking-indy-eleven/</v>
      </c>
      <c r="C86" s="2" t="s">
        <v>104</v>
      </c>
      <c r="D86" s="2" t="s">
        <v>105</v>
      </c>
      <c r="E86" s="5">
        <v>45444.298437500001</v>
      </c>
      <c r="F86" s="2" t="s">
        <v>1122</v>
      </c>
      <c r="G86" s="2">
        <v>3863</v>
      </c>
      <c r="H86" s="2">
        <v>0</v>
      </c>
      <c r="I86" s="2">
        <v>0</v>
      </c>
      <c r="J86" s="2">
        <v>23</v>
      </c>
      <c r="K86" s="2" t="s">
        <v>47</v>
      </c>
      <c r="L86" s="4">
        <v>35.729999999999997</v>
      </c>
      <c r="M86" s="2"/>
      <c r="N86" t="s">
        <v>4457</v>
      </c>
    </row>
    <row r="87" spans="1:14" ht="382.8" x14ac:dyDescent="0.3">
      <c r="A87" s="2" t="s">
        <v>1123</v>
      </c>
      <c r="B87" s="2" t="str">
        <f>HYPERLINK("https://headtopics.com/us/stage-play-discusses-struggles-facing-indianapolis-youth-53524479")</f>
        <v>https://headtopics.com/us/stage-play-discusses-struggles-facing-indianapolis-youth-53524479</v>
      </c>
      <c r="C87" s="2"/>
      <c r="D87" s="2" t="s">
        <v>283</v>
      </c>
      <c r="E87" s="5">
        <v>45444.037499999999</v>
      </c>
      <c r="F87" s="2" t="s">
        <v>1073</v>
      </c>
      <c r="G87" s="2">
        <v>55248</v>
      </c>
      <c r="H87" s="2">
        <v>0</v>
      </c>
      <c r="I87" s="2">
        <v>0</v>
      </c>
      <c r="J87" s="2">
        <v>0</v>
      </c>
      <c r="K87" s="2" t="s">
        <v>31</v>
      </c>
      <c r="L87" s="4">
        <v>511.04</v>
      </c>
      <c r="M87" s="2"/>
      <c r="N87" t="s">
        <v>4459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4810A-77E5-48AF-9237-564D96A16498}">
  <dimension ref="A1:N123"/>
  <sheetViews>
    <sheetView workbookViewId="0">
      <selection activeCell="T2" sqref="T2"/>
    </sheetView>
  </sheetViews>
  <sheetFormatPr defaultRowHeight="14.4" x14ac:dyDescent="0.3"/>
  <cols>
    <col min="1" max="1" width="26.88671875" customWidth="1"/>
    <col min="2" max="2" width="16.21875" customWidth="1"/>
    <col min="4" max="4" width="17.44140625" customWidth="1"/>
    <col min="5" max="5" width="21.44140625" customWidth="1"/>
    <col min="7" max="7" width="10" bestFit="1" customWidth="1"/>
    <col min="13" max="13" width="15.109375" bestFit="1" customWidth="1"/>
    <col min="14" max="14" width="17.33203125" bestFit="1" customWidth="1"/>
  </cols>
  <sheetData>
    <row r="1" spans="1:14" x14ac:dyDescent="0.3">
      <c r="A1" s="1" t="s">
        <v>13</v>
      </c>
      <c r="B1" s="1" t="s">
        <v>2</v>
      </c>
      <c r="C1" s="1" t="s">
        <v>14</v>
      </c>
      <c r="D1" s="1" t="s">
        <v>15</v>
      </c>
      <c r="E1" s="1" t="s">
        <v>16</v>
      </c>
      <c r="F1" s="1" t="s">
        <v>17</v>
      </c>
      <c r="G1" s="1" t="s">
        <v>18</v>
      </c>
      <c r="H1" s="1" t="s">
        <v>19</v>
      </c>
      <c r="I1" s="1" t="s">
        <v>20</v>
      </c>
      <c r="J1" s="1" t="s">
        <v>7</v>
      </c>
      <c r="K1" s="1" t="s">
        <v>21</v>
      </c>
      <c r="L1" s="1" t="s">
        <v>22</v>
      </c>
      <c r="M1" s="1" t="s">
        <v>23</v>
      </c>
      <c r="N1" s="1" t="s">
        <v>4456</v>
      </c>
    </row>
    <row r="2" spans="1:14" ht="409.6" x14ac:dyDescent="0.3">
      <c r="A2" s="2" t="s">
        <v>34</v>
      </c>
      <c r="B2" s="2" t="str">
        <f>HYPERLINK("https://www.heraldbulletin.com/sports/coming-up/article_37d37df4-4eac-11ef-a963-bb548083e1a7.html")</f>
        <v>https://www.heraldbulletin.com/sports/coming-up/article_37d37df4-4eac-11ef-a963-bb548083e1a7.html</v>
      </c>
      <c r="C2" s="2"/>
      <c r="D2" s="2" t="s">
        <v>35</v>
      </c>
      <c r="E2" s="5">
        <v>45504.293692129628</v>
      </c>
      <c r="F2" s="2" t="s">
        <v>693</v>
      </c>
      <c r="G2" s="2">
        <v>50260</v>
      </c>
      <c r="H2" s="2">
        <v>0</v>
      </c>
      <c r="I2" s="2">
        <v>0</v>
      </c>
      <c r="J2" s="2">
        <v>1</v>
      </c>
      <c r="K2" s="2" t="s">
        <v>25</v>
      </c>
      <c r="L2" s="4">
        <v>464.9</v>
      </c>
      <c r="M2" s="2"/>
      <c r="N2" t="s">
        <v>4458</v>
      </c>
    </row>
    <row r="3" spans="1:14" ht="118.8" x14ac:dyDescent="0.3">
      <c r="A3" s="2" t="s">
        <v>34</v>
      </c>
      <c r="B3" s="2" t="str">
        <f>HYPERLINK("https://www.heraldbulletin.com/sports/coming-up/article_e423d8ca-4ded-11ef-806c-2f1dd5bdcb9f.html")</f>
        <v>https://www.heraldbulletin.com/sports/coming-up/article_e423d8ca-4ded-11ef-806c-2f1dd5bdcb9f.html</v>
      </c>
      <c r="C3" s="2"/>
      <c r="D3" s="2" t="s">
        <v>35</v>
      </c>
      <c r="E3" s="5">
        <v>45503.344988425917</v>
      </c>
      <c r="F3" s="2" t="s">
        <v>698</v>
      </c>
      <c r="G3" s="2">
        <v>50260</v>
      </c>
      <c r="H3" s="2">
        <v>0</v>
      </c>
      <c r="I3" s="2">
        <v>0</v>
      </c>
      <c r="J3" s="2">
        <v>1</v>
      </c>
      <c r="K3" s="2" t="s">
        <v>25</v>
      </c>
      <c r="L3" s="4">
        <v>464.9</v>
      </c>
      <c r="M3" s="2"/>
      <c r="N3" t="s">
        <v>4458</v>
      </c>
    </row>
    <row r="4" spans="1:14" ht="409.6" x14ac:dyDescent="0.3">
      <c r="A4" s="2" t="s">
        <v>699</v>
      </c>
      <c r="B4" s="2" t="str">
        <f>HYPERLINK("https://www.oursportscentral.com/services/releases/fc-tulsa-posts-0-0-draw-against-indy-eleven/n-6129091")</f>
        <v>https://www.oursportscentral.com/services/releases/fc-tulsa-posts-0-0-draw-against-indy-eleven/n-6129091</v>
      </c>
      <c r="C4" s="2"/>
      <c r="D4" s="2" t="s">
        <v>24</v>
      </c>
      <c r="E4" s="5">
        <v>45500.40902777778</v>
      </c>
      <c r="F4" s="2" t="s">
        <v>700</v>
      </c>
      <c r="G4" s="2">
        <v>40402</v>
      </c>
      <c r="H4" s="2">
        <v>0</v>
      </c>
      <c r="I4" s="2">
        <v>0</v>
      </c>
      <c r="J4" s="2">
        <v>0</v>
      </c>
      <c r="K4" s="2" t="s">
        <v>31</v>
      </c>
      <c r="L4" s="4">
        <v>373.72</v>
      </c>
      <c r="M4" s="2"/>
      <c r="N4" t="s">
        <v>4457</v>
      </c>
    </row>
    <row r="5" spans="1:14" ht="409.6" x14ac:dyDescent="0.3">
      <c r="A5" s="2" t="s">
        <v>701</v>
      </c>
      <c r="B5" s="2" t="str">
        <f>HYPERLINK("https://www.oursportscentral.com/services/releases/fc-tulsa-draw-0-0-against-indy-eleven/n-6129014")</f>
        <v>https://www.oursportscentral.com/services/releases/fc-tulsa-draw-0-0-against-indy-eleven/n-6129014</v>
      </c>
      <c r="C5" s="2"/>
      <c r="D5" s="2" t="s">
        <v>24</v>
      </c>
      <c r="E5" s="5">
        <v>45500.126388888893</v>
      </c>
      <c r="F5" s="2" t="s">
        <v>702</v>
      </c>
      <c r="G5" s="2">
        <v>40402</v>
      </c>
      <c r="H5" s="2">
        <v>0</v>
      </c>
      <c r="I5" s="2">
        <v>0</v>
      </c>
      <c r="J5" s="2">
        <v>0</v>
      </c>
      <c r="K5" s="2" t="s">
        <v>31</v>
      </c>
      <c r="L5" s="4">
        <v>373.72</v>
      </c>
      <c r="M5" s="2"/>
      <c r="N5" t="s">
        <v>4457</v>
      </c>
    </row>
    <row r="6" spans="1:14" ht="409.6" x14ac:dyDescent="0.3">
      <c r="A6" s="2" t="s">
        <v>703</v>
      </c>
      <c r="B6" s="2" t="str">
        <f>HYPERLINK("https://tulsaworld.com/sports/professional/fc-tulsas-defense-shines-again-in-draw-with-indy-eleven-barry-lewis-three-takeaways/article_5372a71a-4bb9-11ef-971c-cb68cbdebd43.html")</f>
        <v>https://tulsaworld.com/sports/professional/fc-tulsas-defense-shines-again-in-draw-with-indy-eleven-barry-lewis-three-takeaways/article_5372a71a-4bb9-11ef-971c-cb68cbdebd43.html</v>
      </c>
      <c r="C6" s="2" t="s">
        <v>704</v>
      </c>
      <c r="D6" s="2" t="s">
        <v>705</v>
      </c>
      <c r="E6" s="5">
        <v>45500.083391203712</v>
      </c>
      <c r="F6" s="2" t="s">
        <v>706</v>
      </c>
      <c r="G6" s="2">
        <v>280774</v>
      </c>
      <c r="H6" s="2">
        <v>1</v>
      </c>
      <c r="I6" s="2">
        <v>6229</v>
      </c>
      <c r="J6" s="2">
        <v>2</v>
      </c>
      <c r="K6" s="2" t="s">
        <v>25</v>
      </c>
      <c r="L6" s="4">
        <v>2597.16</v>
      </c>
      <c r="M6" s="2"/>
      <c r="N6" t="s">
        <v>4457</v>
      </c>
    </row>
    <row r="7" spans="1:14" ht="369.6" x14ac:dyDescent="0.3">
      <c r="A7" s="2" t="s">
        <v>707</v>
      </c>
      <c r="B7" s="2" t="str">
        <f>HYPERLINK("https://www.oursportscentral.com/services/releases/indy-eleven-draws-fc-tulsa-0-0/n-6128837")</f>
        <v>https://www.oursportscentral.com/services/releases/indy-eleven-draws-fc-tulsa-0-0/n-6128837</v>
      </c>
      <c r="C7" s="2"/>
      <c r="D7" s="2" t="s">
        <v>24</v>
      </c>
      <c r="E7" s="5">
        <v>45499.824305555558</v>
      </c>
      <c r="F7" s="2" t="s">
        <v>708</v>
      </c>
      <c r="G7" s="2">
        <v>40402</v>
      </c>
      <c r="H7" s="2">
        <v>0</v>
      </c>
      <c r="I7" s="2">
        <v>0</v>
      </c>
      <c r="J7" s="2">
        <v>0</v>
      </c>
      <c r="K7" s="2" t="s">
        <v>25</v>
      </c>
      <c r="L7" s="4">
        <v>373.72</v>
      </c>
      <c r="M7" s="2"/>
      <c r="N7" t="s">
        <v>4457</v>
      </c>
    </row>
    <row r="8" spans="1:14" ht="409.6" x14ac:dyDescent="0.3">
      <c r="A8" s="2" t="s">
        <v>709</v>
      </c>
      <c r="B8" s="2" t="str">
        <f>HYPERLINK("https://www.oursportscentral.com/services/releases/fc-tulsa-vs-indy-eleven--game-highlights/n-6128832")</f>
        <v>https://www.oursportscentral.com/services/releases/fc-tulsa-vs-indy-eleven--game-highlights/n-6128832</v>
      </c>
      <c r="C8" s="2"/>
      <c r="D8" s="2" t="s">
        <v>24</v>
      </c>
      <c r="E8" s="5">
        <v>45499.820138888892</v>
      </c>
      <c r="F8" s="2" t="s">
        <v>710</v>
      </c>
      <c r="G8" s="2">
        <v>40402</v>
      </c>
      <c r="H8" s="2">
        <v>0</v>
      </c>
      <c r="I8" s="2">
        <v>0</v>
      </c>
      <c r="J8" s="2">
        <v>0</v>
      </c>
      <c r="K8" s="2" t="s">
        <v>25</v>
      </c>
      <c r="L8" s="4">
        <v>373.72</v>
      </c>
      <c r="M8" s="2"/>
      <c r="N8" t="s">
        <v>4457</v>
      </c>
    </row>
    <row r="9" spans="1:14" ht="145.19999999999999" x14ac:dyDescent="0.3">
      <c r="A9" s="2" t="s">
        <v>714</v>
      </c>
      <c r="B9" s="2" t="str">
        <f>HYPERLINK("https://tulsaworld.com/sports/professional/fc-tulsa-makes-roster-move-hosts-us-open-cup-semifinalist-indy-eleven/article_318ba0d4-4a3d-11ef-9d0c-3be7a63ffbea.html")</f>
        <v>https://tulsaworld.com/sports/professional/fc-tulsa-makes-roster-move-hosts-us-open-cup-semifinalist-indy-eleven/article_318ba0d4-4a3d-11ef-9d0c-3be7a63ffbea.html</v>
      </c>
      <c r="C9" s="2"/>
      <c r="D9" s="2" t="s">
        <v>705</v>
      </c>
      <c r="E9" s="5">
        <v>45498.99486111111</v>
      </c>
      <c r="F9" s="2" t="s">
        <v>715</v>
      </c>
      <c r="G9" s="2">
        <v>280774</v>
      </c>
      <c r="H9" s="2">
        <v>1</v>
      </c>
      <c r="I9" s="2">
        <v>6229</v>
      </c>
      <c r="J9" s="2">
        <v>18</v>
      </c>
      <c r="K9" s="2" t="s">
        <v>31</v>
      </c>
      <c r="L9" s="4">
        <v>2597.16</v>
      </c>
      <c r="M9" s="2"/>
      <c r="N9" t="s">
        <v>4457</v>
      </c>
    </row>
    <row r="10" spans="1:14" ht="409.6" x14ac:dyDescent="0.3">
      <c r="A10" s="2" t="s">
        <v>716</v>
      </c>
      <c r="B10" s="2" t="str">
        <f>HYPERLINK("https://www.oursportscentral.com/services/releases/fc-tulsa-welcome-indy-eleven-to-oneok-field-on-dollar-beer-section-night/n-6128343")</f>
        <v>https://www.oursportscentral.com/services/releases/fc-tulsa-welcome-indy-eleven-to-oneok-field-on-dollar-beer-section-night/n-6128343</v>
      </c>
      <c r="C10" s="2"/>
      <c r="D10" s="2" t="s">
        <v>24</v>
      </c>
      <c r="E10" s="5">
        <v>45498.789583333331</v>
      </c>
      <c r="F10" s="2" t="s">
        <v>717</v>
      </c>
      <c r="G10" s="2">
        <v>40402</v>
      </c>
      <c r="H10" s="2">
        <v>0</v>
      </c>
      <c r="I10" s="2">
        <v>0</v>
      </c>
      <c r="J10" s="2">
        <v>0</v>
      </c>
      <c r="K10" s="2" t="s">
        <v>25</v>
      </c>
      <c r="L10" s="4">
        <v>373.72</v>
      </c>
      <c r="M10" s="2"/>
      <c r="N10" t="s">
        <v>4457</v>
      </c>
    </row>
    <row r="11" spans="1:14" ht="409.6" x14ac:dyDescent="0.3">
      <c r="A11" s="2" t="s">
        <v>718</v>
      </c>
      <c r="B11" s="2" t="str">
        <f>HYPERLINK("https://dailysports.net/predictions/tulsa-vs-indy-eleven-prediction-and-betting-tips-july-27-2024/")</f>
        <v>https://dailysports.net/predictions/tulsa-vs-indy-eleven-prediction-and-betting-tips-july-27-2024/</v>
      </c>
      <c r="C11" s="2" t="s">
        <v>719</v>
      </c>
      <c r="D11" s="2" t="s">
        <v>285</v>
      </c>
      <c r="E11" s="5">
        <v>45498.646701388891</v>
      </c>
      <c r="F11" s="2" t="s">
        <v>720</v>
      </c>
      <c r="G11" s="2"/>
      <c r="H11" s="2">
        <v>0</v>
      </c>
      <c r="I11" s="2">
        <v>0</v>
      </c>
      <c r="J11" s="2">
        <v>0</v>
      </c>
      <c r="K11" s="2" t="s">
        <v>31</v>
      </c>
      <c r="L11" s="2"/>
      <c r="M11" s="2"/>
      <c r="N11" t="s">
        <v>4459</v>
      </c>
    </row>
    <row r="12" spans="1:14" ht="409.6" x14ac:dyDescent="0.3">
      <c r="A12" s="2" t="s">
        <v>34</v>
      </c>
      <c r="B12" s="2" t="str">
        <f>HYPERLINK("https://www.heraldbulletin.com/sports/coming-up/article_a23c3d0c-49cf-11ef-a6bd-536bc6c9b469.html")</f>
        <v>https://www.heraldbulletin.com/sports/coming-up/article_a23c3d0c-49cf-11ef-a6bd-536bc6c9b469.html</v>
      </c>
      <c r="C12" s="2"/>
      <c r="D12" s="2" t="s">
        <v>35</v>
      </c>
      <c r="E12" s="5">
        <v>45498.300138888888</v>
      </c>
      <c r="F12" s="2" t="s">
        <v>721</v>
      </c>
      <c r="G12" s="2">
        <v>50260</v>
      </c>
      <c r="H12" s="2">
        <v>0</v>
      </c>
      <c r="I12" s="2">
        <v>0</v>
      </c>
      <c r="J12" s="2">
        <v>0</v>
      </c>
      <c r="K12" s="2" t="s">
        <v>25</v>
      </c>
      <c r="L12" s="4">
        <v>464.9</v>
      </c>
      <c r="M12" s="2"/>
      <c r="N12" t="s">
        <v>4458</v>
      </c>
    </row>
    <row r="13" spans="1:14" ht="409.6" x14ac:dyDescent="0.3">
      <c r="A13" s="2" t="s">
        <v>34</v>
      </c>
      <c r="B13" s="2" t="str">
        <f>HYPERLINK("https://www.heraldbulletin.com/sports/coming-up/article_c3954918-4942-11ef-9ed0-6f192f5b6a42.html")</f>
        <v>https://www.heraldbulletin.com/sports/coming-up/article_c3954918-4942-11ef-9ed0-6f192f5b6a42.html</v>
      </c>
      <c r="C13" s="2"/>
      <c r="D13" s="2" t="s">
        <v>35</v>
      </c>
      <c r="E13" s="5">
        <v>45497.295381944437</v>
      </c>
      <c r="F13" s="2" t="s">
        <v>721</v>
      </c>
      <c r="G13" s="2">
        <v>50260</v>
      </c>
      <c r="H13" s="2">
        <v>0</v>
      </c>
      <c r="I13" s="2">
        <v>0</v>
      </c>
      <c r="J13" s="2">
        <v>13</v>
      </c>
      <c r="K13" s="2" t="s">
        <v>25</v>
      </c>
      <c r="L13" s="4">
        <v>464.9</v>
      </c>
      <c r="M13" s="2"/>
      <c r="N13" t="s">
        <v>4458</v>
      </c>
    </row>
    <row r="14" spans="1:14" ht="105.6" x14ac:dyDescent="0.3">
      <c r="A14" s="2" t="s">
        <v>34</v>
      </c>
      <c r="B14" s="2" t="str">
        <f>HYPERLINK("https://www.heraldbulletin.com/sports/coming-up/article_27ec984e-4880-11ef-b642-575ebd5dd734.html")</f>
        <v>https://www.heraldbulletin.com/sports/coming-up/article_27ec984e-4880-11ef-b642-575ebd5dd734.html</v>
      </c>
      <c r="C14" s="2"/>
      <c r="D14" s="2" t="s">
        <v>35</v>
      </c>
      <c r="E14" s="5">
        <v>45496.298506944448</v>
      </c>
      <c r="F14" s="2" t="s">
        <v>727</v>
      </c>
      <c r="G14" s="2">
        <v>50260</v>
      </c>
      <c r="H14" s="2">
        <v>0</v>
      </c>
      <c r="I14" s="2">
        <v>0</v>
      </c>
      <c r="J14" s="2">
        <v>9</v>
      </c>
      <c r="K14" s="2" t="s">
        <v>25</v>
      </c>
      <c r="L14" s="4">
        <v>464.9</v>
      </c>
      <c r="M14" s="2"/>
      <c r="N14" t="s">
        <v>4458</v>
      </c>
    </row>
    <row r="15" spans="1:14" ht="66" x14ac:dyDescent="0.3">
      <c r="A15" s="2" t="s">
        <v>728</v>
      </c>
      <c r="B15" s="2" t="str">
        <f>HYPERLINK("https://www.wishtv.com/contests/win-tickets-to-see-the-indy-eleven-play-august-11/")</f>
        <v>https://www.wishtv.com/contests/win-tickets-to-see-the-indy-eleven-play-august-11/</v>
      </c>
      <c r="C15" s="2" t="s">
        <v>55</v>
      </c>
      <c r="D15" s="2" t="s">
        <v>38</v>
      </c>
      <c r="E15" s="5">
        <v>45495.333333333343</v>
      </c>
      <c r="F15" s="2"/>
      <c r="G15" s="2">
        <v>568116</v>
      </c>
      <c r="H15" s="2">
        <v>0</v>
      </c>
      <c r="I15" s="2">
        <v>0</v>
      </c>
      <c r="J15" s="2">
        <v>0</v>
      </c>
      <c r="K15" s="2"/>
      <c r="L15" s="4">
        <v>5255.07</v>
      </c>
      <c r="M15" s="2"/>
      <c r="N15" t="s">
        <v>4458</v>
      </c>
    </row>
    <row r="16" spans="1:14" ht="66" x14ac:dyDescent="0.3">
      <c r="A16" s="2" t="s">
        <v>729</v>
      </c>
      <c r="B16" s="2" t="str">
        <f>HYPERLINK("https://www.wishtv.com/contests/win-tickets-to-see-the-indy-eleven-play-august-7/")</f>
        <v>https://www.wishtv.com/contests/win-tickets-to-see-the-indy-eleven-play-august-7/</v>
      </c>
      <c r="C16" s="2" t="s">
        <v>55</v>
      </c>
      <c r="D16" s="2" t="s">
        <v>38</v>
      </c>
      <c r="E16" s="5">
        <v>45494.333333333343</v>
      </c>
      <c r="F16" s="2"/>
      <c r="G16" s="2">
        <v>568116</v>
      </c>
      <c r="H16" s="2">
        <v>0</v>
      </c>
      <c r="I16" s="2">
        <v>0</v>
      </c>
      <c r="J16" s="2">
        <v>0</v>
      </c>
      <c r="K16" s="2"/>
      <c r="L16" s="4">
        <v>5255.07</v>
      </c>
      <c r="M16" s="2"/>
      <c r="N16" t="s">
        <v>4458</v>
      </c>
    </row>
    <row r="17" spans="1:14" ht="409.6" x14ac:dyDescent="0.3">
      <c r="A17" s="2" t="s">
        <v>730</v>
      </c>
      <c r="B17" s="2" t="str">
        <f>HYPERLINK("https://www.nuvo.net/sports/slideshow-indy-eleven-recent-struggles-continues/collection_72a8387a-4777-11ef-ab30-83bdcba8c2af.html")</f>
        <v>https://www.nuvo.net/sports/slideshow-indy-eleven-recent-struggles-continues/collection_72a8387a-4777-11ef-ab30-83bdcba8c2af.html</v>
      </c>
      <c r="C17" s="2" t="s">
        <v>112</v>
      </c>
      <c r="D17" s="2" t="s">
        <v>113</v>
      </c>
      <c r="E17" s="5">
        <v>45494</v>
      </c>
      <c r="F17" s="2" t="s">
        <v>731</v>
      </c>
      <c r="G17" s="2">
        <v>8756</v>
      </c>
      <c r="H17" s="2">
        <v>0</v>
      </c>
      <c r="I17" s="2">
        <v>0</v>
      </c>
      <c r="J17" s="2">
        <v>3</v>
      </c>
      <c r="K17" s="2" t="s">
        <v>47</v>
      </c>
      <c r="L17" s="4">
        <v>80.989999999999995</v>
      </c>
      <c r="M17" s="2"/>
      <c r="N17" t="s">
        <v>4458</v>
      </c>
    </row>
    <row r="18" spans="1:14" ht="409.6" x14ac:dyDescent="0.3">
      <c r="A18" s="2" t="s">
        <v>732</v>
      </c>
      <c r="B18" s="2" t="str">
        <f>HYPERLINK("https://www.oursportscentral.com/services/releases/rowdies-defeat-indy-2-0/n-6126536")</f>
        <v>https://www.oursportscentral.com/services/releases/rowdies-defeat-indy-2-0/n-6126536</v>
      </c>
      <c r="C18" s="2"/>
      <c r="D18" s="2" t="s">
        <v>24</v>
      </c>
      <c r="E18" s="5">
        <v>45493.900694444441</v>
      </c>
      <c r="F18" s="2" t="s">
        <v>733</v>
      </c>
      <c r="G18" s="2">
        <v>40402</v>
      </c>
      <c r="H18" s="2">
        <v>0</v>
      </c>
      <c r="I18" s="2">
        <v>0</v>
      </c>
      <c r="J18" s="2">
        <v>0</v>
      </c>
      <c r="K18" s="2" t="s">
        <v>47</v>
      </c>
      <c r="L18" s="4">
        <v>373.72</v>
      </c>
      <c r="M18" s="2"/>
      <c r="N18" t="s">
        <v>4457</v>
      </c>
    </row>
    <row r="19" spans="1:14" ht="105.6" x14ac:dyDescent="0.3">
      <c r="A19" s="2" t="s">
        <v>734</v>
      </c>
      <c r="B19" s="2" t="str">
        <f>HYPERLINK("https://www.oursportscentral.com/services/releases/indy-eleven-vs-tampa-bay-rowdies--game-highlights/n-6126321")</f>
        <v>https://www.oursportscentral.com/services/releases/indy-eleven-vs-tampa-bay-rowdies--game-highlights/n-6126321</v>
      </c>
      <c r="C19" s="2"/>
      <c r="D19" s="2" t="s">
        <v>24</v>
      </c>
      <c r="E19" s="5">
        <v>45493.793055555558</v>
      </c>
      <c r="F19" s="2" t="s">
        <v>122</v>
      </c>
      <c r="G19" s="2">
        <v>40402</v>
      </c>
      <c r="H19" s="2">
        <v>0</v>
      </c>
      <c r="I19" s="2">
        <v>0</v>
      </c>
      <c r="J19" s="2">
        <v>0</v>
      </c>
      <c r="K19" s="2" t="s">
        <v>25</v>
      </c>
      <c r="L19" s="4">
        <v>373.72</v>
      </c>
      <c r="M19" s="2"/>
      <c r="N19" t="s">
        <v>4457</v>
      </c>
    </row>
    <row r="20" spans="1:14" ht="409.6" x14ac:dyDescent="0.3">
      <c r="A20" s="2" t="s">
        <v>735</v>
      </c>
      <c r="B20" s="2" t="str">
        <f>HYPERLINK("https://www.oursportscentral.com/services/releases/indy-dropped-by-tampa-bay-2-0/n-6126310")</f>
        <v>https://www.oursportscentral.com/services/releases/indy-dropped-by-tampa-bay-2-0/n-6126310</v>
      </c>
      <c r="C20" s="2"/>
      <c r="D20" s="2" t="s">
        <v>24</v>
      </c>
      <c r="E20" s="5">
        <v>45493.771527777782</v>
      </c>
      <c r="F20" s="2" t="s">
        <v>736</v>
      </c>
      <c r="G20" s="2">
        <v>40402</v>
      </c>
      <c r="H20" s="2">
        <v>0</v>
      </c>
      <c r="I20" s="2">
        <v>0</v>
      </c>
      <c r="J20" s="2">
        <v>0</v>
      </c>
      <c r="K20" s="2" t="s">
        <v>31</v>
      </c>
      <c r="L20" s="4">
        <v>373.72</v>
      </c>
      <c r="M20" s="2"/>
      <c r="N20" t="s">
        <v>4457</v>
      </c>
    </row>
    <row r="21" spans="1:14" ht="409.6" x14ac:dyDescent="0.3">
      <c r="A21" s="2" t="s">
        <v>34</v>
      </c>
      <c r="B21" s="2" t="str">
        <f>HYPERLINK("https://www.heraldbulletin.com/sports/coming-up/article_3f5097a4-4611-11ef-b1f3-db61721758e5.html")</f>
        <v>https://www.heraldbulletin.com/sports/coming-up/article_3f5097a4-4611-11ef-b1f3-db61721758e5.html</v>
      </c>
      <c r="C21" s="2"/>
      <c r="D21" s="2" t="s">
        <v>35</v>
      </c>
      <c r="E21" s="5">
        <v>45493.296678240738</v>
      </c>
      <c r="F21" s="2" t="s">
        <v>737</v>
      </c>
      <c r="G21" s="2">
        <v>50260</v>
      </c>
      <c r="H21" s="2">
        <v>0</v>
      </c>
      <c r="I21" s="2">
        <v>0</v>
      </c>
      <c r="J21" s="2">
        <v>0</v>
      </c>
      <c r="K21" s="2" t="s">
        <v>25</v>
      </c>
      <c r="L21" s="4">
        <v>464.9</v>
      </c>
      <c r="M21" s="2"/>
      <c r="N21" t="s">
        <v>4458</v>
      </c>
    </row>
    <row r="22" spans="1:14" ht="409.6" x14ac:dyDescent="0.3">
      <c r="A22" s="2" t="s">
        <v>34</v>
      </c>
      <c r="B22" s="2" t="str">
        <f>HYPERLINK("https://www.heraldbulletin.com/sports/coming-up/article_4c0d773e-454c-11ef-929e-83241c52e835.html")</f>
        <v>https://www.heraldbulletin.com/sports/coming-up/article_4c0d773e-454c-11ef-929e-83241c52e835.html</v>
      </c>
      <c r="C22" s="2"/>
      <c r="D22" s="2" t="s">
        <v>35</v>
      </c>
      <c r="E22" s="5">
        <v>45492.304652777777</v>
      </c>
      <c r="F22" s="2" t="s">
        <v>739</v>
      </c>
      <c r="G22" s="2">
        <v>50260</v>
      </c>
      <c r="H22" s="2">
        <v>0</v>
      </c>
      <c r="I22" s="2">
        <v>0</v>
      </c>
      <c r="J22" s="2">
        <v>11</v>
      </c>
      <c r="K22" s="2" t="s">
        <v>25</v>
      </c>
      <c r="L22" s="4">
        <v>464.9</v>
      </c>
      <c r="M22" s="2"/>
      <c r="N22" t="s">
        <v>4458</v>
      </c>
    </row>
    <row r="23" spans="1:14" ht="409.6" x14ac:dyDescent="0.3">
      <c r="A23" s="2" t="s">
        <v>742</v>
      </c>
      <c r="B23" s="2" t="str">
        <f>HYPERLINK("https://www.uslleagueone.com/news_article/show/1314356")</f>
        <v>https://www.uslleagueone.com/news_article/show/1314356</v>
      </c>
      <c r="C23" s="2" t="s">
        <v>743</v>
      </c>
      <c r="D23" s="2" t="s">
        <v>27</v>
      </c>
      <c r="E23" s="5">
        <v>45491.59375</v>
      </c>
      <c r="F23" s="2" t="s">
        <v>744</v>
      </c>
      <c r="G23" s="2">
        <v>20277</v>
      </c>
      <c r="H23" s="2">
        <v>0</v>
      </c>
      <c r="I23" s="2">
        <v>0</v>
      </c>
      <c r="J23" s="2">
        <v>0</v>
      </c>
      <c r="K23" s="2" t="s">
        <v>25</v>
      </c>
      <c r="L23" s="4">
        <v>187.56</v>
      </c>
      <c r="M23" s="2"/>
      <c r="N23" t="s">
        <v>4457</v>
      </c>
    </row>
    <row r="24" spans="1:14" ht="409.6" x14ac:dyDescent="0.3">
      <c r="A24" s="2" t="s">
        <v>745</v>
      </c>
      <c r="B24" s="2" t="str">
        <f>HYPERLINK("https://www.oursportscentral.com/services/releases/preview-rowdies-at-indy-eleven/n-6125464")</f>
        <v>https://www.oursportscentral.com/services/releases/preview-rowdies-at-indy-eleven/n-6125464</v>
      </c>
      <c r="C24" s="2"/>
      <c r="D24" s="2" t="s">
        <v>24</v>
      </c>
      <c r="E24" s="5">
        <v>45491.563194444447</v>
      </c>
      <c r="F24" s="2" t="s">
        <v>746</v>
      </c>
      <c r="G24" s="2">
        <v>40402</v>
      </c>
      <c r="H24" s="2">
        <v>0</v>
      </c>
      <c r="I24" s="2">
        <v>0</v>
      </c>
      <c r="J24" s="2">
        <v>0</v>
      </c>
      <c r="K24" s="2" t="s">
        <v>31</v>
      </c>
      <c r="L24" s="4">
        <v>373.72</v>
      </c>
      <c r="M24" s="2"/>
      <c r="N24" t="s">
        <v>4457</v>
      </c>
    </row>
    <row r="25" spans="1:14" ht="237.6" x14ac:dyDescent="0.3">
      <c r="A25" s="2" t="s">
        <v>747</v>
      </c>
      <c r="B25" s="2" t="str">
        <f>HYPERLINK("https://do317.com/events/2024/7/20/indy-eleven-vs-tampa-bay-rowdies-tickets")</f>
        <v>https://do317.com/events/2024/7/20/indy-eleven-vs-tampa-bay-rowdies-tickets</v>
      </c>
      <c r="C25" s="2" t="s">
        <v>748</v>
      </c>
      <c r="D25" s="2" t="s">
        <v>156</v>
      </c>
      <c r="E25" s="5">
        <v>45491.508321759262</v>
      </c>
      <c r="F25" s="2" t="s">
        <v>749</v>
      </c>
      <c r="G25" s="2">
        <v>50131</v>
      </c>
      <c r="H25" s="2">
        <v>0</v>
      </c>
      <c r="I25" s="2">
        <v>0</v>
      </c>
      <c r="J25" s="2">
        <v>3</v>
      </c>
      <c r="K25" s="2" t="s">
        <v>47</v>
      </c>
      <c r="L25" s="4">
        <v>463.71</v>
      </c>
      <c r="M25" s="2"/>
      <c r="N25" t="s">
        <v>4458</v>
      </c>
    </row>
    <row r="26" spans="1:14" ht="369.6" x14ac:dyDescent="0.3">
      <c r="A26" s="2" t="s">
        <v>750</v>
      </c>
      <c r="B26" s="2" t="str">
        <f>HYPERLINK("https://www.oursportscentral.com/services/releases/union-omaha-signs-indy-eleven-midfielder-max-schneider-on-loan/n-6125387")</f>
        <v>https://www.oursportscentral.com/services/releases/union-omaha-signs-indy-eleven-midfielder-max-schneider-on-loan/n-6125387</v>
      </c>
      <c r="C26" s="2"/>
      <c r="D26" s="2" t="s">
        <v>24</v>
      </c>
      <c r="E26" s="5">
        <v>45491.448611111111</v>
      </c>
      <c r="F26" s="2" t="s">
        <v>751</v>
      </c>
      <c r="G26" s="2">
        <v>40402</v>
      </c>
      <c r="H26" s="2">
        <v>0</v>
      </c>
      <c r="I26" s="2">
        <v>0</v>
      </c>
      <c r="J26" s="2">
        <v>0</v>
      </c>
      <c r="K26" s="2" t="s">
        <v>25</v>
      </c>
      <c r="L26" s="4">
        <v>373.72</v>
      </c>
      <c r="M26" s="2"/>
      <c r="N26" t="s">
        <v>4457</v>
      </c>
    </row>
    <row r="27" spans="1:14" ht="409.6" x14ac:dyDescent="0.3">
      <c r="A27" s="2" t="s">
        <v>34</v>
      </c>
      <c r="B27" s="2" t="str">
        <f>HYPERLINK("https://www.heraldbulletin.com/sports/coming-up/article_a2e105c0-4476-11ef-aea5-f7dfe22cce85.html")</f>
        <v>https://www.heraldbulletin.com/sports/coming-up/article_a2e105c0-4476-11ef-aea5-f7dfe22cce85.html</v>
      </c>
      <c r="C27" s="2"/>
      <c r="D27" s="2" t="s">
        <v>35</v>
      </c>
      <c r="E27" s="5">
        <v>45491.297615740739</v>
      </c>
      <c r="F27" s="2" t="s">
        <v>752</v>
      </c>
      <c r="G27" s="2">
        <v>50260</v>
      </c>
      <c r="H27" s="2">
        <v>0</v>
      </c>
      <c r="I27" s="2">
        <v>0</v>
      </c>
      <c r="J27" s="2">
        <v>1</v>
      </c>
      <c r="K27" s="2" t="s">
        <v>25</v>
      </c>
      <c r="L27" s="4">
        <v>464.9</v>
      </c>
      <c r="M27" s="2"/>
      <c r="N27" t="s">
        <v>4458</v>
      </c>
    </row>
    <row r="28" spans="1:14" ht="211.2" x14ac:dyDescent="0.3">
      <c r="A28" s="2" t="s">
        <v>753</v>
      </c>
      <c r="B28" s="2" t="str">
        <f>HYPERLINK("https://www.wishtv.com/podcast-episode/lots-of-racing-and-more-from-the-wish-tv-community-calendar/")</f>
        <v>https://www.wishtv.com/podcast-episode/lots-of-racing-and-more-from-the-wish-tv-community-calendar/</v>
      </c>
      <c r="C28" s="2"/>
      <c r="D28" s="2" t="s">
        <v>38</v>
      </c>
      <c r="E28" s="5">
        <v>45490.746666666673</v>
      </c>
      <c r="F28" s="2" t="s">
        <v>754</v>
      </c>
      <c r="G28" s="2">
        <v>568116</v>
      </c>
      <c r="H28" s="2">
        <v>0</v>
      </c>
      <c r="I28" s="2">
        <v>0</v>
      </c>
      <c r="J28" s="2">
        <v>0</v>
      </c>
      <c r="K28" s="2" t="s">
        <v>25</v>
      </c>
      <c r="L28" s="4">
        <v>5255.07</v>
      </c>
      <c r="M28" s="2"/>
      <c r="N28" t="s">
        <v>4458</v>
      </c>
    </row>
    <row r="29" spans="1:14" ht="409.2" x14ac:dyDescent="0.3">
      <c r="A29" s="2" t="s">
        <v>756</v>
      </c>
      <c r="B29" s="2" t="str">
        <f>HYPERLINK("https://indymaven.com/articles/what-to-do-on-staycation-in-indianapolis/")</f>
        <v>https://indymaven.com/articles/what-to-do-on-staycation-in-indianapolis/</v>
      </c>
      <c r="C29" s="2" t="s">
        <v>757</v>
      </c>
      <c r="D29" s="2" t="s">
        <v>758</v>
      </c>
      <c r="E29" s="5">
        <v>45490.643773148149</v>
      </c>
      <c r="F29" s="2" t="s">
        <v>759</v>
      </c>
      <c r="G29" s="2">
        <v>5903</v>
      </c>
      <c r="H29" s="2">
        <v>0</v>
      </c>
      <c r="I29" s="2">
        <v>0</v>
      </c>
      <c r="J29" s="2">
        <v>1</v>
      </c>
      <c r="K29" s="2" t="s">
        <v>25</v>
      </c>
      <c r="L29" s="4">
        <v>54.6</v>
      </c>
      <c r="M29" s="2"/>
      <c r="N29" t="s">
        <v>4458</v>
      </c>
    </row>
    <row r="30" spans="1:14" ht="409.6" x14ac:dyDescent="0.3">
      <c r="A30" s="2" t="s">
        <v>760</v>
      </c>
      <c r="B30" s="2" t="str">
        <f>HYPERLINK("https://sports.yahoo.com/u-open-cup-semifinal-tickets-174402651.html")</f>
        <v>https://sports.yahoo.com/u-open-cup-semifinal-tickets-174402651.html</v>
      </c>
      <c r="C30" s="2" t="s">
        <v>761</v>
      </c>
      <c r="D30" s="2" t="s">
        <v>137</v>
      </c>
      <c r="E30" s="5">
        <v>45490.572245370371</v>
      </c>
      <c r="F30" s="2" t="s">
        <v>762</v>
      </c>
      <c r="G30" s="2">
        <v>23172409</v>
      </c>
      <c r="H30" s="2">
        <v>0</v>
      </c>
      <c r="I30" s="2">
        <v>0</v>
      </c>
      <c r="J30" s="2">
        <v>0</v>
      </c>
      <c r="K30" s="2" t="s">
        <v>25</v>
      </c>
      <c r="L30" s="4">
        <v>214344.78</v>
      </c>
      <c r="M30" s="2"/>
      <c r="N30" t="s">
        <v>4457</v>
      </c>
    </row>
    <row r="31" spans="1:14" ht="409.6" x14ac:dyDescent="0.3">
      <c r="A31" s="2" t="s">
        <v>34</v>
      </c>
      <c r="B31" s="2" t="str">
        <f>HYPERLINK("https://www.heraldbulletin.com/sports/coming-up/article_c162da98-43b1-11ef-a88d-03888317e5e7.html")</f>
        <v>https://www.heraldbulletin.com/sports/coming-up/article_c162da98-43b1-11ef-a88d-03888317e5e7.html</v>
      </c>
      <c r="C31" s="2"/>
      <c r="D31" s="2" t="s">
        <v>35</v>
      </c>
      <c r="E31" s="5">
        <v>45490.303182870368</v>
      </c>
      <c r="F31" s="2" t="s">
        <v>763</v>
      </c>
      <c r="G31" s="2">
        <v>50260</v>
      </c>
      <c r="H31" s="2">
        <v>0</v>
      </c>
      <c r="I31" s="2">
        <v>0</v>
      </c>
      <c r="J31" s="2">
        <v>9</v>
      </c>
      <c r="K31" s="2" t="s">
        <v>25</v>
      </c>
      <c r="L31" s="4">
        <v>464.9</v>
      </c>
      <c r="M31" s="2"/>
      <c r="N31" t="s">
        <v>4458</v>
      </c>
    </row>
    <row r="32" spans="1:14" ht="409.6" x14ac:dyDescent="0.3">
      <c r="A32" s="2" t="s">
        <v>764</v>
      </c>
      <c r="B32" s="2" t="str">
        <f>HYPERLINK("https://www.oursportscentral.com/services/releases/indy-elevens-stremlaw-named-to-ibj-media-indiana-250-list-of-influential-hoosiers/n-6124793")</f>
        <v>https://www.oursportscentral.com/services/releases/indy-elevens-stremlaw-named-to-ibj-media-indiana-250-list-of-influential-hoosiers/n-6124793</v>
      </c>
      <c r="C32" s="2"/>
      <c r="D32" s="2" t="s">
        <v>24</v>
      </c>
      <c r="E32" s="5">
        <v>45490.261111111111</v>
      </c>
      <c r="F32" s="2" t="s">
        <v>765</v>
      </c>
      <c r="G32" s="2">
        <v>40402</v>
      </c>
      <c r="H32" s="2">
        <v>0</v>
      </c>
      <c r="I32" s="2">
        <v>0</v>
      </c>
      <c r="J32" s="2">
        <v>0</v>
      </c>
      <c r="K32" s="2" t="s">
        <v>25</v>
      </c>
      <c r="L32" s="4">
        <v>373.72</v>
      </c>
      <c r="M32" s="2"/>
      <c r="N32" t="s">
        <v>4457</v>
      </c>
    </row>
    <row r="33" spans="1:14" ht="409.6" x14ac:dyDescent="0.3">
      <c r="A33" s="2" t="s">
        <v>766</v>
      </c>
      <c r="B33" s="2" t="str">
        <f>HYPERLINK("https://do317.com/p/summer-date-ideas-indianapolis")</f>
        <v>https://do317.com/p/summer-date-ideas-indianapolis</v>
      </c>
      <c r="C33" s="2" t="s">
        <v>748</v>
      </c>
      <c r="D33" s="2" t="s">
        <v>156</v>
      </c>
      <c r="E33" s="5">
        <v>45489.641481481478</v>
      </c>
      <c r="F33" s="2" t="s">
        <v>767</v>
      </c>
      <c r="G33" s="2">
        <v>50131</v>
      </c>
      <c r="H33" s="2">
        <v>0</v>
      </c>
      <c r="I33" s="2">
        <v>0</v>
      </c>
      <c r="J33" s="2">
        <v>37</v>
      </c>
      <c r="K33" s="2" t="s">
        <v>25</v>
      </c>
      <c r="L33" s="4">
        <v>463.71</v>
      </c>
      <c r="M33" s="2"/>
      <c r="N33" t="s">
        <v>4458</v>
      </c>
    </row>
    <row r="34" spans="1:14" ht="303.60000000000002" x14ac:dyDescent="0.3">
      <c r="A34" s="2" t="s">
        <v>768</v>
      </c>
      <c r="B34" s="2" t="str">
        <f>HYPERLINK("https://sportson.co.za/2024/07/kwame-awuah-shines-with-assist-in-loudoun-uniteds-draw-with-indy-eleven/")</f>
        <v>https://sportson.co.za/2024/07/kwame-awuah-shines-with-assist-in-loudoun-uniteds-draw-with-indy-eleven/</v>
      </c>
      <c r="C34" s="2" t="s">
        <v>769</v>
      </c>
      <c r="D34" s="2" t="s">
        <v>770</v>
      </c>
      <c r="E34" s="5">
        <v>45488.82172453704</v>
      </c>
      <c r="F34" s="2" t="s">
        <v>771</v>
      </c>
      <c r="G34" s="2">
        <v>0</v>
      </c>
      <c r="H34" s="2">
        <v>0</v>
      </c>
      <c r="I34" s="2">
        <v>0</v>
      </c>
      <c r="J34" s="2">
        <v>0</v>
      </c>
      <c r="K34" s="2" t="s">
        <v>25</v>
      </c>
      <c r="L34" s="2"/>
      <c r="M34" s="2"/>
      <c r="N34" t="s">
        <v>4459</v>
      </c>
    </row>
    <row r="35" spans="1:14" ht="409.6" x14ac:dyDescent="0.3">
      <c r="A35" s="2" t="s">
        <v>772</v>
      </c>
      <c r="B35" s="2" t="str">
        <f>HYPERLINK("https://www.uslchampionship.com/news_article/show/1314172")</f>
        <v>https://www.uslchampionship.com/news_article/show/1314172</v>
      </c>
      <c r="C35" s="2" t="s">
        <v>45</v>
      </c>
      <c r="D35" s="2" t="s">
        <v>28</v>
      </c>
      <c r="E35" s="5">
        <v>45488.7</v>
      </c>
      <c r="F35" s="2" t="s">
        <v>773</v>
      </c>
      <c r="G35" s="2">
        <v>44392</v>
      </c>
      <c r="H35" s="2">
        <v>0</v>
      </c>
      <c r="I35" s="2">
        <v>0</v>
      </c>
      <c r="J35" s="2">
        <v>42</v>
      </c>
      <c r="K35" s="2" t="s">
        <v>25</v>
      </c>
      <c r="L35" s="4">
        <v>410.63</v>
      </c>
      <c r="M35" s="2"/>
      <c r="N35" t="s">
        <v>4457</v>
      </c>
    </row>
    <row r="36" spans="1:14" ht="409.6" x14ac:dyDescent="0.3">
      <c r="A36" s="2" t="s">
        <v>774</v>
      </c>
      <c r="B36" s="2" t="str">
        <f>HYPERLINK("https://www.sportingkc.com/news/sporting-kc-to-host-indy-eleven-on-aug-27-in-u-s-open-cup-semifinal")</f>
        <v>https://www.sportingkc.com/news/sporting-kc-to-host-indy-eleven-on-aug-27-in-u-s-open-cup-semifinal</v>
      </c>
      <c r="C36" s="2"/>
      <c r="D36" s="2" t="s">
        <v>97</v>
      </c>
      <c r="E36" s="5">
        <v>45488.589537037027</v>
      </c>
      <c r="F36" s="2" t="s">
        <v>775</v>
      </c>
      <c r="G36" s="2">
        <v>54845</v>
      </c>
      <c r="H36" s="2">
        <v>0</v>
      </c>
      <c r="I36" s="2">
        <v>0</v>
      </c>
      <c r="J36" s="2">
        <v>0</v>
      </c>
      <c r="K36" s="2" t="s">
        <v>25</v>
      </c>
      <c r="L36" s="4">
        <v>507.32</v>
      </c>
      <c r="M36" s="2"/>
      <c r="N36" t="s">
        <v>4457</v>
      </c>
    </row>
    <row r="37" spans="1:14" ht="382.8" x14ac:dyDescent="0.3">
      <c r="A37" s="2" t="s">
        <v>776</v>
      </c>
      <c r="B37" s="2" t="str">
        <f>HYPERLINK("https://www.uslchampionship.com/news_article/show/1314154")</f>
        <v>https://www.uslchampionship.com/news_article/show/1314154</v>
      </c>
      <c r="C37" s="2" t="s">
        <v>26</v>
      </c>
      <c r="D37" s="2" t="s">
        <v>28</v>
      </c>
      <c r="E37" s="5">
        <v>45488.541666666657</v>
      </c>
      <c r="F37" s="2" t="s">
        <v>777</v>
      </c>
      <c r="G37" s="2">
        <v>44392</v>
      </c>
      <c r="H37" s="2">
        <v>0</v>
      </c>
      <c r="I37" s="2">
        <v>0</v>
      </c>
      <c r="J37" s="2">
        <v>403</v>
      </c>
      <c r="K37" s="2" t="s">
        <v>25</v>
      </c>
      <c r="L37" s="4">
        <v>410.63</v>
      </c>
      <c r="M37" s="2"/>
      <c r="N37" t="s">
        <v>4457</v>
      </c>
    </row>
    <row r="38" spans="1:14" ht="316.8" x14ac:dyDescent="0.3">
      <c r="A38" s="2" t="s">
        <v>779</v>
      </c>
      <c r="B38" s="2" t="str">
        <f>HYPERLINK("https://www.ussoccer.com/stories/2024/07/the-great-eight-quarterfinals-indy-eleven-feed-the-dream-as-skc-seattle-target-historic-fifth")</f>
        <v>https://www.ussoccer.com/stories/2024/07/the-great-eight-quarterfinals-indy-eleven-feed-the-dream-as-skc-seattle-target-historic-fifth</v>
      </c>
      <c r="C38" s="2" t="s">
        <v>249</v>
      </c>
      <c r="D38" s="2" t="s">
        <v>250</v>
      </c>
      <c r="E38" s="5">
        <v>45486.860555555562</v>
      </c>
      <c r="F38" s="2" t="s">
        <v>780</v>
      </c>
      <c r="G38" s="2">
        <v>543569</v>
      </c>
      <c r="H38" s="2">
        <v>0</v>
      </c>
      <c r="I38" s="2">
        <v>0</v>
      </c>
      <c r="J38" s="2">
        <v>12</v>
      </c>
      <c r="K38" s="2" t="s">
        <v>25</v>
      </c>
      <c r="L38" s="4">
        <v>5028.01</v>
      </c>
      <c r="M38" s="2"/>
      <c r="N38" t="s">
        <v>4457</v>
      </c>
    </row>
    <row r="39" spans="1:14" ht="290.39999999999998" x14ac:dyDescent="0.3">
      <c r="A39" s="2" t="s">
        <v>781</v>
      </c>
      <c r="B39" s="2" t="str">
        <f>HYPERLINK("https://exbulletin.com/sports/2786939/")</f>
        <v>https://exbulletin.com/sports/2786939/</v>
      </c>
      <c r="C39" s="2"/>
      <c r="D39" s="2" t="s">
        <v>738</v>
      </c>
      <c r="E39" s="5">
        <v>45486.804016203707</v>
      </c>
      <c r="F39" s="2" t="s">
        <v>782</v>
      </c>
      <c r="G39" s="2">
        <v>703</v>
      </c>
      <c r="H39" s="2">
        <v>0</v>
      </c>
      <c r="I39" s="2">
        <v>0</v>
      </c>
      <c r="J39" s="2">
        <v>0</v>
      </c>
      <c r="K39" s="2" t="s">
        <v>25</v>
      </c>
      <c r="L39" s="4">
        <v>6.5</v>
      </c>
      <c r="M39" s="2"/>
      <c r="N39" t="s">
        <v>4457</v>
      </c>
    </row>
    <row r="40" spans="1:14" ht="409.6" x14ac:dyDescent="0.3">
      <c r="A40" s="2" t="s">
        <v>783</v>
      </c>
      <c r="B40" s="2" t="str">
        <f>HYPERLINK("https://www.oursportscentral.com/services/releases/indy-eleven-and-loudoun-united-fc-take-1-1-draw/n-6123400")</f>
        <v>https://www.oursportscentral.com/services/releases/indy-eleven-and-loudoun-united-fc-take-1-1-draw/n-6123400</v>
      </c>
      <c r="C40" s="2"/>
      <c r="D40" s="2" t="s">
        <v>24</v>
      </c>
      <c r="E40" s="5">
        <v>45486.79583333333</v>
      </c>
      <c r="F40" s="2" t="s">
        <v>784</v>
      </c>
      <c r="G40" s="2">
        <v>40402</v>
      </c>
      <c r="H40" s="2">
        <v>0</v>
      </c>
      <c r="I40" s="2">
        <v>0</v>
      </c>
      <c r="J40" s="2">
        <v>0</v>
      </c>
      <c r="K40" s="2" t="s">
        <v>25</v>
      </c>
      <c r="L40" s="4">
        <v>373.72</v>
      </c>
      <c r="M40" s="2"/>
      <c r="N40" t="s">
        <v>4457</v>
      </c>
    </row>
    <row r="41" spans="1:14" ht="105.6" x14ac:dyDescent="0.3">
      <c r="A41" s="2" t="s">
        <v>785</v>
      </c>
      <c r="B41" s="2" t="str">
        <f>HYPERLINK("https://www.oursportscentral.com/services/releases/all-goals-from-indy-eleven-vs-loudoun-united-fc-in-the-2nd-half/n-6123389")</f>
        <v>https://www.oursportscentral.com/services/releases/all-goals-from-indy-eleven-vs-loudoun-united-fc-in-the-2nd-half/n-6123389</v>
      </c>
      <c r="C41" s="2"/>
      <c r="D41" s="2" t="s">
        <v>24</v>
      </c>
      <c r="E41" s="5">
        <v>45486.793749999997</v>
      </c>
      <c r="F41" s="2" t="s">
        <v>175</v>
      </c>
      <c r="G41" s="2">
        <v>40402</v>
      </c>
      <c r="H41" s="2">
        <v>0</v>
      </c>
      <c r="I41" s="2">
        <v>0</v>
      </c>
      <c r="J41" s="2">
        <v>0</v>
      </c>
      <c r="K41" s="2" t="s">
        <v>25</v>
      </c>
      <c r="L41" s="4">
        <v>373.72</v>
      </c>
      <c r="M41" s="2"/>
      <c r="N41" t="s">
        <v>4457</v>
      </c>
    </row>
    <row r="42" spans="1:14" ht="409.6" x14ac:dyDescent="0.3">
      <c r="A42" s="2" t="s">
        <v>786</v>
      </c>
      <c r="B42" s="2" t="str">
        <f>HYPERLINK("https://www.oursportscentral.com/services/releases/indy-eleven-vs-loudoun-united-fc--game-highlights/n-6123387")</f>
        <v>https://www.oursportscentral.com/services/releases/indy-eleven-vs-loudoun-united-fc--game-highlights/n-6123387</v>
      </c>
      <c r="C42" s="2"/>
      <c r="D42" s="2" t="s">
        <v>24</v>
      </c>
      <c r="E42" s="5">
        <v>45486.793749999997</v>
      </c>
      <c r="F42" s="2" t="s">
        <v>787</v>
      </c>
      <c r="G42" s="2">
        <v>40402</v>
      </c>
      <c r="H42" s="2">
        <v>0</v>
      </c>
      <c r="I42" s="2">
        <v>0</v>
      </c>
      <c r="J42" s="2">
        <v>0</v>
      </c>
      <c r="K42" s="2" t="s">
        <v>25</v>
      </c>
      <c r="L42" s="4">
        <v>373.72</v>
      </c>
      <c r="M42" s="2"/>
      <c r="N42" t="s">
        <v>4457</v>
      </c>
    </row>
    <row r="43" spans="1:14" ht="409.6" x14ac:dyDescent="0.3">
      <c r="A43" s="2" t="s">
        <v>34</v>
      </c>
      <c r="B43" s="2" t="str">
        <f>HYPERLINK("https://www.heraldbulletin.com/sports/coming-up/article_1705bfa2-4087-11ef-8af0-e3bbe8f9e9e1.html")</f>
        <v>https://www.heraldbulletin.com/sports/coming-up/article_1705bfa2-4087-11ef-8af0-e3bbe8f9e9e1.html</v>
      </c>
      <c r="C43" s="2"/>
      <c r="D43" s="2" t="s">
        <v>35</v>
      </c>
      <c r="E43" s="5">
        <v>45486.295115740737</v>
      </c>
      <c r="F43" s="2" t="s">
        <v>788</v>
      </c>
      <c r="G43" s="2">
        <v>50260</v>
      </c>
      <c r="H43" s="2">
        <v>0</v>
      </c>
      <c r="I43" s="2">
        <v>0</v>
      </c>
      <c r="J43" s="2">
        <v>4</v>
      </c>
      <c r="K43" s="2" t="s">
        <v>25</v>
      </c>
      <c r="L43" s="4">
        <v>464.9</v>
      </c>
      <c r="M43" s="2"/>
      <c r="N43" t="s">
        <v>4458</v>
      </c>
    </row>
    <row r="44" spans="1:14" ht="409.6" x14ac:dyDescent="0.3">
      <c r="A44" s="2" t="s">
        <v>789</v>
      </c>
      <c r="B44" s="2" t="str">
        <f>HYPERLINK("https://footballsierraleone.net/2024/07/13/williams-indy-eleven-to-meet-sporting-kc-in-us-cup-semis/")</f>
        <v>https://footballsierraleone.net/2024/07/13/williams-indy-eleven-to-meet-sporting-kc-in-us-cup-semis/</v>
      </c>
      <c r="C44" s="2" t="s">
        <v>790</v>
      </c>
      <c r="D44" s="2" t="s">
        <v>190</v>
      </c>
      <c r="E44" s="5">
        <v>45486.218657407408</v>
      </c>
      <c r="F44" s="2" t="s">
        <v>791</v>
      </c>
      <c r="G44" s="2">
        <v>991</v>
      </c>
      <c r="H44" s="2">
        <v>0</v>
      </c>
      <c r="I44" s="2">
        <v>0</v>
      </c>
      <c r="J44" s="2">
        <v>26</v>
      </c>
      <c r="K44" s="2" t="s">
        <v>31</v>
      </c>
      <c r="L44" s="4">
        <v>9.17</v>
      </c>
      <c r="M44" s="2"/>
      <c r="N44" t="s">
        <v>4459</v>
      </c>
    </row>
    <row r="45" spans="1:14" ht="409.6" x14ac:dyDescent="0.3">
      <c r="A45" s="2" t="s">
        <v>789</v>
      </c>
      <c r="B45" s="2" t="str">
        <f>HYPERLINK("https://shorturl.at/Nwvam")</f>
        <v>https://shorturl.at/Nwvam</v>
      </c>
      <c r="C45" s="2" t="s">
        <v>790</v>
      </c>
      <c r="D45" s="2" t="s">
        <v>50</v>
      </c>
      <c r="E45" s="5">
        <v>45486.186608796299</v>
      </c>
      <c r="F45" s="2" t="s">
        <v>791</v>
      </c>
      <c r="G45" s="2"/>
      <c r="H45" s="2">
        <v>0</v>
      </c>
      <c r="I45" s="2">
        <v>0</v>
      </c>
      <c r="J45" s="2">
        <v>26</v>
      </c>
      <c r="K45" s="2" t="s">
        <v>31</v>
      </c>
      <c r="L45" s="2"/>
      <c r="M45" s="2"/>
      <c r="N45" t="s">
        <v>4459</v>
      </c>
    </row>
    <row r="46" spans="1:14" ht="79.2" x14ac:dyDescent="0.3">
      <c r="A46" s="2" t="s">
        <v>792</v>
      </c>
      <c r="B46" s="2" t="str">
        <f>HYPERLINK("https://article.wn.com/view/2024/07/13/williams_8217_indy_eleven_to_meet_sporting_kc_in_us_cup_semi/")</f>
        <v>https://article.wn.com/view/2024/07/13/williams_8217_indy_eleven_to_meet_sporting_kc_in_us_cup_semi/</v>
      </c>
      <c r="C46" s="2"/>
      <c r="D46" s="2" t="s">
        <v>632</v>
      </c>
      <c r="E46" s="5">
        <v>45486</v>
      </c>
      <c r="F46" s="2"/>
      <c r="G46" s="2">
        <v>185918</v>
      </c>
      <c r="H46" s="2">
        <v>0</v>
      </c>
      <c r="I46" s="2">
        <v>0</v>
      </c>
      <c r="J46" s="2">
        <v>0</v>
      </c>
      <c r="K46" s="2"/>
      <c r="L46" s="4">
        <v>1719.74</v>
      </c>
      <c r="M46" s="2"/>
      <c r="N46" t="s">
        <v>4459</v>
      </c>
    </row>
    <row r="47" spans="1:14" ht="409.6" x14ac:dyDescent="0.3">
      <c r="A47" s="2" t="s">
        <v>793</v>
      </c>
      <c r="B47" s="2" t="str">
        <f>HYPERLINK("https://dailysports.net/predictions/indy-eleven-vs-loudoun-united-prediction-and-betting-tips-july-14-2024/")</f>
        <v>https://dailysports.net/predictions/indy-eleven-vs-loudoun-united-prediction-and-betting-tips-july-14-2024/</v>
      </c>
      <c r="C47" s="2" t="s">
        <v>719</v>
      </c>
      <c r="D47" s="2" t="s">
        <v>285</v>
      </c>
      <c r="E47" s="5">
        <v>45485.933807870373</v>
      </c>
      <c r="F47" s="2" t="s">
        <v>794</v>
      </c>
      <c r="G47" s="2"/>
      <c r="H47" s="2">
        <v>0</v>
      </c>
      <c r="I47" s="2">
        <v>0</v>
      </c>
      <c r="J47" s="2">
        <v>0</v>
      </c>
      <c r="K47" s="2" t="s">
        <v>25</v>
      </c>
      <c r="L47" s="2"/>
      <c r="M47" s="2"/>
      <c r="N47" t="s">
        <v>4459</v>
      </c>
    </row>
    <row r="48" spans="1:14" ht="409.6" x14ac:dyDescent="0.3">
      <c r="A48" s="2" t="s">
        <v>796</v>
      </c>
      <c r="B48" s="2" t="str">
        <f>HYPERLINK("https://www.yurview.com/fc-tulsa-vs-indy-eleven-live-stream-061924/")</f>
        <v>https://www.yurview.com/fc-tulsa-vs-indy-eleven-live-stream-061924/</v>
      </c>
      <c r="C48" s="2" t="s">
        <v>797</v>
      </c>
      <c r="D48" s="2" t="s">
        <v>798</v>
      </c>
      <c r="E48" s="5">
        <v>45485.573842592603</v>
      </c>
      <c r="F48" s="2" t="s">
        <v>799</v>
      </c>
      <c r="G48" s="2">
        <v>3154</v>
      </c>
      <c r="H48" s="2">
        <v>0</v>
      </c>
      <c r="I48" s="2">
        <v>0</v>
      </c>
      <c r="J48" s="2">
        <v>0</v>
      </c>
      <c r="K48" s="2" t="s">
        <v>47</v>
      </c>
      <c r="L48" s="4">
        <v>29.17</v>
      </c>
      <c r="M48" s="2"/>
      <c r="N48" t="s">
        <v>4457</v>
      </c>
    </row>
    <row r="49" spans="1:14" ht="409.6" x14ac:dyDescent="0.3">
      <c r="A49" s="2" t="s">
        <v>34</v>
      </c>
      <c r="B49" s="2" t="str">
        <f>HYPERLINK("https://www.heraldbulletin.com/sports/coming-up/article_91d26258-3fba-11ef-b64d-df2efd1673f9.html")</f>
        <v>https://www.heraldbulletin.com/sports/coming-up/article_91d26258-3fba-11ef-b64d-df2efd1673f9.html</v>
      </c>
      <c r="C49" s="2"/>
      <c r="D49" s="2" t="s">
        <v>35</v>
      </c>
      <c r="E49" s="5">
        <v>45485.301215277781</v>
      </c>
      <c r="F49" s="2" t="s">
        <v>788</v>
      </c>
      <c r="G49" s="2">
        <v>50260</v>
      </c>
      <c r="H49" s="2">
        <v>0</v>
      </c>
      <c r="I49" s="2">
        <v>0</v>
      </c>
      <c r="J49" s="2">
        <v>7</v>
      </c>
      <c r="K49" s="2" t="s">
        <v>25</v>
      </c>
      <c r="L49" s="4">
        <v>464.9</v>
      </c>
      <c r="M49" s="2"/>
      <c r="N49" t="s">
        <v>4458</v>
      </c>
    </row>
    <row r="50" spans="1:14" ht="184.8" x14ac:dyDescent="0.3">
      <c r="A50" s="2" t="s">
        <v>801</v>
      </c>
      <c r="B50" s="2" t="str">
        <f>HYPERLINK("https://www.axios.com/local/indianapolis/2024/07/12/indianapolis-weekend-events-vegfest-sun-king-fever")</f>
        <v>https://www.axios.com/local/indianapolis/2024/07/12/indianapolis-weekend-events-vegfest-sun-king-fever</v>
      </c>
      <c r="C50" s="2" t="s">
        <v>143</v>
      </c>
      <c r="D50" s="2" t="s">
        <v>144</v>
      </c>
      <c r="E50" s="5">
        <v>45485.275821759264</v>
      </c>
      <c r="F50" s="2" t="s">
        <v>802</v>
      </c>
      <c r="G50" s="2">
        <v>14450483</v>
      </c>
      <c r="H50" s="2">
        <v>0</v>
      </c>
      <c r="I50" s="2">
        <v>0</v>
      </c>
      <c r="J50" s="2">
        <v>0</v>
      </c>
      <c r="K50" s="2" t="s">
        <v>25</v>
      </c>
      <c r="L50" s="4">
        <v>133666.97</v>
      </c>
      <c r="M50" s="2"/>
      <c r="N50" t="s">
        <v>4458</v>
      </c>
    </row>
    <row r="51" spans="1:14" ht="409.6" x14ac:dyDescent="0.3">
      <c r="A51" s="2" t="s">
        <v>804</v>
      </c>
      <c r="B51" s="2" t="str">
        <f>HYPERLINK("https://sbisoccer.com/2024/07/sounders-lafc-sporting-kc-indy-eleven-to-meet-in-u-s-open-cup-semifinals")</f>
        <v>https://sbisoccer.com/2024/07/sounders-lafc-sporting-kc-indy-eleven-to-meet-in-u-s-open-cup-semifinals</v>
      </c>
      <c r="C51" s="2" t="s">
        <v>805</v>
      </c>
      <c r="D51" s="2" t="s">
        <v>286</v>
      </c>
      <c r="E51" s="5">
        <v>45484.521620370368</v>
      </c>
      <c r="F51" s="2" t="s">
        <v>806</v>
      </c>
      <c r="G51" s="2">
        <v>17221</v>
      </c>
      <c r="H51" s="2">
        <v>0</v>
      </c>
      <c r="I51" s="2">
        <v>0</v>
      </c>
      <c r="J51" s="2">
        <v>31</v>
      </c>
      <c r="K51" s="2" t="s">
        <v>25</v>
      </c>
      <c r="L51" s="4">
        <v>159.29</v>
      </c>
      <c r="M51" s="2"/>
      <c r="N51" t="s">
        <v>4457</v>
      </c>
    </row>
    <row r="52" spans="1:14" ht="409.6" x14ac:dyDescent="0.3">
      <c r="A52" s="2" t="s">
        <v>804</v>
      </c>
      <c r="B52" s="2" t="str">
        <f>HYPERLINK("https://www.football-addict.com/en-us/article/home/sounders-lafc-sporting-kc-indy-eleven-to-meet-in-u-s-open-cup-semifinals/669008effcb3f89950013008")</f>
        <v>https://www.football-addict.com/en-us/article/home/sounders-lafc-sporting-kc-indy-eleven-to-meet-in-u-s-open-cup-semifinals/669008effcb3f89950013008</v>
      </c>
      <c r="C52" s="2"/>
      <c r="D52" s="2" t="s">
        <v>287</v>
      </c>
      <c r="E52" s="5">
        <v>45484.518067129633</v>
      </c>
      <c r="F52" s="2" t="s">
        <v>806</v>
      </c>
      <c r="G52" s="2">
        <v>113660</v>
      </c>
      <c r="H52" s="2">
        <v>0</v>
      </c>
      <c r="I52" s="2">
        <v>0</v>
      </c>
      <c r="J52" s="2">
        <v>6</v>
      </c>
      <c r="K52" s="2" t="s">
        <v>25</v>
      </c>
      <c r="L52" s="4">
        <v>1051.3599999999999</v>
      </c>
      <c r="M52" s="2"/>
      <c r="N52" t="s">
        <v>4457</v>
      </c>
    </row>
    <row r="53" spans="1:14" ht="409.6" x14ac:dyDescent="0.3">
      <c r="A53" s="2" t="s">
        <v>34</v>
      </c>
      <c r="B53" s="2" t="str">
        <f>HYPERLINK("https://www.heraldbulletin.com/sports/coming-up/article_2d40be5e-3f18-11ef-bbea-2bc261193dc2.html")</f>
        <v>https://www.heraldbulletin.com/sports/coming-up/article_2d40be5e-3f18-11ef-bbea-2bc261193dc2.html</v>
      </c>
      <c r="C53" s="2"/>
      <c r="D53" s="2" t="s">
        <v>35</v>
      </c>
      <c r="E53" s="5">
        <v>45484.29760416667</v>
      </c>
      <c r="F53" s="2" t="s">
        <v>788</v>
      </c>
      <c r="G53" s="2">
        <v>50260</v>
      </c>
      <c r="H53" s="2">
        <v>0</v>
      </c>
      <c r="I53" s="2">
        <v>0</v>
      </c>
      <c r="J53" s="2">
        <v>6</v>
      </c>
      <c r="K53" s="2" t="s">
        <v>25</v>
      </c>
      <c r="L53" s="4">
        <v>464.9</v>
      </c>
      <c r="M53" s="2"/>
      <c r="N53" t="s">
        <v>4458</v>
      </c>
    </row>
    <row r="54" spans="1:14" ht="224.4" x14ac:dyDescent="0.3">
      <c r="A54" s="2" t="s">
        <v>807</v>
      </c>
      <c r="B54" s="2" t="str">
        <f>HYPERLINK("https://wtlcfm.com/3897131/indy-eleven-defeat-atlanta-united-move-on-to-us-open-cup-semis/")</f>
        <v>https://wtlcfm.com/3897131/indy-eleven-defeat-atlanta-united-move-on-to-us-open-cup-semis/</v>
      </c>
      <c r="C54" s="2" t="s">
        <v>713</v>
      </c>
      <c r="D54" s="2" t="s">
        <v>515</v>
      </c>
      <c r="E54" s="5">
        <v>45483.822118055563</v>
      </c>
      <c r="F54" s="2" t="s">
        <v>808</v>
      </c>
      <c r="G54" s="2">
        <v>7794</v>
      </c>
      <c r="H54" s="2">
        <v>0</v>
      </c>
      <c r="I54" s="2">
        <v>0</v>
      </c>
      <c r="J54" s="2">
        <v>39</v>
      </c>
      <c r="K54" s="2" t="s">
        <v>31</v>
      </c>
      <c r="L54" s="4">
        <v>72.09</v>
      </c>
      <c r="M54" s="2"/>
      <c r="N54" t="s">
        <v>4458</v>
      </c>
    </row>
    <row r="55" spans="1:14" ht="409.2" x14ac:dyDescent="0.3">
      <c r="A55" s="2" t="s">
        <v>810</v>
      </c>
      <c r="B55" s="2" t="str">
        <f>HYPERLINK("https://www.indystar.com/story/sports/2024/07/10/indy-eleven-post-first-win-over-an-mls-opponent-in-u-s-open-cup/74350596007/")</f>
        <v>https://www.indystar.com/story/sports/2024/07/10/indy-eleven-post-first-win-over-an-mls-opponent-in-u-s-open-cup/74350596007/</v>
      </c>
      <c r="C55" s="2"/>
      <c r="D55" s="2" t="s">
        <v>321</v>
      </c>
      <c r="E55" s="5">
        <v>45483.444467592592</v>
      </c>
      <c r="F55" s="2" t="s">
        <v>811</v>
      </c>
      <c r="G55" s="2">
        <v>3061566</v>
      </c>
      <c r="H55" s="2">
        <v>1</v>
      </c>
      <c r="I55" s="2">
        <v>11217</v>
      </c>
      <c r="J55" s="2">
        <v>10</v>
      </c>
      <c r="K55" s="2" t="s">
        <v>25</v>
      </c>
      <c r="L55" s="4">
        <v>28319.49</v>
      </c>
      <c r="M55" s="2"/>
      <c r="N55" t="s">
        <v>4458</v>
      </c>
    </row>
    <row r="56" spans="1:14" ht="409.6" x14ac:dyDescent="0.3">
      <c r="A56" s="2" t="s">
        <v>814</v>
      </c>
      <c r="B56" s="2" t="str">
        <f>HYPERLINK("https://exbulletin.com/sports/2782006/")</f>
        <v>https://exbulletin.com/sports/2782006/</v>
      </c>
      <c r="C56" s="2"/>
      <c r="D56" s="2" t="s">
        <v>738</v>
      </c>
      <c r="E56" s="5">
        <v>45483.422511574077</v>
      </c>
      <c r="F56" s="2" t="s">
        <v>815</v>
      </c>
      <c r="G56" s="2">
        <v>703</v>
      </c>
      <c r="H56" s="2">
        <v>0</v>
      </c>
      <c r="I56" s="2">
        <v>0</v>
      </c>
      <c r="J56" s="2">
        <v>0</v>
      </c>
      <c r="K56" s="2" t="s">
        <v>25</v>
      </c>
      <c r="L56" s="4">
        <v>6.5</v>
      </c>
      <c r="M56" s="2"/>
      <c r="N56" t="s">
        <v>4457</v>
      </c>
    </row>
    <row r="57" spans="1:14" ht="409.6" x14ac:dyDescent="0.3">
      <c r="A57" s="2" t="s">
        <v>816</v>
      </c>
      <c r="B57" s="2" t="str">
        <f>HYPERLINK("https://www.uslchampionship.com/news_article/show/1313915")</f>
        <v>https://www.uslchampionship.com/news_article/show/1313915</v>
      </c>
      <c r="C57" s="2" t="s">
        <v>45</v>
      </c>
      <c r="D57" s="2" t="s">
        <v>28</v>
      </c>
      <c r="E57" s="5">
        <v>45483.375</v>
      </c>
      <c r="F57" s="2" t="s">
        <v>817</v>
      </c>
      <c r="G57" s="2">
        <v>44392</v>
      </c>
      <c r="H57" s="2">
        <v>0</v>
      </c>
      <c r="I57" s="2">
        <v>0</v>
      </c>
      <c r="J57" s="2">
        <v>27</v>
      </c>
      <c r="K57" s="2" t="s">
        <v>25</v>
      </c>
      <c r="L57" s="4">
        <v>410.63</v>
      </c>
      <c r="M57" s="2"/>
      <c r="N57" t="s">
        <v>4457</v>
      </c>
    </row>
    <row r="58" spans="1:14" ht="356.4" x14ac:dyDescent="0.3">
      <c r="A58" s="2" t="s">
        <v>818</v>
      </c>
      <c r="B58" s="2" t="str">
        <f>HYPERLINK("https://www.wishtv.com/sports/indy-eleven/indy-eleven-upsets-mls-team-atlanta-united-to-advance-to-u-s-open-cup-semifinals/")</f>
        <v>https://www.wishtv.com/sports/indy-eleven/indy-eleven-upsets-mls-team-atlanta-united-to-advance-to-u-s-open-cup-semifinals/</v>
      </c>
      <c r="C58" s="2" t="s">
        <v>819</v>
      </c>
      <c r="D58" s="2" t="s">
        <v>38</v>
      </c>
      <c r="E58" s="5">
        <v>45483.352418981478</v>
      </c>
      <c r="F58" s="2" t="s">
        <v>820</v>
      </c>
      <c r="G58" s="2">
        <v>568116</v>
      </c>
      <c r="H58" s="2">
        <v>0</v>
      </c>
      <c r="I58" s="2">
        <v>0</v>
      </c>
      <c r="J58" s="2">
        <v>147</v>
      </c>
      <c r="K58" s="2" t="s">
        <v>25</v>
      </c>
      <c r="L58" s="4">
        <v>5255.07</v>
      </c>
      <c r="M58" s="2"/>
      <c r="N58" t="s">
        <v>4458</v>
      </c>
    </row>
    <row r="59" spans="1:14" ht="224.4" x14ac:dyDescent="0.3">
      <c r="A59" s="2" t="s">
        <v>807</v>
      </c>
      <c r="B59" s="2" t="str">
        <f>HYPERLINK("https://1075thefan.com/368492/indy-eleven-defeat-atlanta-united-move-on-to-us-open-cup-semis/")</f>
        <v>https://1075thefan.com/368492/indy-eleven-defeat-atlanta-united-move-on-to-us-open-cup-semis/</v>
      </c>
      <c r="C59" s="2" t="s">
        <v>713</v>
      </c>
      <c r="D59" s="2" t="s">
        <v>75</v>
      </c>
      <c r="E59" s="5">
        <v>45483.327037037037</v>
      </c>
      <c r="F59" s="2" t="s">
        <v>808</v>
      </c>
      <c r="G59" s="2">
        <v>208881</v>
      </c>
      <c r="H59" s="2">
        <v>0</v>
      </c>
      <c r="I59" s="2">
        <v>0</v>
      </c>
      <c r="J59" s="2">
        <v>11</v>
      </c>
      <c r="K59" s="2" t="s">
        <v>31</v>
      </c>
      <c r="L59" s="4">
        <v>1932.15</v>
      </c>
      <c r="M59" s="2"/>
      <c r="N59" t="s">
        <v>4458</v>
      </c>
    </row>
    <row r="60" spans="1:14" ht="290.39999999999998" x14ac:dyDescent="0.3">
      <c r="A60" s="2" t="s">
        <v>34</v>
      </c>
      <c r="B60" s="2" t="str">
        <f>HYPERLINK("https://www.heraldbulletin.com/sports/coming-up/article_c449e5be-3e2d-11ef-ae67-3b7ffd9de7da.html")</f>
        <v>https://www.heraldbulletin.com/sports/coming-up/article_c449e5be-3e2d-11ef-ae67-3b7ffd9de7da.html</v>
      </c>
      <c r="C60" s="2"/>
      <c r="D60" s="2" t="s">
        <v>35</v>
      </c>
      <c r="E60" s="5">
        <v>45483.29896990741</v>
      </c>
      <c r="F60" s="2" t="s">
        <v>821</v>
      </c>
      <c r="G60" s="2">
        <v>50260</v>
      </c>
      <c r="H60" s="2">
        <v>0</v>
      </c>
      <c r="I60" s="2">
        <v>0</v>
      </c>
      <c r="J60" s="2">
        <v>1</v>
      </c>
      <c r="K60" s="2" t="s">
        <v>25</v>
      </c>
      <c r="L60" s="4">
        <v>464.9</v>
      </c>
      <c r="M60" s="2"/>
      <c r="N60" t="s">
        <v>4458</v>
      </c>
    </row>
    <row r="61" spans="1:14" ht="184.8" x14ac:dyDescent="0.3">
      <c r="A61" s="2" t="s">
        <v>822</v>
      </c>
      <c r="B61" s="2" t="str">
        <f>HYPERLINK("https://kissnwa.com/sports/kiss-nwa-sports/atlanta-united-shocked-in-u-s-open-cup-by-usl-side-indy-eleven-as-mls-team-falls-in-quarterfinals/")</f>
        <v>https://kissnwa.com/sports/kiss-nwa-sports/atlanta-united-shocked-in-u-s-open-cup-by-usl-side-indy-eleven-as-mls-team-falls-in-quarterfinals/</v>
      </c>
      <c r="C61" s="2"/>
      <c r="D61" s="2" t="s">
        <v>823</v>
      </c>
      <c r="E61" s="5">
        <v>45483.263078703712</v>
      </c>
      <c r="F61" s="2" t="s">
        <v>824</v>
      </c>
      <c r="G61" s="2">
        <v>1270</v>
      </c>
      <c r="H61" s="2">
        <v>0</v>
      </c>
      <c r="I61" s="2">
        <v>0</v>
      </c>
      <c r="J61" s="2">
        <v>0</v>
      </c>
      <c r="K61" s="2" t="s">
        <v>25</v>
      </c>
      <c r="L61" s="4">
        <v>11.75</v>
      </c>
      <c r="M61" s="2"/>
      <c r="N61" t="s">
        <v>4457</v>
      </c>
    </row>
    <row r="62" spans="1:14" ht="409.6" x14ac:dyDescent="0.3">
      <c r="A62" s="2" t="s">
        <v>825</v>
      </c>
      <c r="B62" s="2" t="str">
        <f>HYPERLINK("https://mlsmultiplex.com/posts/atlanta-united-humiliated-by-indy-eleven-shock-and-elimination-in-the-open-cup-01j2e05e5h9r")</f>
        <v>https://mlsmultiplex.com/posts/atlanta-united-humiliated-by-indy-eleven-shock-and-elimination-in-the-open-cup-01j2e05e5h9r</v>
      </c>
      <c r="C62" s="2" t="s">
        <v>826</v>
      </c>
      <c r="D62" s="2" t="s">
        <v>454</v>
      </c>
      <c r="E62" s="5">
        <v>45483.24895833333</v>
      </c>
      <c r="F62" s="2" t="s">
        <v>827</v>
      </c>
      <c r="G62" s="2">
        <v>26876</v>
      </c>
      <c r="H62" s="2">
        <v>0</v>
      </c>
      <c r="I62" s="2">
        <v>0</v>
      </c>
      <c r="J62" s="2">
        <v>7</v>
      </c>
      <c r="K62" s="2" t="s">
        <v>47</v>
      </c>
      <c r="L62" s="4">
        <v>248.6</v>
      </c>
      <c r="M62" s="2"/>
      <c r="N62" t="s">
        <v>4459</v>
      </c>
    </row>
    <row r="63" spans="1:14" ht="409.6" x14ac:dyDescent="0.3">
      <c r="A63" s="2" t="s">
        <v>807</v>
      </c>
      <c r="B63" s="2" t="str">
        <f>HYPERLINK("https://wibc.com/395446/indy-eleven-defeat-atlanta-united-move-on-to-us-open-cup-semis/")</f>
        <v>https://wibc.com/395446/indy-eleven-defeat-atlanta-united-move-on-to-us-open-cup-semis/</v>
      </c>
      <c r="C63" s="2" t="s">
        <v>713</v>
      </c>
      <c r="D63" s="2" t="s">
        <v>322</v>
      </c>
      <c r="E63" s="5">
        <v>45483.198182870372</v>
      </c>
      <c r="F63" s="2" t="s">
        <v>828</v>
      </c>
      <c r="G63" s="2">
        <v>42815</v>
      </c>
      <c r="H63" s="2">
        <v>0</v>
      </c>
      <c r="I63" s="2">
        <v>0</v>
      </c>
      <c r="J63" s="2">
        <v>17</v>
      </c>
      <c r="K63" s="2" t="s">
        <v>31</v>
      </c>
      <c r="L63" s="4">
        <v>396.04</v>
      </c>
      <c r="M63" s="2"/>
      <c r="N63" t="s">
        <v>4458</v>
      </c>
    </row>
    <row r="64" spans="1:14" ht="382.8" x14ac:dyDescent="0.3">
      <c r="A64" s="2" t="s">
        <v>829</v>
      </c>
      <c r="B64" s="2" t="str">
        <f>HYPERLINK("https://newstral.com/en/article/en/1255337596/atlanta-united-shocked-in-u-s-open-cup-by-usl-side-indy-eleven-as-mls-team-falls-in-quarterfinals")</f>
        <v>https://newstral.com/en/article/en/1255337596/atlanta-united-shocked-in-u-s-open-cup-by-usl-side-indy-eleven-as-mls-team-falls-in-quarterfinals</v>
      </c>
      <c r="C64" s="2"/>
      <c r="D64" s="2" t="s">
        <v>830</v>
      </c>
      <c r="E64" s="5">
        <v>45483.169444444437</v>
      </c>
      <c r="F64" s="2" t="s">
        <v>831</v>
      </c>
      <c r="G64" s="2">
        <v>72072</v>
      </c>
      <c r="H64" s="2">
        <v>0</v>
      </c>
      <c r="I64" s="2">
        <v>0</v>
      </c>
      <c r="J64" s="2">
        <v>0</v>
      </c>
      <c r="K64" s="2" t="s">
        <v>25</v>
      </c>
      <c r="L64" s="4">
        <v>666.67</v>
      </c>
      <c r="M64" s="2"/>
      <c r="N64" t="s">
        <v>4459</v>
      </c>
    </row>
    <row r="65" spans="1:14" ht="356.4" x14ac:dyDescent="0.3">
      <c r="A65" s="2" t="s">
        <v>832</v>
      </c>
      <c r="B65" s="2" t="str">
        <f>HYPERLINK("https://www.socceramerica.com/mls-and-usl-championship-teams-split-quarterfinals/")</f>
        <v>https://www.socceramerica.com/mls-and-usl-championship-teams-split-quarterfinals/</v>
      </c>
      <c r="C65" s="2" t="s">
        <v>263</v>
      </c>
      <c r="D65" s="2" t="s">
        <v>264</v>
      </c>
      <c r="E65" s="5">
        <v>45483.139421296299</v>
      </c>
      <c r="F65" s="2" t="s">
        <v>833</v>
      </c>
      <c r="G65" s="2">
        <v>17486</v>
      </c>
      <c r="H65" s="2">
        <v>0</v>
      </c>
      <c r="I65" s="2">
        <v>0</v>
      </c>
      <c r="J65" s="2">
        <v>3</v>
      </c>
      <c r="K65" s="2" t="s">
        <v>25</v>
      </c>
      <c r="L65" s="4">
        <v>161.75</v>
      </c>
      <c r="M65" s="2"/>
      <c r="N65" t="s">
        <v>4457</v>
      </c>
    </row>
    <row r="66" spans="1:14" ht="409.6" x14ac:dyDescent="0.3">
      <c r="A66" s="2" t="s">
        <v>834</v>
      </c>
      <c r="B66" s="2" t="str">
        <f>HYPERLINK("https://headtopics.com/us/indy-eleven-make-history-with-2-1-u-s-open-cup-win-over-55598000")</f>
        <v>https://headtopics.com/us/indy-eleven-make-history-with-2-1-u-s-open-cup-win-over-55598000</v>
      </c>
      <c r="C66" s="2"/>
      <c r="D66" s="2" t="s">
        <v>283</v>
      </c>
      <c r="E66" s="5">
        <v>45483.04791666667</v>
      </c>
      <c r="F66" s="2" t="s">
        <v>835</v>
      </c>
      <c r="G66" s="2">
        <v>55248</v>
      </c>
      <c r="H66" s="2">
        <v>0</v>
      </c>
      <c r="I66" s="2">
        <v>0</v>
      </c>
      <c r="J66" s="2">
        <v>0</v>
      </c>
      <c r="K66" s="2" t="s">
        <v>25</v>
      </c>
      <c r="L66" s="4">
        <v>511.04</v>
      </c>
      <c r="M66" s="2"/>
      <c r="N66" t="s">
        <v>4459</v>
      </c>
    </row>
    <row r="67" spans="1:14" ht="290.39999999999998" x14ac:dyDescent="0.3">
      <c r="A67" s="2" t="s">
        <v>822</v>
      </c>
      <c r="B67" s="2" t="str">
        <f>HYPERLINK("https://newstalk941.com/atlanta-united-shocked-in-u-s-open-cup-by-usl-side-indy-eleven-as-mls-team-falls-in-quarterfinals/")</f>
        <v>https://newstalk941.com/atlanta-united-shocked-in-u-s-open-cup-by-usl-side-indy-eleven-as-mls-team-falls-in-quarterfinals/</v>
      </c>
      <c r="C67" s="2" t="s">
        <v>836</v>
      </c>
      <c r="D67" s="2" t="s">
        <v>837</v>
      </c>
      <c r="E67" s="5">
        <v>45483.005787037036</v>
      </c>
      <c r="F67" s="2" t="s">
        <v>838</v>
      </c>
      <c r="G67" s="2">
        <v>5589</v>
      </c>
      <c r="H67" s="2">
        <v>0</v>
      </c>
      <c r="I67" s="2">
        <v>0</v>
      </c>
      <c r="J67" s="2">
        <v>0</v>
      </c>
      <c r="K67" s="2" t="s">
        <v>25</v>
      </c>
      <c r="L67" s="4">
        <v>51.7</v>
      </c>
      <c r="M67" s="2"/>
      <c r="N67" t="s">
        <v>4457</v>
      </c>
    </row>
    <row r="68" spans="1:14" ht="316.8" x14ac:dyDescent="0.3">
      <c r="A68" s="2" t="s">
        <v>839</v>
      </c>
      <c r="B68" s="2" t="str">
        <f>HYPERLINK("https://www.blogarama.com/sports-blogs/1432701-sports-atl-blog/59561460-atlanta-united-drops-open-cup-game-against-indiana")</f>
        <v>https://www.blogarama.com/sports-blogs/1432701-sports-atl-blog/59561460-atlanta-united-drops-open-cup-game-against-indiana</v>
      </c>
      <c r="C68" s="2"/>
      <c r="D68" s="2" t="s">
        <v>840</v>
      </c>
      <c r="E68" s="5">
        <v>45483</v>
      </c>
      <c r="F68" s="2" t="s">
        <v>841</v>
      </c>
      <c r="G68" s="2">
        <v>26975</v>
      </c>
      <c r="H68" s="2">
        <v>0</v>
      </c>
      <c r="I68" s="2">
        <v>0</v>
      </c>
      <c r="J68" s="2">
        <v>0</v>
      </c>
      <c r="K68" s="2" t="s">
        <v>25</v>
      </c>
      <c r="L68" s="4">
        <v>249.52</v>
      </c>
      <c r="M68" s="2"/>
      <c r="N68" t="s">
        <v>4459</v>
      </c>
    </row>
    <row r="69" spans="1:14" ht="79.2" x14ac:dyDescent="0.3">
      <c r="A69" s="2" t="s">
        <v>810</v>
      </c>
      <c r="B69" s="2" t="str">
        <f>HYPERLINK("https://article.wn.com/view/2024/07/10/Indy_Eleven_beat_MLS_team_for_first_time_in_US_Open_Cup_quar/")</f>
        <v>https://article.wn.com/view/2024/07/10/Indy_Eleven_beat_MLS_team_for_first_time_in_US_Open_Cup_quar/</v>
      </c>
      <c r="C69" s="2"/>
      <c r="D69" s="2" t="s">
        <v>632</v>
      </c>
      <c r="E69" s="5">
        <v>45483</v>
      </c>
      <c r="F69" s="2"/>
      <c r="G69" s="2">
        <v>185918</v>
      </c>
      <c r="H69" s="2">
        <v>0</v>
      </c>
      <c r="I69" s="2">
        <v>0</v>
      </c>
      <c r="J69" s="2">
        <v>0</v>
      </c>
      <c r="K69" s="2"/>
      <c r="L69" s="4">
        <v>1719.74</v>
      </c>
      <c r="M69" s="2"/>
      <c r="N69" t="s">
        <v>4459</v>
      </c>
    </row>
    <row r="70" spans="1:14" ht="409.6" x14ac:dyDescent="0.3">
      <c r="A70" s="2" t="s">
        <v>842</v>
      </c>
      <c r="B70" s="2" t="str">
        <f>HYPERLINK("http://accesswdun.com/article/2024/7/1251892/united-knocked-out-of-us-open-cup-in-2-1-loss-to-indy-eleven")</f>
        <v>http://accesswdun.com/article/2024/7/1251892/united-knocked-out-of-us-open-cup-in-2-1-loss-to-indy-eleven</v>
      </c>
      <c r="C70" s="2"/>
      <c r="D70" s="2" t="s">
        <v>843</v>
      </c>
      <c r="E70" s="5">
        <v>45482.963009259263</v>
      </c>
      <c r="F70" s="2" t="s">
        <v>844</v>
      </c>
      <c r="G70" s="2">
        <v>197267</v>
      </c>
      <c r="H70" s="2">
        <v>0</v>
      </c>
      <c r="I70" s="2">
        <v>0</v>
      </c>
      <c r="J70" s="2">
        <v>0</v>
      </c>
      <c r="K70" s="2" t="s">
        <v>25</v>
      </c>
      <c r="L70" s="4">
        <v>1824.72</v>
      </c>
      <c r="M70" s="2"/>
      <c r="N70" t="s">
        <v>4457</v>
      </c>
    </row>
    <row r="71" spans="1:14" ht="409.6" x14ac:dyDescent="0.3">
      <c r="A71" s="2" t="s">
        <v>845</v>
      </c>
      <c r="B71" s="2" t="str">
        <f>HYPERLINK("https://bvmsports.com/2024/07/09/indy-eleven-upsets-atlanta-united-in-u-s-open-cup-quarterfinal-with-strong-defense/")</f>
        <v>https://bvmsports.com/2024/07/09/indy-eleven-upsets-atlanta-united-in-u-s-open-cup-quarterfinal-with-strong-defense/</v>
      </c>
      <c r="C71" s="2" t="s">
        <v>270</v>
      </c>
      <c r="D71" s="2" t="s">
        <v>271</v>
      </c>
      <c r="E71" s="5">
        <v>45482.960787037038</v>
      </c>
      <c r="F71" s="2" t="s">
        <v>846</v>
      </c>
      <c r="G71" s="2">
        <v>2152626</v>
      </c>
      <c r="H71" s="2">
        <v>0</v>
      </c>
      <c r="I71" s="2">
        <v>0</v>
      </c>
      <c r="J71" s="2">
        <v>0</v>
      </c>
      <c r="K71" s="2" t="s">
        <v>25</v>
      </c>
      <c r="L71" s="4">
        <v>19911.79</v>
      </c>
      <c r="M71" s="2"/>
      <c r="N71" t="s">
        <v>4459</v>
      </c>
    </row>
    <row r="72" spans="1:14" ht="145.19999999999999" x14ac:dyDescent="0.3">
      <c r="A72" s="2" t="s">
        <v>847</v>
      </c>
      <c r="B72" s="2" t="str">
        <f>HYPERLINK("https://www.rockdalenewtoncitizen.com/fieldlevel/mls-us-open-cup-quarterfinal-indy-eleven-at-atlanta-united-fc/image_a999e49c-0b67-5f8f-a24f-11447fd931ad.html")</f>
        <v>https://www.rockdalenewtoncitizen.com/fieldlevel/mls-us-open-cup-quarterfinal-indy-eleven-at-atlanta-united-fc/image_a999e49c-0b67-5f8f-a24f-11447fd931ad.html</v>
      </c>
      <c r="C72" s="2" t="s">
        <v>848</v>
      </c>
      <c r="D72" s="2" t="s">
        <v>849</v>
      </c>
      <c r="E72" s="5">
        <v>45482.941400462973</v>
      </c>
      <c r="F72" s="2"/>
      <c r="G72" s="2">
        <v>27359</v>
      </c>
      <c r="H72" s="2">
        <v>0</v>
      </c>
      <c r="I72" s="2">
        <v>0</v>
      </c>
      <c r="J72" s="2">
        <v>0</v>
      </c>
      <c r="K72" s="2"/>
      <c r="L72" s="4">
        <v>253.07</v>
      </c>
      <c r="M72" s="2"/>
      <c r="N72" t="s">
        <v>4457</v>
      </c>
    </row>
    <row r="73" spans="1:14" ht="396" x14ac:dyDescent="0.3">
      <c r="A73" s="2" t="s">
        <v>850</v>
      </c>
      <c r="B73" s="2" t="str">
        <f>HYPERLINK("https://sports.yahoo.com/indy-eleven-knock-atlanta-united-010700776.html")</f>
        <v>https://sports.yahoo.com/indy-eleven-knock-atlanta-united-010700776.html</v>
      </c>
      <c r="C73" s="2" t="s">
        <v>851</v>
      </c>
      <c r="D73" s="2" t="s">
        <v>137</v>
      </c>
      <c r="E73" s="5">
        <v>45482.92396990741</v>
      </c>
      <c r="F73" s="2" t="s">
        <v>852</v>
      </c>
      <c r="G73" s="2">
        <v>23172409</v>
      </c>
      <c r="H73" s="2">
        <v>0</v>
      </c>
      <c r="I73" s="2">
        <v>0</v>
      </c>
      <c r="J73" s="2">
        <v>0</v>
      </c>
      <c r="K73" s="2" t="s">
        <v>25</v>
      </c>
      <c r="L73" s="4">
        <v>214344.78</v>
      </c>
      <c r="M73" s="2"/>
      <c r="N73" t="s">
        <v>4457</v>
      </c>
    </row>
    <row r="74" spans="1:14" ht="184.8" x14ac:dyDescent="0.3">
      <c r="A74" s="2" t="s">
        <v>822</v>
      </c>
      <c r="B74" s="2" t="str">
        <f>HYPERLINK("https://www.cbssports.com/soccer/news/atlanta-united-shocked-in-u-s-open-cup-by-usl-side-indy-eleven-as-mls-team-falls-in-quarterfinals/")</f>
        <v>https://www.cbssports.com/soccer/news/atlanta-united-shocked-in-u-s-open-cup-by-usl-side-indy-eleven-as-mls-team-falls-in-quarterfinals/</v>
      </c>
      <c r="C74" s="2" t="s">
        <v>853</v>
      </c>
      <c r="D74" s="2" t="s">
        <v>813</v>
      </c>
      <c r="E74" s="5">
        <v>45482.923136574071</v>
      </c>
      <c r="F74" s="2" t="s">
        <v>824</v>
      </c>
      <c r="G74" s="2">
        <v>24348903</v>
      </c>
      <c r="H74" s="2">
        <v>1</v>
      </c>
      <c r="I74" s="2">
        <v>4649</v>
      </c>
      <c r="J74" s="2">
        <v>91</v>
      </c>
      <c r="K74" s="2" t="s">
        <v>25</v>
      </c>
      <c r="L74" s="4">
        <v>225227.35</v>
      </c>
      <c r="M74" s="2"/>
      <c r="N74" t="s">
        <v>4457</v>
      </c>
    </row>
    <row r="75" spans="1:14" ht="409.6" x14ac:dyDescent="0.3">
      <c r="A75" s="2" t="s">
        <v>822</v>
      </c>
      <c r="B75" s="2" t="str">
        <f>HYPERLINK("https://www.newsbreak.com/atlanta-ga/3522315129063-atlanta-united-shocked-in-u-s-open-cup-by-usl-side-indy-eleven-as-mls-team-falls-in-quarterfinals")</f>
        <v>https://www.newsbreak.com/atlanta-ga/3522315129063-atlanta-united-shocked-in-u-s-open-cup-by-usl-side-indy-eleven-as-mls-team-falls-in-quarterfinals</v>
      </c>
      <c r="C75" s="2" t="s">
        <v>854</v>
      </c>
      <c r="D75" s="2" t="s">
        <v>360</v>
      </c>
      <c r="E75" s="5">
        <v>45482.9221875</v>
      </c>
      <c r="F75" s="2" t="s">
        <v>855</v>
      </c>
      <c r="G75" s="2">
        <v>18777858</v>
      </c>
      <c r="H75" s="2">
        <v>0</v>
      </c>
      <c r="I75" s="2">
        <v>0</v>
      </c>
      <c r="J75" s="2">
        <v>0</v>
      </c>
      <c r="K75" s="2" t="s">
        <v>25</v>
      </c>
      <c r="L75" s="4">
        <v>173695.19</v>
      </c>
      <c r="M75" s="2"/>
      <c r="N75" t="s">
        <v>4457</v>
      </c>
    </row>
    <row r="76" spans="1:14" ht="409.6" x14ac:dyDescent="0.3">
      <c r="A76" s="2" t="s">
        <v>856</v>
      </c>
      <c r="B76" s="2" t="str">
        <f>HYPERLINK("https://www.ussoccer.com/stories/2024/07/2024-us-open-cup-atlanta-united-indy-eleven-sacramento-republic-seattle-sounders-score-result-stats-goals-recap")</f>
        <v>https://www.ussoccer.com/stories/2024/07/2024-us-open-cup-atlanta-united-indy-eleven-sacramento-republic-seattle-sounders-score-result-stats-goals-recap</v>
      </c>
      <c r="C76" s="2"/>
      <c r="D76" s="2" t="s">
        <v>250</v>
      </c>
      <c r="E76" s="5">
        <v>45482.916666666657</v>
      </c>
      <c r="F76" s="2" t="s">
        <v>857</v>
      </c>
      <c r="G76" s="2">
        <v>543569</v>
      </c>
      <c r="H76" s="2">
        <v>0</v>
      </c>
      <c r="I76" s="2">
        <v>0</v>
      </c>
      <c r="J76" s="2">
        <v>8</v>
      </c>
      <c r="K76" s="2" t="s">
        <v>25</v>
      </c>
      <c r="L76" s="4">
        <v>5028.01</v>
      </c>
      <c r="M76" s="2"/>
      <c r="N76" t="s">
        <v>4457</v>
      </c>
    </row>
    <row r="77" spans="1:14" ht="409.6" x14ac:dyDescent="0.3">
      <c r="A77" s="2" t="s">
        <v>858</v>
      </c>
      <c r="B77" s="2" t="str">
        <f>HYPERLINK("https://www.atlutd.com/news/atlanta-united-falls-to-indy-eleven-2-1-in-quarterfinals-of-the-lamar-hunt-u-s-open-cup-july-9-2024")</f>
        <v>https://www.atlutd.com/news/atlanta-united-falls-to-indy-eleven-2-1-in-quarterfinals-of-the-lamar-hunt-u-s-open-cup-july-9-2024</v>
      </c>
      <c r="C77" s="2" t="s">
        <v>859</v>
      </c>
      <c r="D77" s="2" t="s">
        <v>800</v>
      </c>
      <c r="E77" s="5">
        <v>45482.886932870373</v>
      </c>
      <c r="F77" s="2" t="s">
        <v>860</v>
      </c>
      <c r="G77" s="2">
        <v>125156</v>
      </c>
      <c r="H77" s="2">
        <v>0</v>
      </c>
      <c r="I77" s="2">
        <v>0</v>
      </c>
      <c r="J77" s="2">
        <v>0</v>
      </c>
      <c r="K77" s="2" t="s">
        <v>25</v>
      </c>
      <c r="L77" s="4">
        <v>1157.69</v>
      </c>
      <c r="M77" s="2"/>
      <c r="N77" t="s">
        <v>4457</v>
      </c>
    </row>
    <row r="78" spans="1:14" ht="303.60000000000002" x14ac:dyDescent="0.3">
      <c r="A78" s="2" t="s">
        <v>861</v>
      </c>
      <c r="B78" s="2" t="str">
        <f>HYPERLINK("https://www.ajc.com/sports/atlanta-united/atlanta-united-knocked-out-of-us-open-cup-by-indy-eleven/P67USH67AJHBVOCNWAXZU3R3SI/")</f>
        <v>https://www.ajc.com/sports/atlanta-united/atlanta-united-knocked-out-of-us-open-cup-by-indy-eleven/P67USH67AJHBVOCNWAXZU3R3SI/</v>
      </c>
      <c r="C78" s="2" t="s">
        <v>29</v>
      </c>
      <c r="D78" s="2" t="s">
        <v>30</v>
      </c>
      <c r="E78" s="5">
        <v>45482.886435185188</v>
      </c>
      <c r="F78" s="2" t="s">
        <v>862</v>
      </c>
      <c r="G78" s="2">
        <v>2262733</v>
      </c>
      <c r="H78" s="2">
        <v>0</v>
      </c>
      <c r="I78" s="2">
        <v>0</v>
      </c>
      <c r="J78" s="2">
        <v>0</v>
      </c>
      <c r="K78" s="2" t="s">
        <v>25</v>
      </c>
      <c r="L78" s="4">
        <v>20930.28</v>
      </c>
      <c r="M78" s="2"/>
      <c r="N78" t="s">
        <v>4457</v>
      </c>
    </row>
    <row r="79" spans="1:14" ht="409.6" x14ac:dyDescent="0.3">
      <c r="A79" s="2" t="s">
        <v>863</v>
      </c>
      <c r="B79" s="2" t="str">
        <f>HYPERLINK("https://www.uslchampionship.com/news_article/show/1313900")</f>
        <v>https://www.uslchampionship.com/news_article/show/1313900</v>
      </c>
      <c r="C79" s="2" t="s">
        <v>45</v>
      </c>
      <c r="D79" s="2" t="s">
        <v>28</v>
      </c>
      <c r="E79" s="5">
        <v>45482.884722222218</v>
      </c>
      <c r="F79" s="2" t="s">
        <v>864</v>
      </c>
      <c r="G79" s="2">
        <v>44392</v>
      </c>
      <c r="H79" s="2">
        <v>0</v>
      </c>
      <c r="I79" s="2">
        <v>0</v>
      </c>
      <c r="J79" s="2">
        <v>890</v>
      </c>
      <c r="K79" s="2" t="s">
        <v>25</v>
      </c>
      <c r="L79" s="4">
        <v>410.63</v>
      </c>
      <c r="M79" s="2"/>
      <c r="N79" t="s">
        <v>4457</v>
      </c>
    </row>
    <row r="80" spans="1:14" ht="409.6" x14ac:dyDescent="0.3">
      <c r="A80" s="2" t="s">
        <v>865</v>
      </c>
      <c r="B80" s="2" t="str">
        <f>HYPERLINK("https://onefootball.com/en/news/indy-eleven-knock-atlanta-united-out-of-us-open-cup-39741097")</f>
        <v>https://onefootball.com/en/news/indy-eleven-knock-atlanta-united-out-of-us-open-cup-39741097</v>
      </c>
      <c r="C80" s="2" t="s">
        <v>851</v>
      </c>
      <c r="D80" s="2" t="s">
        <v>866</v>
      </c>
      <c r="E80" s="5">
        <v>45482.884201388893</v>
      </c>
      <c r="F80" s="2" t="s">
        <v>867</v>
      </c>
      <c r="G80" s="2">
        <v>5815087</v>
      </c>
      <c r="H80" s="2">
        <v>0</v>
      </c>
      <c r="I80" s="2">
        <v>0</v>
      </c>
      <c r="J80" s="2">
        <v>0</v>
      </c>
      <c r="K80" s="2" t="s">
        <v>25</v>
      </c>
      <c r="L80" s="4">
        <v>53789.55</v>
      </c>
      <c r="M80" s="2"/>
      <c r="N80" t="s">
        <v>4457</v>
      </c>
    </row>
    <row r="81" spans="1:14" ht="330" x14ac:dyDescent="0.3">
      <c r="A81" s="2" t="s">
        <v>868</v>
      </c>
      <c r="B81" s="2" t="str">
        <f>HYPERLINK("https://ca.sports.yahoo.com/news/indy-eleven-knock-atlanta-united-010700776.html")</f>
        <v>https://ca.sports.yahoo.com/news/indy-eleven-knock-atlanta-united-010700776.html</v>
      </c>
      <c r="C81" s="2" t="s">
        <v>851</v>
      </c>
      <c r="D81" s="2" t="s">
        <v>41</v>
      </c>
      <c r="E81" s="5">
        <v>45482.879861111112</v>
      </c>
      <c r="F81" s="2" t="s">
        <v>869</v>
      </c>
      <c r="G81" s="2">
        <v>620413</v>
      </c>
      <c r="H81" s="2">
        <v>0</v>
      </c>
      <c r="I81" s="2">
        <v>0</v>
      </c>
      <c r="J81" s="2">
        <v>0</v>
      </c>
      <c r="K81" s="2" t="s">
        <v>25</v>
      </c>
      <c r="L81" s="4">
        <v>5738.82</v>
      </c>
      <c r="M81" s="2"/>
      <c r="N81" t="s">
        <v>4459</v>
      </c>
    </row>
    <row r="82" spans="1:14" ht="409.6" x14ac:dyDescent="0.3">
      <c r="A82" s="2" t="s">
        <v>834</v>
      </c>
      <c r="B82" s="2" t="str">
        <f>HYPERLINK("https://www.wthr.com/article/sports/soccer/indy-eleven/indy-eleven-us-open-cup-win-over-atlanta-united/531-db78bf85-c760-49db-bf3d-3c72ebe02c0c")</f>
        <v>https://www.wthr.com/article/sports/soccer/indy-eleven/indy-eleven-us-open-cup-win-over-atlanta-united/531-db78bf85-c760-49db-bf3d-3c72ebe02c0c</v>
      </c>
      <c r="C82" s="2"/>
      <c r="D82" s="2" t="s">
        <v>130</v>
      </c>
      <c r="E82" s="5">
        <v>45482.869444444441</v>
      </c>
      <c r="F82" s="2" t="s">
        <v>870</v>
      </c>
      <c r="G82" s="2">
        <v>1222012</v>
      </c>
      <c r="H82" s="2">
        <v>0</v>
      </c>
      <c r="I82" s="2">
        <v>0</v>
      </c>
      <c r="J82" s="2">
        <v>274</v>
      </c>
      <c r="K82" s="2" t="s">
        <v>25</v>
      </c>
      <c r="L82" s="4">
        <v>11303.61</v>
      </c>
      <c r="M82" s="2"/>
      <c r="N82" t="s">
        <v>4458</v>
      </c>
    </row>
    <row r="83" spans="1:14" ht="409.6" x14ac:dyDescent="0.3">
      <c r="A83" s="2" t="s">
        <v>872</v>
      </c>
      <c r="B83" s="2" t="str">
        <f>HYPERLINK("https://www.oursportscentral.com/services/releases/atlanta-united-loses-to-indy-eleven-ending-u-s-open-cup-run/n-6121549")</f>
        <v>https://www.oursportscentral.com/services/releases/atlanta-united-loses-to-indy-eleven-ending-u-s-open-cup-run/n-6121549</v>
      </c>
      <c r="C83" s="2"/>
      <c r="D83" s="2" t="s">
        <v>24</v>
      </c>
      <c r="E83" s="5">
        <v>45482.821527777778</v>
      </c>
      <c r="F83" s="2" t="s">
        <v>873</v>
      </c>
      <c r="G83" s="2">
        <v>40402</v>
      </c>
      <c r="H83" s="2">
        <v>0</v>
      </c>
      <c r="I83" s="2">
        <v>0</v>
      </c>
      <c r="J83" s="2">
        <v>0</v>
      </c>
      <c r="K83" s="2" t="s">
        <v>25</v>
      </c>
      <c r="L83" s="4">
        <v>373.72</v>
      </c>
      <c r="M83" s="2"/>
      <c r="N83" t="s">
        <v>4457</v>
      </c>
    </row>
    <row r="84" spans="1:14" ht="343.2" x14ac:dyDescent="0.3">
      <c r="A84" s="2" t="s">
        <v>874</v>
      </c>
      <c r="B84" s="2" t="str">
        <f>HYPERLINK("https://www.atlutd.com/news/starting-xi-and-roster-notes-atlanta-united-faces-indy-eleven-in-the-quarterfinals-of-the-lamar-hunt-u-s-open-cup-july-9-2024-fifth-third-stadium")</f>
        <v>https://www.atlutd.com/news/starting-xi-and-roster-notes-atlanta-united-faces-indy-eleven-in-the-quarterfinals-of-the-lamar-hunt-u-s-open-cup-july-9-2024-fifth-third-stadium</v>
      </c>
      <c r="C84" s="2"/>
      <c r="D84" s="2" t="s">
        <v>800</v>
      </c>
      <c r="E84" s="5">
        <v>45482.748680555553</v>
      </c>
      <c r="F84" s="2" t="s">
        <v>875</v>
      </c>
      <c r="G84" s="2">
        <v>125156</v>
      </c>
      <c r="H84" s="2">
        <v>0</v>
      </c>
      <c r="I84" s="2">
        <v>0</v>
      </c>
      <c r="J84" s="2">
        <v>0</v>
      </c>
      <c r="K84" s="2" t="s">
        <v>25</v>
      </c>
      <c r="L84" s="4">
        <v>1157.69</v>
      </c>
      <c r="M84" s="2"/>
      <c r="N84" t="s">
        <v>4457</v>
      </c>
    </row>
    <row r="85" spans="1:14" ht="409.6" x14ac:dyDescent="0.3">
      <c r="A85" s="2" t="s">
        <v>876</v>
      </c>
      <c r="B85" s="2" t="str">
        <f>HYPERLINK("https://www.newsbreak.com/atlanta-ga/3521921738736-atlanta-united-face-indy-eleven-in-decisive-open-cup-match")</f>
        <v>https://www.newsbreak.com/atlanta-ga/3521921738736-atlanta-united-face-indy-eleven-in-decisive-open-cup-match</v>
      </c>
      <c r="C85" s="2" t="s">
        <v>826</v>
      </c>
      <c r="D85" s="2" t="s">
        <v>360</v>
      </c>
      <c r="E85" s="5">
        <v>45482.667060185187</v>
      </c>
      <c r="F85" s="2" t="s">
        <v>855</v>
      </c>
      <c r="G85" s="2">
        <v>18777858</v>
      </c>
      <c r="H85" s="2">
        <v>0</v>
      </c>
      <c r="I85" s="2">
        <v>0</v>
      </c>
      <c r="J85" s="2">
        <v>0</v>
      </c>
      <c r="K85" s="2" t="s">
        <v>25</v>
      </c>
      <c r="L85" s="4">
        <v>173695.19</v>
      </c>
      <c r="M85" s="2"/>
      <c r="N85" t="s">
        <v>4457</v>
      </c>
    </row>
    <row r="86" spans="1:14" ht="409.6" x14ac:dyDescent="0.3">
      <c r="A86" s="2" t="s">
        <v>876</v>
      </c>
      <c r="B86" s="2" t="str">
        <f>HYPERLINK("https://mlsmultiplex.com/posts/atlanta-united-face-indy-eleven-in-decisive-open-cup-match-01j2cfyvqec5")</f>
        <v>https://mlsmultiplex.com/posts/atlanta-united-face-indy-eleven-in-decisive-open-cup-match-01j2cfyvqec5</v>
      </c>
      <c r="C86" s="2" t="s">
        <v>826</v>
      </c>
      <c r="D86" s="2" t="s">
        <v>454</v>
      </c>
      <c r="E86" s="5">
        <v>45482.657893518517</v>
      </c>
      <c r="F86" s="2" t="s">
        <v>877</v>
      </c>
      <c r="G86" s="2">
        <v>26876</v>
      </c>
      <c r="H86" s="2">
        <v>0</v>
      </c>
      <c r="I86" s="2">
        <v>0</v>
      </c>
      <c r="J86" s="2">
        <v>11</v>
      </c>
      <c r="K86" s="2" t="s">
        <v>25</v>
      </c>
      <c r="L86" s="4">
        <v>248.6</v>
      </c>
      <c r="M86" s="2"/>
      <c r="N86" t="s">
        <v>4459</v>
      </c>
    </row>
    <row r="87" spans="1:14" ht="409.6" x14ac:dyDescent="0.3">
      <c r="A87" s="2" t="s">
        <v>878</v>
      </c>
      <c r="B87" s="2" t="str">
        <f>HYPERLINK("http://accesswdun.com/article/2024/7/1251824/united-to-play-host-to-indy-eleven-in-us-open-cup-quarterfinals")</f>
        <v>http://accesswdun.com/article/2024/7/1251824/united-to-play-host-to-indy-eleven-in-us-open-cup-quarterfinals</v>
      </c>
      <c r="C87" s="2"/>
      <c r="D87" s="2" t="s">
        <v>843</v>
      </c>
      <c r="E87" s="5">
        <v>45482.585821759261</v>
      </c>
      <c r="F87" s="2" t="s">
        <v>879</v>
      </c>
      <c r="G87" s="2">
        <v>197267</v>
      </c>
      <c r="H87" s="2">
        <v>0</v>
      </c>
      <c r="I87" s="2">
        <v>0</v>
      </c>
      <c r="J87" s="2">
        <v>0</v>
      </c>
      <c r="K87" s="2" t="s">
        <v>25</v>
      </c>
      <c r="L87" s="4">
        <v>1824.72</v>
      </c>
      <c r="M87" s="2"/>
      <c r="N87" t="s">
        <v>4457</v>
      </c>
    </row>
    <row r="88" spans="1:14" ht="409.6" x14ac:dyDescent="0.3">
      <c r="A88" s="2" t="s">
        <v>880</v>
      </c>
      <c r="B88" s="2" t="str">
        <f>HYPERLINK("https://tv.apple.com/us/sporting-event/atlanta-united-vs-indy-eleven/umc.cse.4lij53k90gi02j3utuc0cf3k")</f>
        <v>https://tv.apple.com/us/sporting-event/atlanta-united-vs-indy-eleven/umc.cse.4lij53k90gi02j3utuc0cf3k</v>
      </c>
      <c r="C88" s="2"/>
      <c r="D88" s="2" t="s">
        <v>507</v>
      </c>
      <c r="E88" s="5">
        <v>45482.422986111109</v>
      </c>
      <c r="F88" s="2" t="s">
        <v>881</v>
      </c>
      <c r="G88" s="2"/>
      <c r="H88" s="2">
        <v>0</v>
      </c>
      <c r="I88" s="2">
        <v>0</v>
      </c>
      <c r="J88" s="2">
        <v>17</v>
      </c>
      <c r="K88" s="2" t="s">
        <v>25</v>
      </c>
      <c r="L88" s="2"/>
      <c r="M88" s="2"/>
      <c r="N88" t="s">
        <v>4459</v>
      </c>
    </row>
    <row r="89" spans="1:14" ht="409.6" x14ac:dyDescent="0.3">
      <c r="A89" s="2" t="s">
        <v>34</v>
      </c>
      <c r="B89" s="2" t="str">
        <f>HYPERLINK("https://www.heraldbulletin.com/sports/coming-up/article_a2d6d1aa-3d81-11ef-8082-a31f681a53c6.html")</f>
        <v>https://www.heraldbulletin.com/sports/coming-up/article_a2d6d1aa-3d81-11ef-8082-a31f681a53c6.html</v>
      </c>
      <c r="C89" s="2"/>
      <c r="D89" s="2" t="s">
        <v>35</v>
      </c>
      <c r="E89" s="5">
        <v>45482.29828703704</v>
      </c>
      <c r="F89" s="2" t="s">
        <v>882</v>
      </c>
      <c r="G89" s="2">
        <v>50260</v>
      </c>
      <c r="H89" s="2">
        <v>0</v>
      </c>
      <c r="I89" s="2">
        <v>0</v>
      </c>
      <c r="J89" s="2">
        <v>38</v>
      </c>
      <c r="K89" s="2" t="s">
        <v>25</v>
      </c>
      <c r="L89" s="4">
        <v>464.9</v>
      </c>
      <c r="M89" s="2"/>
      <c r="N89" t="s">
        <v>4458</v>
      </c>
    </row>
    <row r="90" spans="1:14" ht="356.4" x14ac:dyDescent="0.3">
      <c r="A90" s="2" t="s">
        <v>883</v>
      </c>
      <c r="B90" s="2" t="str">
        <f>HYPERLINK("https://bolavip.com/en/soccer/where-to-watch-atlanta-united-vs-indy-eleven-in-the-usa-us-open-cup")</f>
        <v>https://bolavip.com/en/soccer/where-to-watch-atlanta-united-vs-indy-eleven-in-the-usa-us-open-cup</v>
      </c>
      <c r="C90" s="2"/>
      <c r="D90" s="2" t="s">
        <v>498</v>
      </c>
      <c r="E90" s="5">
        <v>45481.945879629631</v>
      </c>
      <c r="F90" s="2" t="s">
        <v>884</v>
      </c>
      <c r="G90" s="2">
        <v>12195690</v>
      </c>
      <c r="H90" s="2">
        <v>0</v>
      </c>
      <c r="I90" s="2">
        <v>0</v>
      </c>
      <c r="J90" s="2">
        <v>1</v>
      </c>
      <c r="K90" s="2" t="s">
        <v>25</v>
      </c>
      <c r="L90" s="4">
        <v>112810.13</v>
      </c>
      <c r="M90" s="2"/>
      <c r="N90" t="s">
        <v>4459</v>
      </c>
    </row>
    <row r="91" spans="1:14" ht="409.6" x14ac:dyDescent="0.3">
      <c r="A91" s="2" t="s">
        <v>885</v>
      </c>
      <c r="B91" s="2" t="str">
        <f>HYPERLINK("https://www.ajc.com/sports/atlanta-united/southern-fried-soccer-atlanta-united-real-salt-lake-indy-eleven-and-the-olympics/3N4W3S2PKFBOHOTO6DXRENTZDY/")</f>
        <v>https://www.ajc.com/sports/atlanta-united/southern-fried-soccer-atlanta-united-real-salt-lake-indy-eleven-and-the-olympics/3N4W3S2PKFBOHOTO6DXRENTZDY/</v>
      </c>
      <c r="C91" s="2" t="s">
        <v>29</v>
      </c>
      <c r="D91" s="2" t="s">
        <v>30</v>
      </c>
      <c r="E91" s="5">
        <v>45481.692037037043</v>
      </c>
      <c r="F91" s="2" t="s">
        <v>886</v>
      </c>
      <c r="G91" s="2">
        <v>2262733</v>
      </c>
      <c r="H91" s="2">
        <v>1</v>
      </c>
      <c r="I91" s="2">
        <v>16704</v>
      </c>
      <c r="J91" s="2">
        <v>1</v>
      </c>
      <c r="K91" s="2" t="s">
        <v>25</v>
      </c>
      <c r="L91" s="4">
        <v>20930.28</v>
      </c>
      <c r="M91" s="2"/>
      <c r="N91" t="s">
        <v>4457</v>
      </c>
    </row>
    <row r="92" spans="1:14" ht="409.6" x14ac:dyDescent="0.3">
      <c r="A92" s="2" t="s">
        <v>887</v>
      </c>
      <c r="B92" s="2" t="str">
        <f>HYPERLINK("https://www.wishtv.com/lifestylelive/upcoming-events-at-carroll-stadium-margaritaville-night-and-christmas-in-july/")</f>
        <v>https://www.wishtv.com/lifestylelive/upcoming-events-at-carroll-stadium-margaritaville-night-and-christmas-in-july/</v>
      </c>
      <c r="C92" s="2" t="s">
        <v>496</v>
      </c>
      <c r="D92" s="2" t="s">
        <v>135</v>
      </c>
      <c r="E92" s="5">
        <v>45481.684548611112</v>
      </c>
      <c r="F92" s="2" t="s">
        <v>888</v>
      </c>
      <c r="G92" s="2">
        <v>568116</v>
      </c>
      <c r="H92" s="2">
        <v>0</v>
      </c>
      <c r="I92" s="2">
        <v>0</v>
      </c>
      <c r="J92" s="2">
        <v>9</v>
      </c>
      <c r="K92" s="2" t="s">
        <v>25</v>
      </c>
      <c r="L92" s="4">
        <v>5255.07</v>
      </c>
      <c r="M92" s="2"/>
      <c r="N92" t="s">
        <v>4458</v>
      </c>
    </row>
    <row r="93" spans="1:14" ht="382.8" x14ac:dyDescent="0.3">
      <c r="A93" s="2" t="s">
        <v>889</v>
      </c>
      <c r="B93" s="2" t="str">
        <f>HYPERLINK("https://www.sportskeeda.com/football/atlanta-united-vs-indy-eleven-prediction-betting-tips-july-10th-2024")</f>
        <v>https://www.sportskeeda.com/football/atlanta-united-vs-indy-eleven-prediction-betting-tips-july-10th-2024</v>
      </c>
      <c r="C93" s="2" t="s">
        <v>890</v>
      </c>
      <c r="D93" s="2" t="s">
        <v>291</v>
      </c>
      <c r="E93" s="5">
        <v>45481.591261574067</v>
      </c>
      <c r="F93" s="2" t="s">
        <v>891</v>
      </c>
      <c r="G93" s="2">
        <v>15120978</v>
      </c>
      <c r="H93" s="2">
        <v>0</v>
      </c>
      <c r="I93" s="2">
        <v>0</v>
      </c>
      <c r="J93" s="2">
        <v>0</v>
      </c>
      <c r="K93" s="2" t="s">
        <v>25</v>
      </c>
      <c r="L93" s="4">
        <v>139869.04999999999</v>
      </c>
      <c r="M93" s="2"/>
      <c r="N93" t="s">
        <v>4459</v>
      </c>
    </row>
    <row r="94" spans="1:14" ht="356.4" x14ac:dyDescent="0.3">
      <c r="A94" s="2" t="s">
        <v>892</v>
      </c>
      <c r="B94" s="2" t="str">
        <f>HYPERLINK("https://www.indyeleven.com/news/2024/07/08/u-s-open-cup-preview-atlvind/")</f>
        <v>https://www.indyeleven.com/news/2024/07/08/u-s-open-cup-preview-atlvind/</v>
      </c>
      <c r="C94" s="2"/>
      <c r="D94" s="2" t="s">
        <v>893</v>
      </c>
      <c r="E94" s="5">
        <v>45481.579247685193</v>
      </c>
      <c r="F94" s="2" t="s">
        <v>894</v>
      </c>
      <c r="G94" s="2">
        <v>6018</v>
      </c>
      <c r="H94" s="2">
        <v>0</v>
      </c>
      <c r="I94" s="2">
        <v>0</v>
      </c>
      <c r="J94" s="2">
        <v>0</v>
      </c>
      <c r="K94" s="2" t="s">
        <v>25</v>
      </c>
      <c r="L94" s="4">
        <v>55.67</v>
      </c>
      <c r="M94" s="2"/>
      <c r="N94" t="s">
        <v>4458</v>
      </c>
    </row>
    <row r="95" spans="1:14" ht="409.6" x14ac:dyDescent="0.3">
      <c r="A95" s="2" t="s">
        <v>895</v>
      </c>
      <c r="B95" s="2" t="str">
        <f>HYPERLINK("https://www.oursportscentral.com/services/releases/match-preview-atlanta-united-vs-indy-eleven/n-6121126")</f>
        <v>https://www.oursportscentral.com/services/releases/match-preview-atlanta-united-vs-indy-eleven/n-6121126</v>
      </c>
      <c r="C95" s="2"/>
      <c r="D95" s="2" t="s">
        <v>24</v>
      </c>
      <c r="E95" s="5">
        <v>45481.567361111112</v>
      </c>
      <c r="F95" s="2" t="s">
        <v>896</v>
      </c>
      <c r="G95" s="2">
        <v>40402</v>
      </c>
      <c r="H95" s="2">
        <v>0</v>
      </c>
      <c r="I95" s="2">
        <v>0</v>
      </c>
      <c r="J95" s="2">
        <v>0</v>
      </c>
      <c r="K95" s="2" t="s">
        <v>25</v>
      </c>
      <c r="L95" s="4">
        <v>373.72</v>
      </c>
      <c r="M95" s="2"/>
      <c r="N95" t="s">
        <v>4457</v>
      </c>
    </row>
    <row r="96" spans="1:14" ht="409.6" x14ac:dyDescent="0.3">
      <c r="A96" s="2" t="s">
        <v>897</v>
      </c>
      <c r="B96" s="2" t="str">
        <f>HYPERLINK("https://www.atlutd.com/news/atlanta-united-injury-availability-report-indy-eleven-quarterfinals-lamar-hunt-u-s-open-cup-tuesday-july-9-2024")</f>
        <v>https://www.atlutd.com/news/atlanta-united-injury-availability-report-indy-eleven-quarterfinals-lamar-hunt-u-s-open-cup-tuesday-july-9-2024</v>
      </c>
      <c r="C96" s="2"/>
      <c r="D96" s="2" t="s">
        <v>800</v>
      </c>
      <c r="E96" s="5">
        <v>45481.5471875</v>
      </c>
      <c r="F96" s="2" t="s">
        <v>898</v>
      </c>
      <c r="G96" s="2">
        <v>125156</v>
      </c>
      <c r="H96" s="2">
        <v>0</v>
      </c>
      <c r="I96" s="2">
        <v>0</v>
      </c>
      <c r="J96" s="2">
        <v>51</v>
      </c>
      <c r="K96" s="2" t="s">
        <v>25</v>
      </c>
      <c r="L96" s="4">
        <v>1157.69</v>
      </c>
      <c r="M96" s="2"/>
      <c r="N96" t="s">
        <v>4457</v>
      </c>
    </row>
    <row r="97" spans="1:14" ht="290.39999999999998" x14ac:dyDescent="0.3">
      <c r="A97" s="2" t="s">
        <v>899</v>
      </c>
      <c r="B97" s="2" t="str">
        <f>HYPERLINK("https://www.atlutd.com/news/how-to-watch-atlanta-united-indy-eleven-quarterfinals-lamar-hunt-u-s-open-cup-tuesday-july-9-kennesaw")</f>
        <v>https://www.atlutd.com/news/how-to-watch-atlanta-united-indy-eleven-quarterfinals-lamar-hunt-u-s-open-cup-tuesday-july-9-kennesaw</v>
      </c>
      <c r="C97" s="2"/>
      <c r="D97" s="2" t="s">
        <v>800</v>
      </c>
      <c r="E97" s="5">
        <v>45481.512789351851</v>
      </c>
      <c r="F97" s="2" t="s">
        <v>900</v>
      </c>
      <c r="G97" s="2">
        <v>125156</v>
      </c>
      <c r="H97" s="2">
        <v>0</v>
      </c>
      <c r="I97" s="2">
        <v>0</v>
      </c>
      <c r="J97" s="2">
        <v>99</v>
      </c>
      <c r="K97" s="2" t="s">
        <v>25</v>
      </c>
      <c r="L97" s="4">
        <v>1157.69</v>
      </c>
      <c r="M97" s="2"/>
      <c r="N97" t="s">
        <v>4457</v>
      </c>
    </row>
    <row r="98" spans="1:14" ht="409.6" x14ac:dyDescent="0.3">
      <c r="A98" s="2" t="s">
        <v>901</v>
      </c>
      <c r="B98" s="2" t="str">
        <f>HYPERLINK("https://www.uslchampionship.com/news_article/show/1313775")</f>
        <v>https://www.uslchampionship.com/news_article/show/1313775</v>
      </c>
      <c r="C98" s="2" t="s">
        <v>45</v>
      </c>
      <c r="D98" s="2" t="s">
        <v>28</v>
      </c>
      <c r="E98" s="5">
        <v>45481.487500000003</v>
      </c>
      <c r="F98" s="2" t="s">
        <v>902</v>
      </c>
      <c r="G98" s="2">
        <v>44392</v>
      </c>
      <c r="H98" s="2">
        <v>0</v>
      </c>
      <c r="I98" s="2">
        <v>0</v>
      </c>
      <c r="J98" s="2">
        <v>43</v>
      </c>
      <c r="K98" s="2" t="s">
        <v>25</v>
      </c>
      <c r="L98" s="4">
        <v>410.63</v>
      </c>
      <c r="M98" s="2"/>
      <c r="N98" t="s">
        <v>4457</v>
      </c>
    </row>
    <row r="99" spans="1:14" ht="198" x14ac:dyDescent="0.3">
      <c r="A99" s="2" t="s">
        <v>903</v>
      </c>
      <c r="B99" s="2" t="str">
        <f>HYPERLINK("https://www.telecomasia.net/sports-betting/tips/football/atlanta-united-vs-indy-eleven-prediction-betting-tips-and-odds-10-july-2024/")</f>
        <v>https://www.telecomasia.net/sports-betting/tips/football/atlanta-united-vs-indy-eleven-prediction-betting-tips-and-odds-10-july-2024/</v>
      </c>
      <c r="C99" s="2" t="s">
        <v>298</v>
      </c>
      <c r="D99" s="2" t="s">
        <v>299</v>
      </c>
      <c r="E99" s="5">
        <v>45481.232824074083</v>
      </c>
      <c r="F99" s="2" t="s">
        <v>904</v>
      </c>
      <c r="G99" s="2">
        <v>92416</v>
      </c>
      <c r="H99" s="2">
        <v>0</v>
      </c>
      <c r="I99" s="2">
        <v>0</v>
      </c>
      <c r="J99" s="2">
        <v>0</v>
      </c>
      <c r="K99" s="2" t="s">
        <v>25</v>
      </c>
      <c r="L99" s="4">
        <v>854.85</v>
      </c>
      <c r="M99" s="2"/>
      <c r="N99" t="s">
        <v>4459</v>
      </c>
    </row>
    <row r="100" spans="1:14" ht="330" x14ac:dyDescent="0.3">
      <c r="A100" s="2" t="s">
        <v>905</v>
      </c>
      <c r="B100" s="2" t="str">
        <f>HYPERLINK("https://detroitcitywire.com/stories/661598622-detroit-city-fc-and-indy-eleven-set-for-w-league-conference-final")</f>
        <v>https://detroitcitywire.com/stories/661598622-detroit-city-fc-and-indy-eleven-set-for-w-league-conference-final</v>
      </c>
      <c r="C100" s="2"/>
      <c r="D100" s="2" t="s">
        <v>85</v>
      </c>
      <c r="E100" s="5">
        <v>45480.856620370367</v>
      </c>
      <c r="F100" s="2" t="s">
        <v>906</v>
      </c>
      <c r="G100" s="2">
        <v>1913</v>
      </c>
      <c r="H100" s="2">
        <v>0</v>
      </c>
      <c r="I100" s="2">
        <v>0</v>
      </c>
      <c r="J100" s="2">
        <v>0</v>
      </c>
      <c r="K100" s="2" t="s">
        <v>25</v>
      </c>
      <c r="L100" s="4">
        <v>17.7</v>
      </c>
      <c r="M100" s="2"/>
      <c r="N100" t="s">
        <v>4457</v>
      </c>
    </row>
    <row r="101" spans="1:14" ht="409.6" x14ac:dyDescent="0.3">
      <c r="A101" s="2" t="s">
        <v>907</v>
      </c>
      <c r="B101" s="2" t="str">
        <f>HYPERLINK("https://dailysports.net/predictions/atlanta-united-vs-indy-eleven-prediction-and-betting-tips-july-10-2024/")</f>
        <v>https://dailysports.net/predictions/atlanta-united-vs-indy-eleven-prediction-and-betting-tips-july-10-2024/</v>
      </c>
      <c r="C101" s="2" t="s">
        <v>652</v>
      </c>
      <c r="D101" s="2" t="s">
        <v>285</v>
      </c>
      <c r="E101" s="5">
        <v>45480.699363425927</v>
      </c>
      <c r="F101" s="2" t="s">
        <v>908</v>
      </c>
      <c r="G101" s="2"/>
      <c r="H101" s="2">
        <v>0</v>
      </c>
      <c r="I101" s="2">
        <v>0</v>
      </c>
      <c r="J101" s="2">
        <v>0</v>
      </c>
      <c r="K101" s="2" t="s">
        <v>25</v>
      </c>
      <c r="L101" s="2"/>
      <c r="M101" s="2"/>
      <c r="N101" t="s">
        <v>4459</v>
      </c>
    </row>
    <row r="102" spans="1:14" ht="409.6" x14ac:dyDescent="0.3">
      <c r="A102" s="2" t="s">
        <v>909</v>
      </c>
      <c r="B102" s="2" t="str">
        <f>HYPERLINK("https://www.newsbreak.com/indianapolis-in/3519087247471-watch-live-detroit-city-fc-vs-indy-eleven-in-central-conference-finals")</f>
        <v>https://www.newsbreak.com/indianapolis-in/3519087247471-watch-live-detroit-city-fc-vs-indy-eleven-in-central-conference-finals</v>
      </c>
      <c r="C102" s="2"/>
      <c r="D102" s="2" t="s">
        <v>360</v>
      </c>
      <c r="E102" s="5">
        <v>45480.56622685185</v>
      </c>
      <c r="F102" s="2" t="s">
        <v>910</v>
      </c>
      <c r="G102" s="2">
        <v>18777858</v>
      </c>
      <c r="H102" s="2">
        <v>0</v>
      </c>
      <c r="I102" s="2">
        <v>0</v>
      </c>
      <c r="J102" s="2">
        <v>0</v>
      </c>
      <c r="K102" s="2" t="s">
        <v>25</v>
      </c>
      <c r="L102" s="4">
        <v>173695.19</v>
      </c>
      <c r="M102" s="2"/>
      <c r="N102" t="s">
        <v>4457</v>
      </c>
    </row>
    <row r="103" spans="1:14" ht="409.6" x14ac:dyDescent="0.3">
      <c r="A103" s="2" t="s">
        <v>909</v>
      </c>
      <c r="B103" s="2" t="str">
        <f>HYPERLINK("https://www.cbsnews.com/detroit/news/watch-live-detroit-city-fc-vs-indy-eleven-in-central-conference-finals/")</f>
        <v>https://www.cbsnews.com/detroit/news/watch-live-detroit-city-fc-vs-indy-eleven-in-central-conference-finals/</v>
      </c>
      <c r="C103" s="2"/>
      <c r="D103" s="2" t="s">
        <v>77</v>
      </c>
      <c r="E103" s="5">
        <v>45480.426759259259</v>
      </c>
      <c r="F103" s="2" t="s">
        <v>911</v>
      </c>
      <c r="G103" s="2">
        <v>43927397</v>
      </c>
      <c r="H103" s="2">
        <v>0</v>
      </c>
      <c r="I103" s="2">
        <v>0</v>
      </c>
      <c r="J103" s="2">
        <v>28</v>
      </c>
      <c r="K103" s="2" t="s">
        <v>25</v>
      </c>
      <c r="L103" s="4">
        <v>406328.42</v>
      </c>
      <c r="M103" s="2"/>
      <c r="N103" t="s">
        <v>4457</v>
      </c>
    </row>
    <row r="104" spans="1:14" ht="409.6" x14ac:dyDescent="0.3">
      <c r="A104" s="2" t="s">
        <v>34</v>
      </c>
      <c r="B104" s="2" t="str">
        <f>HYPERLINK("https://www.heraldbulletin.com/sports/coming-up/article_73dbdfc6-3c2d-11ef-9edd-5b2c370d5997.html")</f>
        <v>https://www.heraldbulletin.com/sports/coming-up/article_73dbdfc6-3c2d-11ef-9edd-5b2c370d5997.html</v>
      </c>
      <c r="C104" s="2"/>
      <c r="D104" s="2" t="s">
        <v>35</v>
      </c>
      <c r="E104" s="5">
        <v>45480.292627314811</v>
      </c>
      <c r="F104" s="2" t="s">
        <v>912</v>
      </c>
      <c r="G104" s="2">
        <v>50260</v>
      </c>
      <c r="H104" s="2">
        <v>0</v>
      </c>
      <c r="I104" s="2">
        <v>0</v>
      </c>
      <c r="J104" s="2">
        <v>1</v>
      </c>
      <c r="K104" s="2" t="s">
        <v>25</v>
      </c>
      <c r="L104" s="4">
        <v>464.9</v>
      </c>
      <c r="M104" s="2"/>
      <c r="N104" t="s">
        <v>4458</v>
      </c>
    </row>
    <row r="105" spans="1:14" ht="184.8" x14ac:dyDescent="0.3">
      <c r="A105" s="2" t="s">
        <v>913</v>
      </c>
      <c r="B105" s="2" t="str">
        <f>HYPERLINK("https://ourcommunitynow.com/P/rhode-island-fc-stoppage-time-equalizer-secures-3-3-draw-against-indy-eleven")</f>
        <v>https://ourcommunitynow.com/P/rhode-island-fc-stoppage-time-equalizer-secures-3-3-draw-against-indy-eleven</v>
      </c>
      <c r="C105" s="2"/>
      <c r="D105" s="2" t="s">
        <v>59</v>
      </c>
      <c r="E105" s="5">
        <v>45479.334409722222</v>
      </c>
      <c r="F105" s="2" t="s">
        <v>914</v>
      </c>
      <c r="G105" s="2">
        <v>8184</v>
      </c>
      <c r="H105" s="2">
        <v>0</v>
      </c>
      <c r="I105" s="2">
        <v>0</v>
      </c>
      <c r="J105" s="2">
        <v>0</v>
      </c>
      <c r="K105" s="2" t="s">
        <v>25</v>
      </c>
      <c r="L105" s="4">
        <v>75.7</v>
      </c>
      <c r="M105" s="2"/>
      <c r="N105" t="s">
        <v>4457</v>
      </c>
    </row>
    <row r="106" spans="1:14" ht="171.6" x14ac:dyDescent="0.3">
      <c r="A106" s="2" t="s">
        <v>913</v>
      </c>
      <c r="B106" s="2" t="str">
        <f>HYPERLINK("https://whatsupnewp.com/2024/07/rhode-island-fc-stoppage-time-equalizer-secures-3-3-draw-against-indy-eleven/")</f>
        <v>https://whatsupnewp.com/2024/07/rhode-island-fc-stoppage-time-equalizer-secures-3-3-draw-against-indy-eleven/</v>
      </c>
      <c r="C106" s="2" t="s">
        <v>915</v>
      </c>
      <c r="D106" s="2" t="s">
        <v>57</v>
      </c>
      <c r="E106" s="5">
        <v>45479.281608796293</v>
      </c>
      <c r="F106" s="2" t="s">
        <v>916</v>
      </c>
      <c r="G106" s="2">
        <v>60685</v>
      </c>
      <c r="H106" s="2">
        <v>0</v>
      </c>
      <c r="I106" s="2">
        <v>0</v>
      </c>
      <c r="J106" s="2">
        <v>4</v>
      </c>
      <c r="K106" s="2" t="s">
        <v>25</v>
      </c>
      <c r="L106" s="4">
        <v>561.34</v>
      </c>
      <c r="M106" s="2"/>
      <c r="N106" t="s">
        <v>4457</v>
      </c>
    </row>
    <row r="107" spans="1:14" ht="79.2" x14ac:dyDescent="0.3">
      <c r="A107" s="2" t="s">
        <v>917</v>
      </c>
      <c r="B107" s="2" t="str">
        <f>HYPERLINK("https://article.wn.com/view/2024/07/06/Rhode_Island_FC_s_comeback_brings_Indy_Eleven_to_33_draw/")</f>
        <v>https://article.wn.com/view/2024/07/06/Rhode_Island_FC_s_comeback_brings_Indy_Eleven_to_33_draw/</v>
      </c>
      <c r="C107" s="2"/>
      <c r="D107" s="2" t="s">
        <v>632</v>
      </c>
      <c r="E107" s="5">
        <v>45479</v>
      </c>
      <c r="F107" s="2"/>
      <c r="G107" s="2">
        <v>185918</v>
      </c>
      <c r="H107" s="2">
        <v>0</v>
      </c>
      <c r="I107" s="2">
        <v>0</v>
      </c>
      <c r="J107" s="2">
        <v>0</v>
      </c>
      <c r="K107" s="2"/>
      <c r="L107" s="4">
        <v>1719.74</v>
      </c>
      <c r="M107" s="2"/>
      <c r="N107" t="s">
        <v>4459</v>
      </c>
    </row>
    <row r="108" spans="1:14" ht="369.6" x14ac:dyDescent="0.3">
      <c r="A108" s="2" t="s">
        <v>918</v>
      </c>
      <c r="B108" s="2" t="str">
        <f>HYPERLINK("https://wishtv.com/sports/indy-eleven/indy-eleven-match-finishes-with-late-goal-in-stoppage-time/")</f>
        <v>https://wishtv.com/sports/indy-eleven/indy-eleven-match-finishes-with-late-goal-in-stoppage-time/</v>
      </c>
      <c r="C108" s="2" t="s">
        <v>919</v>
      </c>
      <c r="D108" s="2" t="s">
        <v>38</v>
      </c>
      <c r="E108" s="5">
        <v>45478.911122685182</v>
      </c>
      <c r="F108" s="2" t="s">
        <v>920</v>
      </c>
      <c r="G108" s="2">
        <v>568116</v>
      </c>
      <c r="H108" s="2">
        <v>1</v>
      </c>
      <c r="I108" s="2">
        <v>7751</v>
      </c>
      <c r="J108" s="2">
        <v>13</v>
      </c>
      <c r="K108" s="2" t="s">
        <v>31</v>
      </c>
      <c r="L108" s="4">
        <v>5255.07</v>
      </c>
      <c r="M108" s="2"/>
      <c r="N108" t="s">
        <v>4458</v>
      </c>
    </row>
    <row r="109" spans="1:14" ht="184.8" x14ac:dyDescent="0.3">
      <c r="A109" s="2" t="s">
        <v>921</v>
      </c>
      <c r="B109" s="2" t="str">
        <f>HYPERLINK("https://www.oursportscentral.com/services/releases/rhode-island-fc-stoppage-time-equalizer-secures-3-3-draw-against-indy-eleven/n-6120016")</f>
        <v>https://www.oursportscentral.com/services/releases/rhode-island-fc-stoppage-time-equalizer-secures-3-3-draw-against-indy-eleven/n-6120016</v>
      </c>
      <c r="C109" s="2"/>
      <c r="D109" s="2" t="s">
        <v>24</v>
      </c>
      <c r="E109" s="5">
        <v>45478.875694444447</v>
      </c>
      <c r="F109" s="2" t="s">
        <v>914</v>
      </c>
      <c r="G109" s="2">
        <v>40402</v>
      </c>
      <c r="H109" s="2">
        <v>0</v>
      </c>
      <c r="I109" s="2">
        <v>0</v>
      </c>
      <c r="J109" s="2">
        <v>0</v>
      </c>
      <c r="K109" s="2" t="s">
        <v>25</v>
      </c>
      <c r="L109" s="4">
        <v>373.72</v>
      </c>
      <c r="M109" s="2"/>
      <c r="N109" t="s">
        <v>4457</v>
      </c>
    </row>
    <row r="110" spans="1:14" ht="409.6" x14ac:dyDescent="0.3">
      <c r="A110" s="2" t="s">
        <v>923</v>
      </c>
      <c r="B110" s="2" t="str">
        <f>HYPERLINK("https://www.oursportscentral.com/services/releases/7-5-2024-rhode-island-fc-vs-indy-eleven--game-highlights/n-6119857")</f>
        <v>https://www.oursportscentral.com/services/releases/7-5-2024-rhode-island-fc-vs-indy-eleven--game-highlights/n-6119857</v>
      </c>
      <c r="C110" s="2"/>
      <c r="D110" s="2" t="s">
        <v>24</v>
      </c>
      <c r="E110" s="5">
        <v>45478.794444444437</v>
      </c>
      <c r="F110" s="2" t="s">
        <v>924</v>
      </c>
      <c r="G110" s="2">
        <v>40402</v>
      </c>
      <c r="H110" s="2">
        <v>0</v>
      </c>
      <c r="I110" s="2">
        <v>0</v>
      </c>
      <c r="J110" s="2">
        <v>0</v>
      </c>
      <c r="K110" s="2" t="s">
        <v>25</v>
      </c>
      <c r="L110" s="4">
        <v>373.72</v>
      </c>
      <c r="M110" s="2"/>
      <c r="N110" t="s">
        <v>4457</v>
      </c>
    </row>
    <row r="111" spans="1:14" ht="409.6" x14ac:dyDescent="0.3">
      <c r="A111" s="2" t="s">
        <v>925</v>
      </c>
      <c r="B111" s="2" t="str">
        <f>HYPERLINK("https://www.oursportscentral.com/services/releases/indy-and-rhode-island-end-in-a-draw-3-3/n-6119855")</f>
        <v>https://www.oursportscentral.com/services/releases/indy-and-rhode-island-end-in-a-draw-3-3/n-6119855</v>
      </c>
      <c r="C111" s="2"/>
      <c r="D111" s="2" t="s">
        <v>24</v>
      </c>
      <c r="E111" s="5">
        <v>45478.792361111111</v>
      </c>
      <c r="F111" s="2" t="s">
        <v>926</v>
      </c>
      <c r="G111" s="2">
        <v>40402</v>
      </c>
      <c r="H111" s="2">
        <v>0</v>
      </c>
      <c r="I111" s="2">
        <v>0</v>
      </c>
      <c r="J111" s="2">
        <v>0</v>
      </c>
      <c r="K111" s="2" t="s">
        <v>31</v>
      </c>
      <c r="L111" s="4">
        <v>373.72</v>
      </c>
      <c r="M111" s="2"/>
      <c r="N111" t="s">
        <v>4457</v>
      </c>
    </row>
    <row r="112" spans="1:14" ht="409.6" x14ac:dyDescent="0.3">
      <c r="A112" s="2" t="s">
        <v>927</v>
      </c>
      <c r="B112" s="2" t="str">
        <f>HYPERLINK("https://www.ussoccer.com/stories/2024/07/all-in-for-eleven-indy-ask-why-not-us-in-landmark-open-cup-run")</f>
        <v>https://www.ussoccer.com/stories/2024/07/all-in-for-eleven-indy-ask-why-not-us-in-landmark-open-cup-run</v>
      </c>
      <c r="C112" s="2" t="s">
        <v>928</v>
      </c>
      <c r="D112" s="2" t="s">
        <v>250</v>
      </c>
      <c r="E112" s="5">
        <v>45478.783333333333</v>
      </c>
      <c r="F112" s="2" t="s">
        <v>929</v>
      </c>
      <c r="G112" s="2">
        <v>543569</v>
      </c>
      <c r="H112" s="2">
        <v>0</v>
      </c>
      <c r="I112" s="2">
        <v>0</v>
      </c>
      <c r="J112" s="2">
        <v>31</v>
      </c>
      <c r="K112" s="2" t="s">
        <v>25</v>
      </c>
      <c r="L112" s="4">
        <v>5028.01</v>
      </c>
      <c r="M112" s="2"/>
      <c r="N112" t="s">
        <v>4457</v>
      </c>
    </row>
    <row r="113" spans="1:14" ht="409.6" x14ac:dyDescent="0.3">
      <c r="A113" s="2" t="s">
        <v>34</v>
      </c>
      <c r="B113" s="2" t="str">
        <f>HYPERLINK("https://www.heraldbulletin.com/sports/coming-up/article_b09ce47c-3b02-11ef-bfbb-1fa43f7860bb.html")</f>
        <v>https://www.heraldbulletin.com/sports/coming-up/article_b09ce47c-3b02-11ef-bfbb-1fa43f7860bb.html</v>
      </c>
      <c r="C113" s="2"/>
      <c r="D113" s="2" t="s">
        <v>35</v>
      </c>
      <c r="E113" s="5">
        <v>45478.656226851846</v>
      </c>
      <c r="F113" s="2" t="s">
        <v>933</v>
      </c>
      <c r="G113" s="2">
        <v>50260</v>
      </c>
      <c r="H113" s="2">
        <v>0</v>
      </c>
      <c r="I113" s="2">
        <v>0</v>
      </c>
      <c r="J113" s="2">
        <v>0</v>
      </c>
      <c r="K113" s="2" t="s">
        <v>25</v>
      </c>
      <c r="L113" s="4">
        <v>464.9</v>
      </c>
      <c r="M113" s="2"/>
      <c r="N113" t="s">
        <v>4458</v>
      </c>
    </row>
    <row r="114" spans="1:14" ht="409.6" x14ac:dyDescent="0.3">
      <c r="A114" s="2" t="s">
        <v>936</v>
      </c>
      <c r="B114" s="2" t="str">
        <f>HYPERLINK("https://www.wishtv.com/podcast-episode/indy-eleven-coaches-show-episode-5/")</f>
        <v>https://www.wishtv.com/podcast-episode/indy-eleven-coaches-show-episode-5/</v>
      </c>
      <c r="C114" s="2"/>
      <c r="D114" s="2" t="s">
        <v>38</v>
      </c>
      <c r="E114" s="5">
        <v>45477.708495370367</v>
      </c>
      <c r="F114" s="2" t="s">
        <v>937</v>
      </c>
      <c r="G114" s="2">
        <v>568116</v>
      </c>
      <c r="H114" s="2">
        <v>0</v>
      </c>
      <c r="I114" s="2">
        <v>0</v>
      </c>
      <c r="J114" s="2">
        <v>0</v>
      </c>
      <c r="K114" s="2" t="s">
        <v>25</v>
      </c>
      <c r="L114" s="4">
        <v>5255.07</v>
      </c>
      <c r="M114" s="2"/>
      <c r="N114" t="s">
        <v>4458</v>
      </c>
    </row>
    <row r="115" spans="1:14" ht="409.6" x14ac:dyDescent="0.3">
      <c r="A115" s="2" t="s">
        <v>34</v>
      </c>
      <c r="B115" s="2" t="str">
        <f>HYPERLINK("https://www.heraldbulletin.com/sports/coming-up/article_bf0fd30e-3a29-11ef-b5e9-2fd87e549db5.html")</f>
        <v>https://www.heraldbulletin.com/sports/coming-up/article_bf0fd30e-3a29-11ef-b5e9-2fd87e549db5.html</v>
      </c>
      <c r="C115" s="2"/>
      <c r="D115" s="2" t="s">
        <v>35</v>
      </c>
      <c r="E115" s="5">
        <v>45477.605497685188</v>
      </c>
      <c r="F115" s="2" t="s">
        <v>938</v>
      </c>
      <c r="G115" s="2">
        <v>50260</v>
      </c>
      <c r="H115" s="2">
        <v>0</v>
      </c>
      <c r="I115" s="2">
        <v>0</v>
      </c>
      <c r="J115" s="2">
        <v>0</v>
      </c>
      <c r="K115" s="2" t="s">
        <v>25</v>
      </c>
      <c r="L115" s="4">
        <v>464.9</v>
      </c>
      <c r="M115" s="2"/>
      <c r="N115" t="s">
        <v>4458</v>
      </c>
    </row>
    <row r="116" spans="1:14" ht="316.8" x14ac:dyDescent="0.3">
      <c r="A116" s="2" t="s">
        <v>939</v>
      </c>
      <c r="B116" s="2" t="str">
        <f>HYPERLINK("https://www.oursportscentral.com/services/releases/match-preview-rhode-island-fc-vs-indy-eleven-july-5-2024/n-6119192")</f>
        <v>https://www.oursportscentral.com/services/releases/match-preview-rhode-island-fc-vs-indy-eleven-july-5-2024/n-6119192</v>
      </c>
      <c r="C116" s="2"/>
      <c r="D116" s="2" t="s">
        <v>24</v>
      </c>
      <c r="E116" s="5">
        <v>45477.315972222219</v>
      </c>
      <c r="F116" s="2" t="s">
        <v>940</v>
      </c>
      <c r="G116" s="2">
        <v>40402</v>
      </c>
      <c r="H116" s="2">
        <v>0</v>
      </c>
      <c r="I116" s="2">
        <v>0</v>
      </c>
      <c r="J116" s="2">
        <v>0</v>
      </c>
      <c r="K116" s="2" t="s">
        <v>25</v>
      </c>
      <c r="L116" s="4">
        <v>373.72</v>
      </c>
      <c r="M116" s="2"/>
      <c r="N116" t="s">
        <v>4457</v>
      </c>
    </row>
    <row r="117" spans="1:14" ht="409.6" x14ac:dyDescent="0.3">
      <c r="A117" s="2" t="s">
        <v>941</v>
      </c>
      <c r="B117" s="2" t="str">
        <f>HYPERLINK("https://dailysports.net/predictions/rhode-island-vs-indy-eleven-prediction-and-betting-tips-july-5-2024/")</f>
        <v>https://dailysports.net/predictions/rhode-island-vs-indy-eleven-prediction-and-betting-tips-july-5-2024/</v>
      </c>
      <c r="C117" s="2" t="s">
        <v>652</v>
      </c>
      <c r="D117" s="2" t="s">
        <v>285</v>
      </c>
      <c r="E117" s="5">
        <v>45477.261238425926</v>
      </c>
      <c r="F117" s="2" t="s">
        <v>942</v>
      </c>
      <c r="G117" s="2"/>
      <c r="H117" s="2">
        <v>0</v>
      </c>
      <c r="I117" s="2">
        <v>0</v>
      </c>
      <c r="J117" s="2">
        <v>0</v>
      </c>
      <c r="K117" s="2" t="s">
        <v>25</v>
      </c>
      <c r="L117" s="2"/>
      <c r="M117" s="2"/>
      <c r="N117" t="s">
        <v>4459</v>
      </c>
    </row>
    <row r="118" spans="1:14" ht="409.6" x14ac:dyDescent="0.3">
      <c r="A118" s="2" t="s">
        <v>34</v>
      </c>
      <c r="B118" s="2" t="str">
        <f>HYPERLINK("https://www.heraldbulletin.com/sports/coming-up/article_16c6b2e0-3960-11ef-9494-7f61abc948c7.html")</f>
        <v>https://www.heraldbulletin.com/sports/coming-up/article_16c6b2e0-3960-11ef-9494-7f61abc948c7.html</v>
      </c>
      <c r="C118" s="2"/>
      <c r="D118" s="2" t="s">
        <v>35</v>
      </c>
      <c r="E118" s="5">
        <v>45476.561597222222</v>
      </c>
      <c r="F118" s="2" t="s">
        <v>944</v>
      </c>
      <c r="G118" s="2">
        <v>50260</v>
      </c>
      <c r="H118" s="2">
        <v>0</v>
      </c>
      <c r="I118" s="2">
        <v>0</v>
      </c>
      <c r="J118" s="2">
        <v>0</v>
      </c>
      <c r="K118" s="2" t="s">
        <v>25</v>
      </c>
      <c r="L118" s="4">
        <v>464.9</v>
      </c>
      <c r="M118" s="2"/>
      <c r="N118" t="s">
        <v>4458</v>
      </c>
    </row>
    <row r="119" spans="1:14" ht="409.6" x14ac:dyDescent="0.3">
      <c r="A119" s="2" t="s">
        <v>945</v>
      </c>
      <c r="B119" s="2" t="str">
        <f>HYPERLINK("https://www.timbers.com/news/timbers-recall-forward-tega-ikoba-from-loan-with-indy-eleven")</f>
        <v>https://www.timbers.com/news/timbers-recall-forward-tega-ikoba-from-loan-with-indy-eleven</v>
      </c>
      <c r="C119" s="2"/>
      <c r="D119" s="2" t="s">
        <v>49</v>
      </c>
      <c r="E119" s="5">
        <v>45476.520011574074</v>
      </c>
      <c r="F119" s="2" t="s">
        <v>946</v>
      </c>
      <c r="G119" s="2">
        <v>63318</v>
      </c>
      <c r="H119" s="2">
        <v>0</v>
      </c>
      <c r="I119" s="2">
        <v>0</v>
      </c>
      <c r="J119" s="2">
        <v>80</v>
      </c>
      <c r="K119" s="2" t="s">
        <v>31</v>
      </c>
      <c r="L119" s="4">
        <v>585.69000000000005</v>
      </c>
      <c r="M119" s="2"/>
      <c r="N119" t="s">
        <v>4457</v>
      </c>
    </row>
    <row r="120" spans="1:14" ht="409.6" x14ac:dyDescent="0.3">
      <c r="A120" s="2" t="s">
        <v>947</v>
      </c>
      <c r="B120" s="2" t="str">
        <f>HYPERLINK("https://www.oursportscentral.com/services/releases/timbers-recall-forward-tega-ikoba-from-loan-with-indy-eleven/n-6118565")</f>
        <v>https://www.oursportscentral.com/services/releases/timbers-recall-forward-tega-ikoba-from-loan-with-indy-eleven/n-6118565</v>
      </c>
      <c r="C120" s="2"/>
      <c r="D120" s="2" t="s">
        <v>24</v>
      </c>
      <c r="E120" s="5">
        <v>45476.37777777778</v>
      </c>
      <c r="F120" s="2" t="s">
        <v>948</v>
      </c>
      <c r="G120" s="2">
        <v>40402</v>
      </c>
      <c r="H120" s="2">
        <v>0</v>
      </c>
      <c r="I120" s="2">
        <v>0</v>
      </c>
      <c r="J120" s="2">
        <v>0</v>
      </c>
      <c r="K120" s="2" t="s">
        <v>31</v>
      </c>
      <c r="L120" s="4">
        <v>373.72</v>
      </c>
      <c r="M120" s="2"/>
      <c r="N120" t="s">
        <v>4457</v>
      </c>
    </row>
    <row r="121" spans="1:14" ht="396" x14ac:dyDescent="0.3">
      <c r="A121" s="2" t="s">
        <v>949</v>
      </c>
      <c r="B121" s="2" t="str">
        <f>HYPERLINK("https://states.aarp.org/indiana/aarp-indiana-offers-indy-eleven-ticket-discount-sweepstakes")</f>
        <v>https://states.aarp.org/indiana/aarp-indiana-offers-indy-eleven-ticket-discount-sweepstakes</v>
      </c>
      <c r="C121" s="2"/>
      <c r="D121" s="2" t="s">
        <v>950</v>
      </c>
      <c r="E121" s="5">
        <v>45475.713043981479</v>
      </c>
      <c r="F121" s="2" t="s">
        <v>951</v>
      </c>
      <c r="G121" s="2">
        <v>254173</v>
      </c>
      <c r="H121" s="2">
        <v>0</v>
      </c>
      <c r="I121" s="2">
        <v>0</v>
      </c>
      <c r="J121" s="2">
        <v>0</v>
      </c>
      <c r="K121" s="2" t="s">
        <v>25</v>
      </c>
      <c r="L121" s="4">
        <v>2351.1</v>
      </c>
      <c r="M121" s="2"/>
      <c r="N121" t="s">
        <v>4457</v>
      </c>
    </row>
    <row r="122" spans="1:14" ht="105.6" x14ac:dyDescent="0.3">
      <c r="A122" s="2" t="s">
        <v>34</v>
      </c>
      <c r="B122" s="2" t="str">
        <f>HYPERLINK("https://www.heraldbulletin.com/sports/coming-up/article_965444a4-38b2-11ef-afd0-7fd505c16280.html")</f>
        <v>https://www.heraldbulletin.com/sports/coming-up/article_965444a4-38b2-11ef-afd0-7fd505c16280.html</v>
      </c>
      <c r="C122" s="2"/>
      <c r="D122" s="2" t="s">
        <v>35</v>
      </c>
      <c r="E122" s="5">
        <v>45475.707326388889</v>
      </c>
      <c r="F122" s="2" t="s">
        <v>952</v>
      </c>
      <c r="G122" s="2">
        <v>50260</v>
      </c>
      <c r="H122" s="2">
        <v>0</v>
      </c>
      <c r="I122" s="2">
        <v>0</v>
      </c>
      <c r="J122" s="2">
        <v>0</v>
      </c>
      <c r="K122" s="2" t="s">
        <v>47</v>
      </c>
      <c r="L122" s="4">
        <v>464.9</v>
      </c>
      <c r="M122" s="2"/>
      <c r="N122" t="s">
        <v>4458</v>
      </c>
    </row>
    <row r="123" spans="1:14" ht="382.8" x14ac:dyDescent="0.3">
      <c r="A123" s="2" t="s">
        <v>954</v>
      </c>
      <c r="B123" s="2" t="str">
        <f>HYPERLINK("https://www.oursportscentral.com/services/releases/indy-eleven-continues-relationship-with-westfield-youth-soccer-association/n-6117507")</f>
        <v>https://www.oursportscentral.com/services/releases/indy-eleven-continues-relationship-with-westfield-youth-soccer-association/n-6117507</v>
      </c>
      <c r="C123" s="2"/>
      <c r="D123" s="2" t="s">
        <v>24</v>
      </c>
      <c r="E123" s="5">
        <v>45474.434027777781</v>
      </c>
      <c r="F123" s="2" t="s">
        <v>955</v>
      </c>
      <c r="G123" s="2">
        <v>40402</v>
      </c>
      <c r="H123" s="2">
        <v>0</v>
      </c>
      <c r="I123" s="2">
        <v>0</v>
      </c>
      <c r="J123" s="2">
        <v>0</v>
      </c>
      <c r="K123" s="2" t="s">
        <v>25</v>
      </c>
      <c r="L123" s="4">
        <v>373.72</v>
      </c>
      <c r="M123" s="2"/>
      <c r="N123" t="s">
        <v>4457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7A76D-7CFF-42FF-B479-3914919B51C7}">
  <dimension ref="A1:N147"/>
  <sheetViews>
    <sheetView topLeftCell="A65" workbookViewId="0">
      <selection activeCell="Q147" sqref="Q147"/>
    </sheetView>
  </sheetViews>
  <sheetFormatPr defaultRowHeight="14.4" x14ac:dyDescent="0.3"/>
  <cols>
    <col min="1" max="1" width="20.44140625" customWidth="1"/>
    <col min="2" max="2" width="16.33203125" customWidth="1"/>
    <col min="4" max="4" width="19.77734375" customWidth="1"/>
    <col min="5" max="5" width="23.6640625" customWidth="1"/>
    <col min="6" max="6" width="20.109375" customWidth="1"/>
    <col min="7" max="7" width="10" bestFit="1" customWidth="1"/>
    <col min="13" max="13" width="15.109375" bestFit="1" customWidth="1"/>
    <col min="14" max="14" width="17.33203125" bestFit="1" customWidth="1"/>
  </cols>
  <sheetData>
    <row r="1" spans="1:14" x14ac:dyDescent="0.3">
      <c r="A1" s="1" t="s">
        <v>13</v>
      </c>
      <c r="B1" s="1" t="s">
        <v>2</v>
      </c>
      <c r="C1" s="1" t="s">
        <v>14</v>
      </c>
      <c r="D1" s="1" t="s">
        <v>15</v>
      </c>
      <c r="E1" s="1" t="s">
        <v>16</v>
      </c>
      <c r="F1" s="1" t="s">
        <v>17</v>
      </c>
      <c r="G1" s="1" t="s">
        <v>18</v>
      </c>
      <c r="H1" s="1" t="s">
        <v>19</v>
      </c>
      <c r="I1" s="1" t="s">
        <v>20</v>
      </c>
      <c r="J1" s="1" t="s">
        <v>7</v>
      </c>
      <c r="K1" s="1" t="s">
        <v>21</v>
      </c>
      <c r="L1" s="1" t="s">
        <v>22</v>
      </c>
      <c r="M1" s="1" t="s">
        <v>23</v>
      </c>
      <c r="N1" s="1" t="s">
        <v>4456</v>
      </c>
    </row>
    <row r="2" spans="1:14" ht="105.6" x14ac:dyDescent="0.3">
      <c r="A2" s="2" t="s">
        <v>397</v>
      </c>
      <c r="B2" s="2" t="str">
        <f>HYPERLINK("https://www.post-gazette.com/sports/riverhounds/2024/08/31/riverhounds-sc-indy-eleven-usl-championship-soccer/stories/202408280086")</f>
        <v>https://www.post-gazette.com/sports/riverhounds/2024/08/31/riverhounds-sc-indy-eleven-usl-championship-soccer/stories/202408280086</v>
      </c>
      <c r="C2" s="2" t="s">
        <v>398</v>
      </c>
      <c r="D2" s="2" t="s">
        <v>398</v>
      </c>
      <c r="E2" s="5">
        <v>45535.948159722233</v>
      </c>
      <c r="F2" s="2" t="s">
        <v>399</v>
      </c>
      <c r="G2" s="2">
        <v>1797196</v>
      </c>
      <c r="H2" s="2">
        <v>0</v>
      </c>
      <c r="I2" s="2">
        <v>0</v>
      </c>
      <c r="J2" s="2">
        <v>22</v>
      </c>
      <c r="K2" s="2" t="s">
        <v>47</v>
      </c>
      <c r="L2" s="4">
        <v>16624.060000000001</v>
      </c>
      <c r="M2" s="2"/>
      <c r="N2" t="s">
        <v>4457</v>
      </c>
    </row>
    <row r="3" spans="1:14" ht="224.4" x14ac:dyDescent="0.3">
      <c r="A3" s="2" t="s">
        <v>400</v>
      </c>
      <c r="B3" s="2" t="str">
        <f>HYPERLINK("https://pittsburghsoccernow.com/2024/08/31/resolute-10-man-riverhounds-burnt-in-stoppage-time-again-settle-for-1-1-draw-at-indy/")</f>
        <v>https://pittsburghsoccernow.com/2024/08/31/resolute-10-man-riverhounds-burnt-in-stoppage-time-again-settle-for-1-1-draw-at-indy/</v>
      </c>
      <c r="C3" s="2" t="s">
        <v>104</v>
      </c>
      <c r="D3" s="2" t="s">
        <v>105</v>
      </c>
      <c r="E3" s="5">
        <v>45535.904664351852</v>
      </c>
      <c r="F3" s="2" t="s">
        <v>401</v>
      </c>
      <c r="G3" s="2">
        <v>3863</v>
      </c>
      <c r="H3" s="2">
        <v>0</v>
      </c>
      <c r="I3" s="2">
        <v>0</v>
      </c>
      <c r="J3" s="2">
        <v>13</v>
      </c>
      <c r="K3" s="2" t="s">
        <v>25</v>
      </c>
      <c r="L3" s="4">
        <v>35.729999999999997</v>
      </c>
      <c r="M3" s="2"/>
      <c r="N3" t="s">
        <v>4457</v>
      </c>
    </row>
    <row r="4" spans="1:14" ht="382.8" x14ac:dyDescent="0.3">
      <c r="A4" s="2" t="s">
        <v>402</v>
      </c>
      <c r="B4" s="2" t="str">
        <f>HYPERLINK("https://www.uslchampionship.com/indyeleven-pittsburghriverhoundssc-2416496")</f>
        <v>https://www.uslchampionship.com/indyeleven-pittsburghriverhoundssc-2416496</v>
      </c>
      <c r="C4" s="2"/>
      <c r="D4" s="2" t="s">
        <v>28</v>
      </c>
      <c r="E4" s="5">
        <v>45535.901226851849</v>
      </c>
      <c r="F4" s="2" t="s">
        <v>403</v>
      </c>
      <c r="G4" s="2">
        <v>44392</v>
      </c>
      <c r="H4" s="2">
        <v>0</v>
      </c>
      <c r="I4" s="2">
        <v>0</v>
      </c>
      <c r="J4" s="2">
        <v>0</v>
      </c>
      <c r="K4" s="2" t="s">
        <v>47</v>
      </c>
      <c r="L4" s="4">
        <v>410.63</v>
      </c>
      <c r="M4" s="2"/>
      <c r="N4" t="s">
        <v>4457</v>
      </c>
    </row>
    <row r="5" spans="1:14" ht="250.8" x14ac:dyDescent="0.3">
      <c r="A5" s="2" t="s">
        <v>405</v>
      </c>
      <c r="B5" s="2" t="str">
        <f>HYPERLINK("https://www.oursportscentral.com/services/releases/late-indy-goal-sends-10-man-hounds-to-dubious-draw/n-6142783")</f>
        <v>https://www.oursportscentral.com/services/releases/late-indy-goal-sends-10-man-hounds-to-dubious-draw/n-6142783</v>
      </c>
      <c r="C5" s="2"/>
      <c r="D5" s="2" t="s">
        <v>24</v>
      </c>
      <c r="E5" s="5">
        <v>45535.856249999997</v>
      </c>
      <c r="F5" s="2" t="s">
        <v>406</v>
      </c>
      <c r="G5" s="2">
        <v>40402</v>
      </c>
      <c r="H5" s="2">
        <v>0</v>
      </c>
      <c r="I5" s="2">
        <v>0</v>
      </c>
      <c r="J5" s="2">
        <v>0</v>
      </c>
      <c r="K5" s="2" t="s">
        <v>47</v>
      </c>
      <c r="L5" s="4">
        <v>373.72</v>
      </c>
      <c r="M5" s="2"/>
      <c r="N5" t="s">
        <v>4457</v>
      </c>
    </row>
    <row r="6" spans="1:14" ht="237.6" x14ac:dyDescent="0.3">
      <c r="A6" s="2" t="s">
        <v>407</v>
      </c>
      <c r="B6" s="2" t="str">
        <f>HYPERLINK("https://www.oursportscentral.com/services/releases/williams-dramatic-free-kick-earns-draw/n-6142693")</f>
        <v>https://www.oursportscentral.com/services/releases/williams-dramatic-free-kick-earns-draw/n-6142693</v>
      </c>
      <c r="C6" s="2"/>
      <c r="D6" s="2" t="s">
        <v>24</v>
      </c>
      <c r="E6" s="5">
        <v>45535.81527777778</v>
      </c>
      <c r="F6" s="2" t="s">
        <v>408</v>
      </c>
      <c r="G6" s="2">
        <v>40402</v>
      </c>
      <c r="H6" s="2">
        <v>0</v>
      </c>
      <c r="I6" s="2">
        <v>0</v>
      </c>
      <c r="J6" s="2">
        <v>0</v>
      </c>
      <c r="K6" s="2" t="s">
        <v>25</v>
      </c>
      <c r="L6" s="4">
        <v>373.72</v>
      </c>
      <c r="M6" s="2"/>
      <c r="N6" t="s">
        <v>4457</v>
      </c>
    </row>
    <row r="7" spans="1:14" ht="250.8" x14ac:dyDescent="0.3">
      <c r="A7" s="2" t="s">
        <v>409</v>
      </c>
      <c r="B7" s="2" t="str">
        <f>HYPERLINK("https://www.oursportscentral.com/services/releases/ten-man-hounds-draw-at-indy-amidst-controversy/n-6142684")</f>
        <v>https://www.oursportscentral.com/services/releases/ten-man-hounds-draw-at-indy-amidst-controversy/n-6142684</v>
      </c>
      <c r="C7" s="2"/>
      <c r="D7" s="2" t="s">
        <v>24</v>
      </c>
      <c r="E7" s="5">
        <v>45535.809027777781</v>
      </c>
      <c r="F7" s="2" t="s">
        <v>406</v>
      </c>
      <c r="G7" s="2">
        <v>40402</v>
      </c>
      <c r="H7" s="2">
        <v>0</v>
      </c>
      <c r="I7" s="2">
        <v>0</v>
      </c>
      <c r="J7" s="2">
        <v>0</v>
      </c>
      <c r="K7" s="2" t="s">
        <v>31</v>
      </c>
      <c r="L7" s="4">
        <v>373.72</v>
      </c>
      <c r="M7" s="2"/>
      <c r="N7" t="s">
        <v>4457</v>
      </c>
    </row>
    <row r="8" spans="1:14" ht="198" x14ac:dyDescent="0.3">
      <c r="A8" s="2" t="s">
        <v>410</v>
      </c>
      <c r="B8" s="2" t="str">
        <f>HYPERLINK("https://triblive.com/sports/riverhounds-settle-for-gut-wrenching-draw-at-indy/")</f>
        <v>https://triblive.com/sports/riverhounds-settle-for-gut-wrenching-draw-at-indy/</v>
      </c>
      <c r="C8" s="2"/>
      <c r="D8" s="2" t="s">
        <v>84</v>
      </c>
      <c r="E8" s="5">
        <v>45535.789976851847</v>
      </c>
      <c r="F8" s="2" t="s">
        <v>411</v>
      </c>
      <c r="G8" s="2">
        <v>1707872</v>
      </c>
      <c r="H8" s="2">
        <v>0</v>
      </c>
      <c r="I8" s="2">
        <v>0</v>
      </c>
      <c r="J8" s="2">
        <v>0</v>
      </c>
      <c r="K8" s="2" t="s">
        <v>25</v>
      </c>
      <c r="L8" s="4">
        <v>15797.82</v>
      </c>
      <c r="M8" s="2"/>
      <c r="N8" t="s">
        <v>4457</v>
      </c>
    </row>
    <row r="9" spans="1:14" ht="211.2" x14ac:dyDescent="0.3">
      <c r="A9" s="2" t="s">
        <v>412</v>
      </c>
      <c r="B9" s="2" t="str">
        <f>HYPERLINK("https://www.oursportscentral.com/services/releases/indy-eleven-vs-pittsburgh-riverhounds-sc--game-highlights/n-6142614")</f>
        <v>https://www.oursportscentral.com/services/releases/indy-eleven-vs-pittsburgh-riverhounds-sc--game-highlights/n-6142614</v>
      </c>
      <c r="C9" s="2"/>
      <c r="D9" s="2" t="s">
        <v>24</v>
      </c>
      <c r="E9" s="5">
        <v>45535.785416666673</v>
      </c>
      <c r="F9" s="2" t="s">
        <v>413</v>
      </c>
      <c r="G9" s="2">
        <v>40402</v>
      </c>
      <c r="H9" s="2">
        <v>0</v>
      </c>
      <c r="I9" s="2">
        <v>0</v>
      </c>
      <c r="J9" s="2">
        <v>0</v>
      </c>
      <c r="K9" s="2" t="s">
        <v>25</v>
      </c>
      <c r="L9" s="4">
        <v>373.72</v>
      </c>
      <c r="M9" s="2"/>
      <c r="N9" t="s">
        <v>4457</v>
      </c>
    </row>
    <row r="10" spans="1:14" ht="198" x14ac:dyDescent="0.3">
      <c r="A10" s="2" t="s">
        <v>414</v>
      </c>
      <c r="B10" s="2" t="str">
        <f>HYPERLINK("https://www.oursportscentral.com/services/releases/all-goals-from-indy-eleven-vs-pittsburgh-riverhounds-sc-in-the-2nd-half/n-6142609")</f>
        <v>https://www.oursportscentral.com/services/releases/all-goals-from-indy-eleven-vs-pittsburgh-riverhounds-sc-in-the-2nd-half/n-6142609</v>
      </c>
      <c r="C10" s="2"/>
      <c r="D10" s="2" t="s">
        <v>24</v>
      </c>
      <c r="E10" s="5">
        <v>45535.78402777778</v>
      </c>
      <c r="F10" s="2" t="s">
        <v>415</v>
      </c>
      <c r="G10" s="2">
        <v>40402</v>
      </c>
      <c r="H10" s="2">
        <v>0</v>
      </c>
      <c r="I10" s="2">
        <v>0</v>
      </c>
      <c r="J10" s="2">
        <v>0</v>
      </c>
      <c r="K10" s="2" t="s">
        <v>25</v>
      </c>
      <c r="L10" s="4">
        <v>373.72</v>
      </c>
      <c r="M10" s="2"/>
      <c r="N10" t="s">
        <v>4457</v>
      </c>
    </row>
    <row r="11" spans="1:14" ht="158.4" x14ac:dyDescent="0.3">
      <c r="A11" s="2" t="s">
        <v>416</v>
      </c>
      <c r="B11" s="2" t="str">
        <f>HYPERLINK("https://www.cbsnews.com/pittsburgh/news/watch-live-pittsburgh-riverhounds-at-indy-eleven-fc-live-stream/")</f>
        <v>https://www.cbsnews.com/pittsburgh/news/watch-live-pittsburgh-riverhounds-at-indy-eleven-fc-live-stream/</v>
      </c>
      <c r="C11" s="2" t="s">
        <v>371</v>
      </c>
      <c r="D11" s="2" t="s">
        <v>300</v>
      </c>
      <c r="E11" s="5">
        <v>45535.673668981479</v>
      </c>
      <c r="F11" s="2" t="s">
        <v>417</v>
      </c>
      <c r="G11" s="2">
        <v>43927397</v>
      </c>
      <c r="H11" s="2">
        <v>0</v>
      </c>
      <c r="I11" s="2">
        <v>0</v>
      </c>
      <c r="J11" s="2">
        <v>0</v>
      </c>
      <c r="K11" s="2" t="s">
        <v>31</v>
      </c>
      <c r="L11" s="4">
        <v>406328.42</v>
      </c>
      <c r="M11" s="2"/>
      <c r="N11" t="s">
        <v>4457</v>
      </c>
    </row>
    <row r="12" spans="1:14" ht="409.6" x14ac:dyDescent="0.3">
      <c r="A12" s="2" t="s">
        <v>418</v>
      </c>
      <c r="B12" s="2" t="str">
        <f>HYPERLINK("https://1075thefan.com/403870/soccer-saturday-8-31-2024/")</f>
        <v>https://1075thefan.com/403870/soccer-saturday-8-31-2024/</v>
      </c>
      <c r="C12" s="2" t="s">
        <v>74</v>
      </c>
      <c r="D12" s="2" t="s">
        <v>75</v>
      </c>
      <c r="E12" s="5">
        <v>45535.421099537038</v>
      </c>
      <c r="F12" s="2" t="s">
        <v>419</v>
      </c>
      <c r="G12" s="2">
        <v>208881</v>
      </c>
      <c r="H12" s="2">
        <v>0</v>
      </c>
      <c r="I12" s="2">
        <v>0</v>
      </c>
      <c r="J12" s="2">
        <v>0</v>
      </c>
      <c r="K12" s="2" t="s">
        <v>31</v>
      </c>
      <c r="L12" s="4">
        <v>1932.15</v>
      </c>
      <c r="M12" s="2"/>
      <c r="N12" t="s">
        <v>4458</v>
      </c>
    </row>
    <row r="13" spans="1:14" ht="184.8" x14ac:dyDescent="0.3">
      <c r="A13" s="2" t="s">
        <v>420</v>
      </c>
      <c r="B13" s="2" t="str">
        <f>HYPERLINK("https://pittsburghsoccernow.com/2024/08/31/preview-in-good-form-riverhounds-face-indy-eleven-side-eager-to-get-back-on-track-in-league-play/")</f>
        <v>https://pittsburghsoccernow.com/2024/08/31/preview-in-good-form-riverhounds-face-indy-eleven-side-eager-to-get-back-on-track-in-league-play/</v>
      </c>
      <c r="C13" s="2" t="s">
        <v>104</v>
      </c>
      <c r="D13" s="2" t="s">
        <v>105</v>
      </c>
      <c r="E13" s="5">
        <v>45535.38622685185</v>
      </c>
      <c r="F13" s="2" t="s">
        <v>421</v>
      </c>
      <c r="G13" s="2">
        <v>3863</v>
      </c>
      <c r="H13" s="2">
        <v>0</v>
      </c>
      <c r="I13" s="2">
        <v>0</v>
      </c>
      <c r="J13" s="2">
        <v>20</v>
      </c>
      <c r="K13" s="2" t="s">
        <v>25</v>
      </c>
      <c r="L13" s="4">
        <v>35.729999999999997</v>
      </c>
      <c r="M13" s="2"/>
      <c r="N13" t="s">
        <v>4457</v>
      </c>
    </row>
    <row r="14" spans="1:14" ht="211.2" x14ac:dyDescent="0.3">
      <c r="A14" s="2" t="s">
        <v>34</v>
      </c>
      <c r="B14" s="2" t="str">
        <f>HYPERLINK("https://www.heraldbulletin.com/sports/coming-up/article_bf9735a4-66fe-11ef-8b2e-b7ff87ad63b3.html")</f>
        <v>https://www.heraldbulletin.com/sports/coming-up/article_bf9735a4-66fe-11ef-8b2e-b7ff87ad63b3.html</v>
      </c>
      <c r="C14" s="2"/>
      <c r="D14" s="2" t="s">
        <v>35</v>
      </c>
      <c r="E14" s="5">
        <v>45535.293043981481</v>
      </c>
      <c r="F14" s="2" t="s">
        <v>422</v>
      </c>
      <c r="G14" s="2">
        <v>50260</v>
      </c>
      <c r="H14" s="2">
        <v>0</v>
      </c>
      <c r="I14" s="2">
        <v>0</v>
      </c>
      <c r="J14" s="2">
        <v>20</v>
      </c>
      <c r="K14" s="2" t="s">
        <v>25</v>
      </c>
      <c r="L14" s="4">
        <v>464.9</v>
      </c>
      <c r="M14" s="2"/>
      <c r="N14" t="s">
        <v>4458</v>
      </c>
    </row>
    <row r="15" spans="1:14" ht="105.6" x14ac:dyDescent="0.3">
      <c r="A15" s="2" t="s">
        <v>423</v>
      </c>
      <c r="B15" s="2" t="str">
        <f>HYPERLINK("https://www.uslchampionship.com/news_article/show/1317022")</f>
        <v>https://www.uslchampionship.com/news_article/show/1317022</v>
      </c>
      <c r="C15" s="2" t="s">
        <v>45</v>
      </c>
      <c r="D15" s="2" t="s">
        <v>28</v>
      </c>
      <c r="E15" s="5">
        <v>45534.3125</v>
      </c>
      <c r="F15" s="2" t="s">
        <v>424</v>
      </c>
      <c r="G15" s="2">
        <v>44392</v>
      </c>
      <c r="H15" s="2">
        <v>0</v>
      </c>
      <c r="I15" s="2">
        <v>0</v>
      </c>
      <c r="J15" s="2">
        <v>55</v>
      </c>
      <c r="K15" s="2" t="s">
        <v>25</v>
      </c>
      <c r="L15" s="4">
        <v>410.63</v>
      </c>
      <c r="M15" s="2"/>
      <c r="N15" t="s">
        <v>4457</v>
      </c>
    </row>
    <row r="16" spans="1:14" ht="211.2" x14ac:dyDescent="0.3">
      <c r="A16" s="2" t="s">
        <v>34</v>
      </c>
      <c r="B16" s="2" t="str">
        <f>HYPERLINK("https://www.heraldbulletin.com/sports/coming-up/article_346da16a-6619-11ef-8420-e36d529af038.html")</f>
        <v>https://www.heraldbulletin.com/sports/coming-up/article_346da16a-6619-11ef-8420-e36d529af038.html</v>
      </c>
      <c r="C16" s="2"/>
      <c r="D16" s="2" t="s">
        <v>35</v>
      </c>
      <c r="E16" s="5">
        <v>45534.297094907408</v>
      </c>
      <c r="F16" s="2" t="s">
        <v>422</v>
      </c>
      <c r="G16" s="2">
        <v>50260</v>
      </c>
      <c r="H16" s="2">
        <v>0</v>
      </c>
      <c r="I16" s="2">
        <v>0</v>
      </c>
      <c r="J16" s="2">
        <v>1</v>
      </c>
      <c r="K16" s="2" t="s">
        <v>25</v>
      </c>
      <c r="L16" s="4">
        <v>464.9</v>
      </c>
      <c r="M16" s="2"/>
      <c r="N16" t="s">
        <v>4458</v>
      </c>
    </row>
    <row r="17" spans="1:14" ht="158.4" x14ac:dyDescent="0.3">
      <c r="A17" s="2" t="s">
        <v>425</v>
      </c>
      <c r="B17" s="2" t="str">
        <f>HYPERLINK("https://www.axios.com/local/indianapolis/2024/08/30/labor-day-weekend-things-to-do-butter-apple-picking-pitbull")</f>
        <v>https://www.axios.com/local/indianapolis/2024/08/30/labor-day-weekend-things-to-do-butter-apple-picking-pitbull</v>
      </c>
      <c r="C17" s="2" t="s">
        <v>356</v>
      </c>
      <c r="D17" s="2" t="s">
        <v>144</v>
      </c>
      <c r="E17" s="5">
        <v>45534.269560185188</v>
      </c>
      <c r="F17" s="2" t="s">
        <v>426</v>
      </c>
      <c r="G17" s="2">
        <v>14450483</v>
      </c>
      <c r="H17" s="2">
        <v>0</v>
      </c>
      <c r="I17" s="2">
        <v>0</v>
      </c>
      <c r="J17" s="2">
        <v>0</v>
      </c>
      <c r="K17" s="2" t="s">
        <v>31</v>
      </c>
      <c r="L17" s="4">
        <v>133666.97</v>
      </c>
      <c r="M17" s="2"/>
      <c r="N17" t="s">
        <v>4458</v>
      </c>
    </row>
    <row r="18" spans="1:14" ht="198" x14ac:dyDescent="0.3">
      <c r="A18" s="2" t="s">
        <v>427</v>
      </c>
      <c r="B18" s="2" t="str">
        <f>HYPERLINK("https://www.newsandstar.co.uk/sport/24551073.former-carlisle-united-defender-joins-usa-club-indy-eleven/")</f>
        <v>https://www.newsandstar.co.uk/sport/24551073.former-carlisle-united-defender-joins-usa-club-indy-eleven/</v>
      </c>
      <c r="C18" s="2" t="s">
        <v>428</v>
      </c>
      <c r="D18" s="2" t="s">
        <v>429</v>
      </c>
      <c r="E18" s="5">
        <v>45534.101527777777</v>
      </c>
      <c r="F18" s="2" t="s">
        <v>430</v>
      </c>
      <c r="G18" s="2">
        <v>805941</v>
      </c>
      <c r="H18" s="2">
        <v>0</v>
      </c>
      <c r="I18" s="2">
        <v>0</v>
      </c>
      <c r="J18" s="2">
        <v>2</v>
      </c>
      <c r="K18" s="2" t="s">
        <v>25</v>
      </c>
      <c r="L18" s="4">
        <v>7454.95</v>
      </c>
      <c r="M18" s="2"/>
      <c r="N18" t="s">
        <v>4459</v>
      </c>
    </row>
    <row r="19" spans="1:14" ht="237.6" x14ac:dyDescent="0.3">
      <c r="A19" s="2" t="s">
        <v>431</v>
      </c>
      <c r="B19" s="2" t="str">
        <f>HYPERLINK("https://uk.sports.yahoo.com/news/former-carlisle-united-defender-joins-062414627.html")</f>
        <v>https://uk.sports.yahoo.com/news/former-carlisle-united-defender-joins-062414627.html</v>
      </c>
      <c r="C19" s="2"/>
      <c r="D19" s="2" t="s">
        <v>40</v>
      </c>
      <c r="E19" s="5">
        <v>45534.100162037037</v>
      </c>
      <c r="F19" s="2" t="s">
        <v>432</v>
      </c>
      <c r="G19" s="2">
        <v>547927</v>
      </c>
      <c r="H19" s="2">
        <v>0</v>
      </c>
      <c r="I19" s="2">
        <v>0</v>
      </c>
      <c r="J19" s="2">
        <v>0</v>
      </c>
      <c r="K19" s="2" t="s">
        <v>25</v>
      </c>
      <c r="L19" s="4">
        <v>5068.32</v>
      </c>
      <c r="M19" s="2"/>
      <c r="N19" t="s">
        <v>4459</v>
      </c>
    </row>
    <row r="20" spans="1:14" ht="198" x14ac:dyDescent="0.3">
      <c r="A20" s="2" t="s">
        <v>439</v>
      </c>
      <c r="B20" s="2" t="str">
        <f>HYPERLINK("https://www.wishtv.com/news/download-wish-tvs-new-all-indiana-sports-app-your-ultimate-sports-hub/")</f>
        <v>https://www.wishtv.com/news/download-wish-tvs-new-all-indiana-sports-app-your-ultimate-sports-hub/</v>
      </c>
      <c r="C20" s="2" t="s">
        <v>440</v>
      </c>
      <c r="D20" s="2" t="s">
        <v>38</v>
      </c>
      <c r="E20" s="5">
        <v>45533.648958333331</v>
      </c>
      <c r="F20" s="2" t="s">
        <v>441</v>
      </c>
      <c r="G20" s="2">
        <v>568116</v>
      </c>
      <c r="H20" s="2">
        <v>1</v>
      </c>
      <c r="I20" s="2">
        <v>7751</v>
      </c>
      <c r="J20" s="2">
        <v>162</v>
      </c>
      <c r="K20" s="2" t="s">
        <v>31</v>
      </c>
      <c r="L20" s="4">
        <v>5255.07</v>
      </c>
      <c r="M20" s="2"/>
      <c r="N20" t="s">
        <v>4458</v>
      </c>
    </row>
    <row r="21" spans="1:14" ht="198" x14ac:dyDescent="0.3">
      <c r="A21" s="2" t="s">
        <v>439</v>
      </c>
      <c r="B21" s="2" t="str">
        <f>HYPERLINK("https://www.wishtv.com/sports/download-wish-tvs-new-all-indiana-sports-app-your-ultimate-sports-hub/")</f>
        <v>https://www.wishtv.com/sports/download-wish-tvs-new-all-indiana-sports-app-your-ultimate-sports-hub/</v>
      </c>
      <c r="C21" s="2" t="s">
        <v>440</v>
      </c>
      <c r="D21" s="2" t="s">
        <v>38</v>
      </c>
      <c r="E21" s="5">
        <v>45533.610277777778</v>
      </c>
      <c r="F21" s="2" t="s">
        <v>441</v>
      </c>
      <c r="G21" s="2">
        <v>568116</v>
      </c>
      <c r="H21" s="2">
        <v>1</v>
      </c>
      <c r="I21" s="2">
        <v>7751</v>
      </c>
      <c r="J21" s="2">
        <v>132</v>
      </c>
      <c r="K21" s="2" t="s">
        <v>31</v>
      </c>
      <c r="L21" s="4">
        <v>5255.07</v>
      </c>
      <c r="M21" s="2"/>
      <c r="N21" t="s">
        <v>4458</v>
      </c>
    </row>
    <row r="22" spans="1:14" ht="250.8" x14ac:dyDescent="0.3">
      <c r="A22" s="2" t="s">
        <v>442</v>
      </c>
      <c r="B22" s="2" t="str">
        <f>HYPERLINK("https://www.oursportscentral.com/services/releases/preview-hounds-at-indy-eleven/n-6141818")</f>
        <v>https://www.oursportscentral.com/services/releases/preview-hounds-at-indy-eleven/n-6141818</v>
      </c>
      <c r="C22" s="2"/>
      <c r="D22" s="2" t="s">
        <v>24</v>
      </c>
      <c r="E22" s="5">
        <v>45533.538194444453</v>
      </c>
      <c r="F22" s="2" t="s">
        <v>443</v>
      </c>
      <c r="G22" s="2">
        <v>40402</v>
      </c>
      <c r="H22" s="2">
        <v>0</v>
      </c>
      <c r="I22" s="2">
        <v>0</v>
      </c>
      <c r="J22" s="2">
        <v>0</v>
      </c>
      <c r="K22" s="2" t="s">
        <v>25</v>
      </c>
      <c r="L22" s="4">
        <v>373.72</v>
      </c>
      <c r="M22" s="2"/>
      <c r="N22" t="s">
        <v>4457</v>
      </c>
    </row>
    <row r="23" spans="1:14" ht="211.2" x14ac:dyDescent="0.3">
      <c r="A23" s="2" t="s">
        <v>444</v>
      </c>
      <c r="B23" s="2" t="str">
        <f>HYPERLINK("https://www.uslchampionship.com/news_article/show/1316962")</f>
        <v>https://www.uslchampionship.com/news_article/show/1316962</v>
      </c>
      <c r="C23" s="2" t="s">
        <v>26</v>
      </c>
      <c r="D23" s="2" t="s">
        <v>28</v>
      </c>
      <c r="E23" s="5">
        <v>45533.476388888892</v>
      </c>
      <c r="F23" s="2" t="s">
        <v>445</v>
      </c>
      <c r="G23" s="2">
        <v>44392</v>
      </c>
      <c r="H23" s="2">
        <v>0</v>
      </c>
      <c r="I23" s="2">
        <v>0</v>
      </c>
      <c r="J23" s="2">
        <v>10</v>
      </c>
      <c r="K23" s="2" t="s">
        <v>25</v>
      </c>
      <c r="L23" s="4">
        <v>410.63</v>
      </c>
      <c r="M23" s="2"/>
      <c r="N23" t="s">
        <v>4457</v>
      </c>
    </row>
    <row r="24" spans="1:14" ht="198" x14ac:dyDescent="0.3">
      <c r="A24" s="2" t="s">
        <v>448</v>
      </c>
      <c r="B24" s="2" t="str">
        <f>HYPERLINK("https://www.oursportscentral.com/services/releases/indy-eleven-signs-defender-hayden-white/n-6141684")</f>
        <v>https://www.oursportscentral.com/services/releases/indy-eleven-signs-defender-hayden-white/n-6141684</v>
      </c>
      <c r="C24" s="2"/>
      <c r="D24" s="2" t="s">
        <v>24</v>
      </c>
      <c r="E24" s="5">
        <v>45533.378472222219</v>
      </c>
      <c r="F24" s="2" t="s">
        <v>449</v>
      </c>
      <c r="G24" s="2">
        <v>40402</v>
      </c>
      <c r="H24" s="2">
        <v>0</v>
      </c>
      <c r="I24" s="2">
        <v>0</v>
      </c>
      <c r="J24" s="2">
        <v>0</v>
      </c>
      <c r="K24" s="2" t="s">
        <v>25</v>
      </c>
      <c r="L24" s="4">
        <v>373.72</v>
      </c>
      <c r="M24" s="2"/>
      <c r="N24" t="s">
        <v>4457</v>
      </c>
    </row>
    <row r="25" spans="1:14" ht="211.2" x14ac:dyDescent="0.3">
      <c r="A25" s="2" t="s">
        <v>34</v>
      </c>
      <c r="B25" s="2" t="str">
        <f>HYPERLINK("https://www.heraldbulletin.com/sports/coming-up/article_cda334aa-64f5-11ef-a881-c3988d353fa6.html")</f>
        <v>https://www.heraldbulletin.com/sports/coming-up/article_cda334aa-64f5-11ef-a881-c3988d353fa6.html</v>
      </c>
      <c r="C25" s="2"/>
      <c r="D25" s="2" t="s">
        <v>35</v>
      </c>
      <c r="E25" s="5">
        <v>45533.292314814818</v>
      </c>
      <c r="F25" s="2" t="s">
        <v>422</v>
      </c>
      <c r="G25" s="2">
        <v>50260</v>
      </c>
      <c r="H25" s="2">
        <v>0</v>
      </c>
      <c r="I25" s="2">
        <v>0</v>
      </c>
      <c r="J25" s="2">
        <v>20</v>
      </c>
      <c r="K25" s="2" t="s">
        <v>25</v>
      </c>
      <c r="L25" s="4">
        <v>464.9</v>
      </c>
      <c r="M25" s="2"/>
      <c r="N25" t="s">
        <v>4458</v>
      </c>
    </row>
    <row r="26" spans="1:14" ht="198" x14ac:dyDescent="0.3">
      <c r="A26" s="2" t="s">
        <v>450</v>
      </c>
      <c r="B26" s="2" t="str">
        <f>HYPERLINK("https://www.newsbreak.com/axios-512722/3577635159989-brickyard-battalion-keeps-hope-alive-for-indy-eleven")</f>
        <v>https://www.newsbreak.com/axios-512722/3577635159989-brickyard-battalion-keeps-hope-alive-for-indy-eleven</v>
      </c>
      <c r="C26" s="2" t="s">
        <v>356</v>
      </c>
      <c r="D26" s="2" t="s">
        <v>360</v>
      </c>
      <c r="E26" s="5">
        <v>45533.280868055554</v>
      </c>
      <c r="F26" s="2" t="s">
        <v>451</v>
      </c>
      <c r="G26" s="2">
        <v>18777858</v>
      </c>
      <c r="H26" s="2">
        <v>0</v>
      </c>
      <c r="I26" s="2">
        <v>0</v>
      </c>
      <c r="J26" s="2">
        <v>0</v>
      </c>
      <c r="K26" s="2" t="s">
        <v>25</v>
      </c>
      <c r="L26" s="4">
        <v>173695.19</v>
      </c>
      <c r="M26" s="2"/>
      <c r="N26" t="s">
        <v>4457</v>
      </c>
    </row>
    <row r="27" spans="1:14" ht="198" x14ac:dyDescent="0.3">
      <c r="A27" s="2" t="s">
        <v>450</v>
      </c>
      <c r="B27" s="2" t="str">
        <f>HYPERLINK("https://www.axios.com/local/indianapolis/2024/08/29/brickyard-battalion-indy-eleven-soccer-stadium")</f>
        <v>https://www.axios.com/local/indianapolis/2024/08/29/brickyard-battalion-indy-eleven-soccer-stadium</v>
      </c>
      <c r="C27" s="2" t="s">
        <v>356</v>
      </c>
      <c r="D27" s="2" t="s">
        <v>144</v>
      </c>
      <c r="E27" s="5">
        <v>45533.269537037027</v>
      </c>
      <c r="F27" s="2" t="s">
        <v>452</v>
      </c>
      <c r="G27" s="2">
        <v>14450483</v>
      </c>
      <c r="H27" s="2">
        <v>0</v>
      </c>
      <c r="I27" s="2">
        <v>0</v>
      </c>
      <c r="J27" s="2">
        <v>45</v>
      </c>
      <c r="K27" s="2" t="s">
        <v>25</v>
      </c>
      <c r="L27" s="4">
        <v>133666.97</v>
      </c>
      <c r="M27" s="2"/>
      <c r="N27" t="s">
        <v>4458</v>
      </c>
    </row>
    <row r="28" spans="1:14" ht="211.2" x14ac:dyDescent="0.3">
      <c r="A28" s="2" t="s">
        <v>457</v>
      </c>
      <c r="B28" s="2" t="str">
        <f>HYPERLINK("https://www.kshb.com/sports/sporting-kc/sporting-kc-advances-to-u-s-open-cup-final-with-win-over-indy")</f>
        <v>https://www.kshb.com/sports/sporting-kc/sporting-kc-advances-to-u-s-open-cup-final-with-win-over-indy</v>
      </c>
      <c r="C28" s="2" t="s">
        <v>458</v>
      </c>
      <c r="D28" s="2" t="s">
        <v>455</v>
      </c>
      <c r="E28" s="5">
        <v>45532.353113425917</v>
      </c>
      <c r="F28" s="2" t="s">
        <v>459</v>
      </c>
      <c r="G28" s="2">
        <v>647178</v>
      </c>
      <c r="H28" s="2">
        <v>0</v>
      </c>
      <c r="I28" s="2">
        <v>0</v>
      </c>
      <c r="J28" s="2">
        <v>118</v>
      </c>
      <c r="K28" s="2" t="s">
        <v>25</v>
      </c>
      <c r="L28" s="4">
        <v>5986.4</v>
      </c>
      <c r="M28" s="2"/>
      <c r="N28" t="s">
        <v>4457</v>
      </c>
    </row>
    <row r="29" spans="1:14" ht="118.8" x14ac:dyDescent="0.3">
      <c r="A29" s="2" t="s">
        <v>34</v>
      </c>
      <c r="B29" s="2" t="str">
        <f>HYPERLINK("https://www.heraldbulletin.com/sports/coming-up/article_092ef678-64b3-11ef-87d8-2fecfd891e1b.html")</f>
        <v>https://www.heraldbulletin.com/sports/coming-up/article_092ef678-64b3-11ef-87d8-2fecfd891e1b.html</v>
      </c>
      <c r="C29" s="2"/>
      <c r="D29" s="2" t="s">
        <v>35</v>
      </c>
      <c r="E29" s="5">
        <v>45532.29892361111</v>
      </c>
      <c r="F29" s="2" t="s">
        <v>460</v>
      </c>
      <c r="G29" s="2">
        <v>50260</v>
      </c>
      <c r="H29" s="2">
        <v>0</v>
      </c>
      <c r="I29" s="2">
        <v>0</v>
      </c>
      <c r="J29" s="2">
        <v>32</v>
      </c>
      <c r="K29" s="2" t="s">
        <v>25</v>
      </c>
      <c r="L29" s="4">
        <v>464.9</v>
      </c>
      <c r="M29" s="2"/>
      <c r="N29" t="s">
        <v>4458</v>
      </c>
    </row>
    <row r="30" spans="1:14" ht="171.6" x14ac:dyDescent="0.3">
      <c r="A30" s="2" t="s">
        <v>461</v>
      </c>
      <c r="B30" s="2" t="str">
        <f>HYPERLINK("https://www.frontrowsoccer.com/2024/08/28/storming-into-the-final-sporting-kc-blanks-indy-eleven-in-open-cup-semis/")</f>
        <v>https://www.frontrowsoccer.com/2024/08/28/storming-into-the-final-sporting-kc-blanks-indy-eleven-in-open-cup-semis/</v>
      </c>
      <c r="C30" s="2" t="s">
        <v>60</v>
      </c>
      <c r="D30" s="2" t="s">
        <v>61</v>
      </c>
      <c r="E30" s="5">
        <v>45532.298391203702</v>
      </c>
      <c r="F30" s="2" t="s">
        <v>462</v>
      </c>
      <c r="G30" s="2">
        <v>17658</v>
      </c>
      <c r="H30" s="2">
        <v>1</v>
      </c>
      <c r="I30" s="2">
        <v>10214</v>
      </c>
      <c r="J30" s="2">
        <v>3</v>
      </c>
      <c r="K30" s="2" t="s">
        <v>25</v>
      </c>
      <c r="L30" s="4">
        <v>163.34</v>
      </c>
      <c r="M30" s="2"/>
      <c r="N30" t="s">
        <v>4457</v>
      </c>
    </row>
    <row r="31" spans="1:14" ht="184.8" x14ac:dyDescent="0.3">
      <c r="A31" s="2" t="s">
        <v>466</v>
      </c>
      <c r="B31" s="2" t="str">
        <f>HYPERLINK("https://sports.yahoo.com/sporting-kc-reaches-open-cup-055134053.html")</f>
        <v>https://sports.yahoo.com/sporting-kc-reaches-open-cup-055134053.html</v>
      </c>
      <c r="C31" s="2" t="s">
        <v>467</v>
      </c>
      <c r="D31" s="2" t="s">
        <v>137</v>
      </c>
      <c r="E31" s="5">
        <v>45532.077476851853</v>
      </c>
      <c r="F31" s="2" t="s">
        <v>468</v>
      </c>
      <c r="G31" s="2">
        <v>23172409</v>
      </c>
      <c r="H31" s="2">
        <v>0</v>
      </c>
      <c r="I31" s="2">
        <v>0</v>
      </c>
      <c r="J31" s="2">
        <v>0</v>
      </c>
      <c r="K31" s="2" t="s">
        <v>25</v>
      </c>
      <c r="L31" s="4">
        <v>214344.78</v>
      </c>
      <c r="M31" s="2"/>
      <c r="N31" t="s">
        <v>4457</v>
      </c>
    </row>
    <row r="32" spans="1:14" ht="171.6" x14ac:dyDescent="0.3">
      <c r="A32" s="2" t="s">
        <v>466</v>
      </c>
      <c r="B32" s="2" t="str">
        <f>HYPERLINK("https://fox4kc.com/sports/sporting-kc/sporting-kc-reaches-open-cup-final-with-win-over-indy-eleven/")</f>
        <v>https://fox4kc.com/sports/sporting-kc/sporting-kc-reaches-open-cup-final-with-win-over-indy-eleven/</v>
      </c>
      <c r="C32" s="2" t="s">
        <v>467</v>
      </c>
      <c r="D32" s="2" t="s">
        <v>469</v>
      </c>
      <c r="E32" s="5">
        <v>45532.077476851853</v>
      </c>
      <c r="F32" s="2" t="s">
        <v>470</v>
      </c>
      <c r="G32" s="2">
        <v>1158892</v>
      </c>
      <c r="H32" s="2">
        <v>0</v>
      </c>
      <c r="I32" s="2">
        <v>0</v>
      </c>
      <c r="J32" s="2">
        <v>9</v>
      </c>
      <c r="K32" s="2" t="s">
        <v>25</v>
      </c>
      <c r="L32" s="4">
        <v>10719.75</v>
      </c>
      <c r="M32" s="2"/>
      <c r="N32" t="s">
        <v>4457</v>
      </c>
    </row>
    <row r="33" spans="1:14" ht="92.4" x14ac:dyDescent="0.3">
      <c r="A33" s="2" t="s">
        <v>471</v>
      </c>
      <c r="B33" s="2" t="str">
        <f>HYPERLINK("https://www.sportingkc.com/news/recap-sporting-kc-reaches-open-cup-final-with-2-0-win-over-indy-eleven")</f>
        <v>https://www.sportingkc.com/news/recap-sporting-kc-reaches-open-cup-final-with-2-0-win-over-indy-eleven</v>
      </c>
      <c r="C33" s="2" t="s">
        <v>231</v>
      </c>
      <c r="D33" s="2" t="s">
        <v>97</v>
      </c>
      <c r="E33" s="5">
        <v>45532.063101851847</v>
      </c>
      <c r="F33" s="2" t="s">
        <v>472</v>
      </c>
      <c r="G33" s="2">
        <v>54845</v>
      </c>
      <c r="H33" s="2">
        <v>0</v>
      </c>
      <c r="I33" s="2">
        <v>0</v>
      </c>
      <c r="J33" s="2">
        <v>0</v>
      </c>
      <c r="K33" s="2" t="s">
        <v>25</v>
      </c>
      <c r="L33" s="4">
        <v>507.32</v>
      </c>
      <c r="M33" s="2"/>
      <c r="N33" t="s">
        <v>4457</v>
      </c>
    </row>
    <row r="34" spans="1:14" ht="105.6" x14ac:dyDescent="0.3">
      <c r="A34" s="2" t="s">
        <v>473</v>
      </c>
      <c r="B34" s="2" t="str">
        <f>HYPERLINK("https://ca.sports.yahoo.com/news/sporting-kansas-city-returns-u-045942875.html")</f>
        <v>https://ca.sports.yahoo.com/news/sporting-kansas-city-returns-u-045942875.html</v>
      </c>
      <c r="C34" s="2" t="s">
        <v>474</v>
      </c>
      <c r="D34" s="2" t="s">
        <v>41</v>
      </c>
      <c r="E34" s="5">
        <v>45532.051550925928</v>
      </c>
      <c r="F34" s="2" t="s">
        <v>475</v>
      </c>
      <c r="G34" s="2">
        <v>620413</v>
      </c>
      <c r="H34" s="2">
        <v>0</v>
      </c>
      <c r="I34" s="2">
        <v>0</v>
      </c>
      <c r="J34" s="2">
        <v>0</v>
      </c>
      <c r="K34" s="2" t="s">
        <v>47</v>
      </c>
      <c r="L34" s="4">
        <v>5738.82</v>
      </c>
      <c r="M34" s="2"/>
      <c r="N34" t="s">
        <v>4459</v>
      </c>
    </row>
    <row r="35" spans="1:14" ht="224.4" x14ac:dyDescent="0.3">
      <c r="A35" s="2" t="s">
        <v>473</v>
      </c>
      <c r="B35" s="2" t="str">
        <f>HYPERLINK("https://www.kansascity.com/sports/soccer/sporting-kc/article291578125.html")</f>
        <v>https://www.kansascity.com/sports/soccer/sporting-kc/article291578125.html</v>
      </c>
      <c r="C35" s="2" t="s">
        <v>474</v>
      </c>
      <c r="D35" s="2" t="s">
        <v>434</v>
      </c>
      <c r="E35" s="5">
        <v>45532.042245370372</v>
      </c>
      <c r="F35" s="2" t="s">
        <v>476</v>
      </c>
      <c r="G35" s="2">
        <v>1760876</v>
      </c>
      <c r="H35" s="2">
        <v>2</v>
      </c>
      <c r="I35" s="2">
        <v>13504</v>
      </c>
      <c r="J35" s="2">
        <v>50</v>
      </c>
      <c r="K35" s="2" t="s">
        <v>47</v>
      </c>
      <c r="L35" s="4">
        <v>16288.1</v>
      </c>
      <c r="M35" s="2"/>
      <c r="N35" t="s">
        <v>4457</v>
      </c>
    </row>
    <row r="36" spans="1:14" ht="211.2" x14ac:dyDescent="0.3">
      <c r="A36" s="2" t="s">
        <v>473</v>
      </c>
      <c r="B36" s="2" t="str">
        <f>HYPERLINK("https://sports.yahoo.com/sporting-kansas-city-returns-u-045942875.html")</f>
        <v>https://sports.yahoo.com/sporting-kansas-city-returns-u-045942875.html</v>
      </c>
      <c r="C36" s="2" t="s">
        <v>474</v>
      </c>
      <c r="D36" s="2" t="s">
        <v>137</v>
      </c>
      <c r="E36" s="5">
        <v>45532.041458333333</v>
      </c>
      <c r="F36" s="2" t="s">
        <v>477</v>
      </c>
      <c r="G36" s="2">
        <v>23172409</v>
      </c>
      <c r="H36" s="2">
        <v>0</v>
      </c>
      <c r="I36" s="2">
        <v>0</v>
      </c>
      <c r="J36" s="2">
        <v>0</v>
      </c>
      <c r="K36" s="2" t="s">
        <v>47</v>
      </c>
      <c r="L36" s="4">
        <v>214344.78</v>
      </c>
      <c r="M36" s="2"/>
      <c r="N36" t="s">
        <v>4457</v>
      </c>
    </row>
    <row r="37" spans="1:14" ht="184.8" x14ac:dyDescent="0.3">
      <c r="A37" s="2" t="s">
        <v>478</v>
      </c>
      <c r="B37" s="2" t="str">
        <f>HYPERLINK("https://www.uslchampionship.com/news_article/show/1316841")</f>
        <v>https://www.uslchampionship.com/news_article/show/1316841</v>
      </c>
      <c r="C37" s="2" t="s">
        <v>45</v>
      </c>
      <c r="D37" s="2" t="s">
        <v>28</v>
      </c>
      <c r="E37" s="5">
        <v>45532.036111111112</v>
      </c>
      <c r="F37" s="2" t="s">
        <v>479</v>
      </c>
      <c r="G37" s="2">
        <v>44392</v>
      </c>
      <c r="H37" s="2">
        <v>0</v>
      </c>
      <c r="I37" s="2">
        <v>0</v>
      </c>
      <c r="J37" s="2">
        <v>36</v>
      </c>
      <c r="K37" s="2" t="s">
        <v>25</v>
      </c>
      <c r="L37" s="4">
        <v>410.63</v>
      </c>
      <c r="M37" s="2"/>
      <c r="N37" t="s">
        <v>4457</v>
      </c>
    </row>
    <row r="38" spans="1:14" ht="132" x14ac:dyDescent="0.3">
      <c r="A38" s="2" t="s">
        <v>480</v>
      </c>
      <c r="B38" s="2" t="str">
        <f>HYPERLINK("https://www.mlssoccer.com/news/sporting-kansas-city-cruise-past-indy-eleven-to-advance-to-us-open-cup-final")</f>
        <v>https://www.mlssoccer.com/news/sporting-kansas-city-cruise-past-indy-eleven-to-advance-to-us-open-cup-final</v>
      </c>
      <c r="C38" s="2"/>
      <c r="D38" s="2" t="s">
        <v>269</v>
      </c>
      <c r="E38" s="5">
        <v>45532.035879629628</v>
      </c>
      <c r="F38" s="2" t="s">
        <v>481</v>
      </c>
      <c r="G38" s="2">
        <v>1163138</v>
      </c>
      <c r="H38" s="2">
        <v>0</v>
      </c>
      <c r="I38" s="2">
        <v>0</v>
      </c>
      <c r="J38" s="2">
        <v>0</v>
      </c>
      <c r="K38" s="2" t="s">
        <v>31</v>
      </c>
      <c r="L38" s="4">
        <v>10759.03</v>
      </c>
      <c r="M38" s="2"/>
      <c r="N38" t="s">
        <v>4457</v>
      </c>
    </row>
    <row r="39" spans="1:14" ht="237.6" x14ac:dyDescent="0.3">
      <c r="A39" s="2" t="s">
        <v>482</v>
      </c>
      <c r="B39" s="2" t="str">
        <f>HYPERLINK("https://kcsoccerjournal.com/final-bound-sporting-kansas-city-drop-indy-eleven-in-usoc-semi/08/27/2024/")</f>
        <v>https://kcsoccerjournal.com/final-bound-sporting-kansas-city-drop-indy-eleven-in-usoc-semi/08/27/2024/</v>
      </c>
      <c r="C39" s="2" t="s">
        <v>383</v>
      </c>
      <c r="D39" s="2" t="s">
        <v>297</v>
      </c>
      <c r="E39" s="5">
        <v>45532.029618055552</v>
      </c>
      <c r="F39" s="2" t="s">
        <v>483</v>
      </c>
      <c r="G39" s="2"/>
      <c r="H39" s="2">
        <v>0</v>
      </c>
      <c r="I39" s="2">
        <v>0</v>
      </c>
      <c r="J39" s="2">
        <v>10</v>
      </c>
      <c r="K39" s="2" t="s">
        <v>47</v>
      </c>
      <c r="L39" s="2"/>
      <c r="M39" s="2"/>
      <c r="N39" t="s">
        <v>4457</v>
      </c>
    </row>
    <row r="40" spans="1:14" ht="211.2" x14ac:dyDescent="0.3">
      <c r="A40" s="2" t="s">
        <v>484</v>
      </c>
      <c r="B40" s="2" t="str">
        <f>HYPERLINK("http://www.americansoccernow.com/articles/skc-ends-indy-s-usoc-dream-brooks-returns-home-tessmann-to-lyon-amp-celtic-after-trusty")</f>
        <v>http://www.americansoccernow.com/articles/skc-ends-indy-s-usoc-dream-brooks-returns-home-tessmann-to-lyon-amp-celtic-after-trusty</v>
      </c>
      <c r="C40" s="2"/>
      <c r="D40" s="2" t="s">
        <v>485</v>
      </c>
      <c r="E40" s="5">
        <v>45532</v>
      </c>
      <c r="F40" s="2" t="s">
        <v>486</v>
      </c>
      <c r="G40" s="2">
        <v>6074</v>
      </c>
      <c r="H40" s="2">
        <v>1</v>
      </c>
      <c r="I40" s="2">
        <v>39728</v>
      </c>
      <c r="J40" s="2">
        <v>25</v>
      </c>
      <c r="K40" s="2" t="s">
        <v>25</v>
      </c>
      <c r="L40" s="4">
        <v>56.18</v>
      </c>
      <c r="M40" s="2"/>
      <c r="N40" t="s">
        <v>4457</v>
      </c>
    </row>
    <row r="41" spans="1:14" ht="382.8" x14ac:dyDescent="0.3">
      <c r="A41" s="2" t="s">
        <v>487</v>
      </c>
      <c r="B41" s="2" t="str">
        <f>HYPERLINK("https://www.nuvo.net/sports/slideshow-indy-eleven-bows-out-of-the-open-cup/collection_e856b454-657a-11ef-be33-77923e4188e6.html")</f>
        <v>https://www.nuvo.net/sports/slideshow-indy-eleven-bows-out-of-the-open-cup/collection_e856b454-657a-11ef-be33-77923e4188e6.html</v>
      </c>
      <c r="C41" s="2" t="s">
        <v>112</v>
      </c>
      <c r="D41" s="2" t="s">
        <v>113</v>
      </c>
      <c r="E41" s="5">
        <v>45532</v>
      </c>
      <c r="F41" s="2" t="s">
        <v>114</v>
      </c>
      <c r="G41" s="2">
        <v>8756</v>
      </c>
      <c r="H41" s="2">
        <v>0</v>
      </c>
      <c r="I41" s="2">
        <v>0</v>
      </c>
      <c r="J41" s="2">
        <v>0</v>
      </c>
      <c r="K41" s="2" t="s">
        <v>25</v>
      </c>
      <c r="L41" s="4">
        <v>80.989999999999995</v>
      </c>
      <c r="M41" s="2"/>
      <c r="N41" t="s">
        <v>4458</v>
      </c>
    </row>
    <row r="42" spans="1:14" ht="343.2" x14ac:dyDescent="0.3">
      <c r="A42" s="2" t="s">
        <v>489</v>
      </c>
      <c r="B42" s="2" t="str">
        <f>HYPERLINK("https://kcsoccerjournal.com/sporting-kansas-city-vs-indy-eleven-match-thread/08/27/2024/")</f>
        <v>https://kcsoccerjournal.com/sporting-kansas-city-vs-indy-eleven-match-thread/08/27/2024/</v>
      </c>
      <c r="C42" s="2" t="s">
        <v>490</v>
      </c>
      <c r="D42" s="2" t="s">
        <v>297</v>
      </c>
      <c r="E42" s="5">
        <v>45531.813113425917</v>
      </c>
      <c r="F42" s="2" t="s">
        <v>491</v>
      </c>
      <c r="G42" s="2"/>
      <c r="H42" s="2">
        <v>0</v>
      </c>
      <c r="I42" s="2">
        <v>0</v>
      </c>
      <c r="J42" s="2">
        <v>0</v>
      </c>
      <c r="K42" s="2" t="s">
        <v>47</v>
      </c>
      <c r="L42" s="2"/>
      <c r="M42" s="2"/>
      <c r="N42" t="s">
        <v>4457</v>
      </c>
    </row>
    <row r="43" spans="1:14" ht="409.6" x14ac:dyDescent="0.3">
      <c r="A43" s="2" t="s">
        <v>492</v>
      </c>
      <c r="B43" s="2" t="str">
        <f>HYPERLINK("https://www.timbers.com/news/loan-watch-hunter-sulte-indy-eleven-to-play-in-u-s-open-cup-semifinal")</f>
        <v>https://www.timbers.com/news/loan-watch-hunter-sulte-indy-eleven-to-play-in-u-s-open-cup-semifinal</v>
      </c>
      <c r="C43" s="2" t="s">
        <v>493</v>
      </c>
      <c r="D43" s="2" t="s">
        <v>49</v>
      </c>
      <c r="E43" s="5">
        <v>45531.778819444437</v>
      </c>
      <c r="F43" s="2" t="s">
        <v>494</v>
      </c>
      <c r="G43" s="2">
        <v>63318</v>
      </c>
      <c r="H43" s="2">
        <v>0</v>
      </c>
      <c r="I43" s="2">
        <v>0</v>
      </c>
      <c r="J43" s="2">
        <v>0</v>
      </c>
      <c r="K43" s="2" t="s">
        <v>25</v>
      </c>
      <c r="L43" s="4">
        <v>585.69000000000005</v>
      </c>
      <c r="M43" s="2"/>
      <c r="N43" t="s">
        <v>4457</v>
      </c>
    </row>
    <row r="44" spans="1:14" ht="198" x14ac:dyDescent="0.3">
      <c r="A44" s="2" t="s">
        <v>495</v>
      </c>
      <c r="B44" s="2" t="str">
        <f>HYPERLINK("https://www.wishtv.com/news/allindiana/indy-eleven-to-face-sporting-kansas-city/")</f>
        <v>https://www.wishtv.com/news/allindiana/indy-eleven-to-face-sporting-kansas-city/</v>
      </c>
      <c r="C44" s="2" t="s">
        <v>496</v>
      </c>
      <c r="D44" s="2" t="s">
        <v>38</v>
      </c>
      <c r="E44" s="5">
        <v>45531.725347222222</v>
      </c>
      <c r="F44" s="2" t="s">
        <v>497</v>
      </c>
      <c r="G44" s="2">
        <v>568116</v>
      </c>
      <c r="H44" s="2">
        <v>0</v>
      </c>
      <c r="I44" s="2">
        <v>0</v>
      </c>
      <c r="J44" s="2">
        <v>1</v>
      </c>
      <c r="K44" s="2" t="s">
        <v>25</v>
      </c>
      <c r="L44" s="4">
        <v>5255.07</v>
      </c>
      <c r="M44" s="2"/>
      <c r="N44" t="s">
        <v>4458</v>
      </c>
    </row>
    <row r="45" spans="1:14" ht="409.6" x14ac:dyDescent="0.3">
      <c r="A45" s="2" t="s">
        <v>499</v>
      </c>
      <c r="B45" s="2" t="str">
        <f>HYPERLINK("https://www.timbers.com/news/loan-watch-hunter-sulte-indy-elven-to-play-in-u-s-open-cup-semifinal")</f>
        <v>https://www.timbers.com/news/loan-watch-hunter-sulte-indy-elven-to-play-in-u-s-open-cup-semifinal</v>
      </c>
      <c r="C45" s="2" t="s">
        <v>493</v>
      </c>
      <c r="D45" s="2" t="s">
        <v>49</v>
      </c>
      <c r="E45" s="5">
        <v>45531.569976851853</v>
      </c>
      <c r="F45" s="2" t="s">
        <v>494</v>
      </c>
      <c r="G45" s="2">
        <v>63318</v>
      </c>
      <c r="H45" s="2">
        <v>0</v>
      </c>
      <c r="I45" s="2">
        <v>0</v>
      </c>
      <c r="J45" s="2">
        <v>0</v>
      </c>
      <c r="K45" s="2" t="s">
        <v>25</v>
      </c>
      <c r="L45" s="4">
        <v>585.69000000000005</v>
      </c>
      <c r="M45" s="2"/>
      <c r="N45" t="s">
        <v>4457</v>
      </c>
    </row>
    <row r="46" spans="1:14" ht="171.6" x14ac:dyDescent="0.3">
      <c r="A46" s="2" t="s">
        <v>500</v>
      </c>
      <c r="B46" s="2" t="str">
        <f>HYPERLINK("https://www.indystar.com/story/sports/2024/08/27/how-to-watch-indy-eleven-sporting-kansas-city-lamar-hunt-us-open-cup-apple-tv-mls-season-pass/74965120007/")</f>
        <v>https://www.indystar.com/story/sports/2024/08/27/how-to-watch-indy-eleven-sporting-kansas-city-lamar-hunt-us-open-cup-apple-tv-mls-season-pass/74965120007/</v>
      </c>
      <c r="C46" s="2"/>
      <c r="D46" s="2" t="s">
        <v>321</v>
      </c>
      <c r="E46" s="5">
        <v>45531.501435185193</v>
      </c>
      <c r="F46" s="2" t="s">
        <v>501</v>
      </c>
      <c r="G46" s="2">
        <v>3061566</v>
      </c>
      <c r="H46" s="2">
        <v>0</v>
      </c>
      <c r="I46" s="2">
        <v>0</v>
      </c>
      <c r="J46" s="2">
        <v>82</v>
      </c>
      <c r="K46" s="2" t="s">
        <v>25</v>
      </c>
      <c r="L46" s="4">
        <v>28319.49</v>
      </c>
      <c r="M46" s="2"/>
      <c r="N46" t="s">
        <v>4458</v>
      </c>
    </row>
    <row r="47" spans="1:14" ht="92.4" x14ac:dyDescent="0.3">
      <c r="A47" s="2" t="s">
        <v>502</v>
      </c>
      <c r="B47" s="2" t="str">
        <f>HYPERLINK("https://praiseindy.com/3789514/how-to-listen-to-the-indy-eleven-soccer-team-in-the-u-s-open-cup-semi-final/")</f>
        <v>https://praiseindy.com/3789514/how-to-listen-to-the-indy-eleven-soccer-team-in-the-u-s-open-cup-semi-final/</v>
      </c>
      <c r="C47" s="2" t="s">
        <v>503</v>
      </c>
      <c r="D47" s="2" t="s">
        <v>504</v>
      </c>
      <c r="E47" s="5">
        <v>45531.429583333331</v>
      </c>
      <c r="F47" s="2" t="s">
        <v>505</v>
      </c>
      <c r="G47" s="2">
        <v>5231</v>
      </c>
      <c r="H47" s="2">
        <v>0</v>
      </c>
      <c r="I47" s="2">
        <v>0</v>
      </c>
      <c r="J47" s="2">
        <v>3</v>
      </c>
      <c r="K47" s="2" t="s">
        <v>25</v>
      </c>
      <c r="L47" s="4">
        <v>48.39</v>
      </c>
      <c r="M47" s="2"/>
      <c r="N47" t="s">
        <v>4458</v>
      </c>
    </row>
    <row r="48" spans="1:14" ht="171.6" x14ac:dyDescent="0.3">
      <c r="A48" s="2" t="s">
        <v>506</v>
      </c>
      <c r="B48" s="2" t="str">
        <f>HYPERLINK("https://tv.apple.com/us/sporting-event/sporting-kansas-city-vs-indy-eleven/umc.cse.28hjj6sxissompwsyyx7z1a0w")</f>
        <v>https://tv.apple.com/us/sporting-event/sporting-kansas-city-vs-indy-eleven/umc.cse.28hjj6sxissompwsyyx7z1a0w</v>
      </c>
      <c r="C48" s="2"/>
      <c r="D48" s="2" t="s">
        <v>507</v>
      </c>
      <c r="E48" s="5">
        <v>45531.420104166667</v>
      </c>
      <c r="F48" s="2" t="s">
        <v>508</v>
      </c>
      <c r="G48" s="2"/>
      <c r="H48" s="2">
        <v>11</v>
      </c>
      <c r="I48" s="2">
        <v>61085</v>
      </c>
      <c r="J48" s="2">
        <v>11</v>
      </c>
      <c r="K48" s="2" t="s">
        <v>25</v>
      </c>
      <c r="L48" s="2"/>
      <c r="M48" s="2"/>
      <c r="N48" t="s">
        <v>4459</v>
      </c>
    </row>
    <row r="49" spans="1:14" ht="409.6" x14ac:dyDescent="0.3">
      <c r="A49" s="2" t="s">
        <v>509</v>
      </c>
      <c r="B49" s="2" t="str">
        <f>HYPERLINK("https://worldsoccertalk.com/watch-on-us-tv/sporting-kansas-city-vs-indy-eleven-on-us-tv-and-live-streaming/")</f>
        <v>https://worldsoccertalk.com/watch-on-us-tv/sporting-kansas-city-vs-indy-eleven-on-us-tv-and-live-streaming/</v>
      </c>
      <c r="C49" s="2"/>
      <c r="D49" s="2" t="s">
        <v>510</v>
      </c>
      <c r="E49" s="5">
        <v>45531.388877314806</v>
      </c>
      <c r="F49" s="2" t="s">
        <v>511</v>
      </c>
      <c r="G49" s="2">
        <v>459811</v>
      </c>
      <c r="H49" s="2">
        <v>0</v>
      </c>
      <c r="I49" s="2">
        <v>0</v>
      </c>
      <c r="J49" s="2">
        <v>0</v>
      </c>
      <c r="K49" s="2" t="s">
        <v>25</v>
      </c>
      <c r="L49" s="4">
        <v>4253.25</v>
      </c>
      <c r="M49" s="2"/>
      <c r="N49" t="s">
        <v>4459</v>
      </c>
    </row>
    <row r="50" spans="1:14" ht="145.19999999999999" x14ac:dyDescent="0.3">
      <c r="A50" s="2" t="s">
        <v>512</v>
      </c>
      <c r="B50" s="2" t="str">
        <f>HYPERLINK("https://www.goal.com/en-us/news/watch-sporting-kansas-city-vs-indy-eleven-us-open-cup-game-live-stream-tv-channel-start-time/blt7841c1fe4bf3d2c2")</f>
        <v>https://www.goal.com/en-us/news/watch-sporting-kansas-city-vs-indy-eleven-us-open-cup-game-live-stream-tv-channel-start-time/blt7841c1fe4bf3d2c2</v>
      </c>
      <c r="C50" s="2" t="s">
        <v>274</v>
      </c>
      <c r="D50" s="2" t="s">
        <v>275</v>
      </c>
      <c r="E50" s="5">
        <v>45531.353865740741</v>
      </c>
      <c r="F50" s="2" t="s">
        <v>513</v>
      </c>
      <c r="G50" s="2">
        <v>29498785</v>
      </c>
      <c r="H50" s="2">
        <v>0</v>
      </c>
      <c r="I50" s="2">
        <v>0</v>
      </c>
      <c r="J50" s="2">
        <v>0</v>
      </c>
      <c r="K50" s="2" t="s">
        <v>25</v>
      </c>
      <c r="L50" s="4">
        <v>272863.76</v>
      </c>
      <c r="M50" s="2"/>
      <c r="N50" t="s">
        <v>4459</v>
      </c>
    </row>
    <row r="51" spans="1:14" ht="184.8" x14ac:dyDescent="0.3">
      <c r="A51" s="2" t="s">
        <v>34</v>
      </c>
      <c r="B51" s="2" t="str">
        <f>HYPERLINK("https://www.heraldbulletin.com/sports/coming-up/article_5eba7836-6406-11ef-933f-6b64b921dbc2.html")</f>
        <v>https://www.heraldbulletin.com/sports/coming-up/article_5eba7836-6406-11ef-933f-6b64b921dbc2.html</v>
      </c>
      <c r="C51" s="2"/>
      <c r="D51" s="2" t="s">
        <v>35</v>
      </c>
      <c r="E51" s="5">
        <v>45531.302546296298</v>
      </c>
      <c r="F51" s="2" t="s">
        <v>514</v>
      </c>
      <c r="G51" s="2">
        <v>50260</v>
      </c>
      <c r="H51" s="2">
        <v>0</v>
      </c>
      <c r="I51" s="2">
        <v>0</v>
      </c>
      <c r="J51" s="2">
        <v>15</v>
      </c>
      <c r="K51" s="2" t="s">
        <v>25</v>
      </c>
      <c r="L51" s="4">
        <v>464.9</v>
      </c>
      <c r="M51" s="2"/>
      <c r="N51" t="s">
        <v>4458</v>
      </c>
    </row>
    <row r="52" spans="1:14" ht="92.4" x14ac:dyDescent="0.3">
      <c r="A52" s="2" t="s">
        <v>502</v>
      </c>
      <c r="B52" s="2" t="str">
        <f>HYPERLINK("https://wtlcfm.com/3948607/how-to-listen-to-the-indy-eleven-soccer-team-in-the-u-s-open-cup-semi-final/")</f>
        <v>https://wtlcfm.com/3948607/how-to-listen-to-the-indy-eleven-soccer-team-in-the-u-s-open-cup-semi-final/</v>
      </c>
      <c r="C52" s="2" t="s">
        <v>503</v>
      </c>
      <c r="D52" s="2" t="s">
        <v>515</v>
      </c>
      <c r="E52" s="5">
        <v>45531.266574074078</v>
      </c>
      <c r="F52" s="2" t="s">
        <v>505</v>
      </c>
      <c r="G52" s="2">
        <v>7794</v>
      </c>
      <c r="H52" s="2">
        <v>0</v>
      </c>
      <c r="I52" s="2">
        <v>0</v>
      </c>
      <c r="J52" s="2">
        <v>1</v>
      </c>
      <c r="K52" s="2" t="s">
        <v>25</v>
      </c>
      <c r="L52" s="4">
        <v>72.09</v>
      </c>
      <c r="M52" s="2"/>
      <c r="N52" t="s">
        <v>4458</v>
      </c>
    </row>
    <row r="53" spans="1:14" ht="409.6" x14ac:dyDescent="0.3">
      <c r="A53" s="2" t="s">
        <v>516</v>
      </c>
      <c r="B53" s="2" t="str">
        <f>HYPERLINK("https://www.givemesport.com/sporting-kc-vs-indy-eleven-open-cup-prediction-betting-odds-picks/")</f>
        <v>https://www.givemesport.com/sporting-kc-vs-indy-eleven-open-cup-prediction-betting-odds-picks/</v>
      </c>
      <c r="C53" s="2" t="s">
        <v>276</v>
      </c>
      <c r="D53" s="2" t="s">
        <v>277</v>
      </c>
      <c r="E53" s="5">
        <v>45531.255925925929</v>
      </c>
      <c r="F53" s="2" t="s">
        <v>517</v>
      </c>
      <c r="G53" s="2">
        <v>4476289</v>
      </c>
      <c r="H53" s="2">
        <v>0</v>
      </c>
      <c r="I53" s="2">
        <v>0</v>
      </c>
      <c r="J53" s="2">
        <v>20</v>
      </c>
      <c r="K53" s="2" t="s">
        <v>31</v>
      </c>
      <c r="L53" s="4">
        <v>41405.67</v>
      </c>
      <c r="M53" s="2"/>
      <c r="N53" t="s">
        <v>4459</v>
      </c>
    </row>
    <row r="54" spans="1:14" ht="382.8" x14ac:dyDescent="0.3">
      <c r="A54" s="2" t="s">
        <v>518</v>
      </c>
      <c r="B54" s="2" t="str">
        <f>HYPERLINK("https://www.hudsonriverblue.com/drama-history-and-bias-the-us-open-cup-semifinals-start-today/")</f>
        <v>https://www.hudsonriverblue.com/drama-history-and-bias-the-us-open-cup-semifinals-start-today/</v>
      </c>
      <c r="C54" s="2" t="s">
        <v>519</v>
      </c>
      <c r="D54" s="2" t="s">
        <v>520</v>
      </c>
      <c r="E54" s="5">
        <v>45531.25</v>
      </c>
      <c r="F54" s="2" t="s">
        <v>521</v>
      </c>
      <c r="G54" s="2">
        <v>30185</v>
      </c>
      <c r="H54" s="2">
        <v>1</v>
      </c>
      <c r="I54" s="2">
        <v>1609</v>
      </c>
      <c r="J54" s="2">
        <v>1</v>
      </c>
      <c r="K54" s="2" t="s">
        <v>25</v>
      </c>
      <c r="L54" s="4">
        <v>279.20999999999998</v>
      </c>
      <c r="M54" s="2"/>
      <c r="N54" t="s">
        <v>4459</v>
      </c>
    </row>
    <row r="55" spans="1:14" ht="105.6" x14ac:dyDescent="0.3">
      <c r="A55" s="2" t="s">
        <v>524</v>
      </c>
      <c r="B55" s="2" t="str">
        <f>HYPERLINK("https://www.socceramerica.com/u-s-open-cup-sporting-kc-indy-eleven/")</f>
        <v>https://www.socceramerica.com/u-s-open-cup-sporting-kc-indy-eleven/</v>
      </c>
      <c r="C55" s="2" t="s">
        <v>263</v>
      </c>
      <c r="D55" s="2" t="s">
        <v>264</v>
      </c>
      <c r="E55" s="5">
        <v>45531.066712962973</v>
      </c>
      <c r="F55" s="2" t="s">
        <v>525</v>
      </c>
      <c r="G55" s="2">
        <v>17486</v>
      </c>
      <c r="H55" s="2">
        <v>1</v>
      </c>
      <c r="I55" s="2">
        <v>9993</v>
      </c>
      <c r="J55" s="2">
        <v>34</v>
      </c>
      <c r="K55" s="2" t="s">
        <v>25</v>
      </c>
      <c r="L55" s="4">
        <v>161.75</v>
      </c>
      <c r="M55" s="2"/>
      <c r="N55" t="s">
        <v>4457</v>
      </c>
    </row>
    <row r="56" spans="1:14" ht="198" x14ac:dyDescent="0.3">
      <c r="A56" s="2" t="s">
        <v>526</v>
      </c>
      <c r="B56" s="2" t="str">
        <f>HYPERLINK("https://www.newsbreak.com/fansided-510057/3574855732705-which-indy-eleven-players-brought-the-heat-to-sporting-kc-in-the-u-s-open-cup")</f>
        <v>https://www.newsbreak.com/fansided-510057/3574855732705-which-indy-eleven-players-brought-the-heat-to-sporting-kc-in-the-u-s-open-cup</v>
      </c>
      <c r="C56" s="2" t="s">
        <v>453</v>
      </c>
      <c r="D56" s="2" t="s">
        <v>360</v>
      </c>
      <c r="E56" s="5">
        <v>45531.054884259262</v>
      </c>
      <c r="F56" s="2" t="s">
        <v>451</v>
      </c>
      <c r="G56" s="2">
        <v>18777858</v>
      </c>
      <c r="H56" s="2">
        <v>0</v>
      </c>
      <c r="I56" s="2">
        <v>0</v>
      </c>
      <c r="J56" s="2">
        <v>0</v>
      </c>
      <c r="K56" s="2" t="s">
        <v>25</v>
      </c>
      <c r="L56" s="4">
        <v>173695.19</v>
      </c>
      <c r="M56" s="2"/>
      <c r="N56" t="s">
        <v>4457</v>
      </c>
    </row>
    <row r="57" spans="1:14" ht="303.60000000000002" x14ac:dyDescent="0.3">
      <c r="A57" s="2" t="s">
        <v>527</v>
      </c>
      <c r="B57" s="2" t="str">
        <f>HYPERLINK("https://mlsmultiplex.com/posts/indy-eleven-s-holding-strong-even-when-wins-slip-away-in-the-details-01j693fxqvr7")</f>
        <v>https://mlsmultiplex.com/posts/indy-eleven-s-holding-strong-even-when-wins-slip-away-in-the-details-01j693fxqvr7</v>
      </c>
      <c r="C57" s="2" t="s">
        <v>453</v>
      </c>
      <c r="D57" s="2" t="s">
        <v>454</v>
      </c>
      <c r="E57" s="5">
        <v>45531.049062500002</v>
      </c>
      <c r="F57" s="2" t="s">
        <v>528</v>
      </c>
      <c r="G57" s="2">
        <v>26876</v>
      </c>
      <c r="H57" s="2">
        <v>0</v>
      </c>
      <c r="I57" s="2">
        <v>0</v>
      </c>
      <c r="J57" s="2">
        <v>0</v>
      </c>
      <c r="K57" s="2" t="s">
        <v>25</v>
      </c>
      <c r="L57" s="4">
        <v>248.6</v>
      </c>
      <c r="M57" s="2"/>
      <c r="N57" t="s">
        <v>4457</v>
      </c>
    </row>
    <row r="58" spans="1:14" ht="198" x14ac:dyDescent="0.3">
      <c r="A58" s="2" t="s">
        <v>529</v>
      </c>
      <c r="B58" s="2" t="str">
        <f>HYPERLINK("https://www.newsbreak.com/fansided-510057/3574851447518-once-underdogs-indy-eleven-are-now-one-step-away-from-the-concacaf-champions-cup")</f>
        <v>https://www.newsbreak.com/fansided-510057/3574851447518-once-underdogs-indy-eleven-are-now-one-step-away-from-the-concacaf-champions-cup</v>
      </c>
      <c r="C58" s="2" t="s">
        <v>453</v>
      </c>
      <c r="D58" s="2" t="s">
        <v>360</v>
      </c>
      <c r="E58" s="5">
        <v>45531.046736111108</v>
      </c>
      <c r="F58" s="2" t="s">
        <v>451</v>
      </c>
      <c r="G58" s="2">
        <v>18777858</v>
      </c>
      <c r="H58" s="2">
        <v>0</v>
      </c>
      <c r="I58" s="2">
        <v>0</v>
      </c>
      <c r="J58" s="2">
        <v>0</v>
      </c>
      <c r="K58" s="2" t="s">
        <v>25</v>
      </c>
      <c r="L58" s="4">
        <v>173695.19</v>
      </c>
      <c r="M58" s="2"/>
      <c r="N58" t="s">
        <v>4457</v>
      </c>
    </row>
    <row r="59" spans="1:14" ht="184.8" x14ac:dyDescent="0.3">
      <c r="A59" s="2" t="s">
        <v>526</v>
      </c>
      <c r="B59" s="2" t="str">
        <f>HYPERLINK("https://mlsmultiplex.com/posts/which-indy-eleven-players-brought-the-heat-to-sporting-kc-in-the-u-s-open-cup-01j6933eabtz")</f>
        <v>https://mlsmultiplex.com/posts/which-indy-eleven-players-brought-the-heat-to-sporting-kc-in-the-u-s-open-cup-01j6933eabtz</v>
      </c>
      <c r="C59" s="2" t="s">
        <v>453</v>
      </c>
      <c r="D59" s="2" t="s">
        <v>454</v>
      </c>
      <c r="E59" s="5">
        <v>45531.044016203698</v>
      </c>
      <c r="F59" s="2" t="s">
        <v>530</v>
      </c>
      <c r="G59" s="2">
        <v>26876</v>
      </c>
      <c r="H59" s="2">
        <v>0</v>
      </c>
      <c r="I59" s="2">
        <v>0</v>
      </c>
      <c r="J59" s="2">
        <v>0</v>
      </c>
      <c r="K59" s="2" t="s">
        <v>31</v>
      </c>
      <c r="L59" s="4">
        <v>248.6</v>
      </c>
      <c r="M59" s="2"/>
      <c r="N59" t="s">
        <v>4457</v>
      </c>
    </row>
    <row r="60" spans="1:14" ht="396" x14ac:dyDescent="0.3">
      <c r="A60" s="2" t="s">
        <v>529</v>
      </c>
      <c r="B60" s="2" t="str">
        <f>HYPERLINK("https://mlsmultiplex.com/posts/once-underdogs-indy-eleven-are-now-one-step-away-from-the-concacaf-champions-cup-01j692mgqtnt")</f>
        <v>https://mlsmultiplex.com/posts/once-underdogs-indy-eleven-are-now-one-step-away-from-the-concacaf-champions-cup-01j692mgqtnt</v>
      </c>
      <c r="C60" s="2" t="s">
        <v>453</v>
      </c>
      <c r="D60" s="2" t="s">
        <v>454</v>
      </c>
      <c r="E60" s="5">
        <v>45531.039039351846</v>
      </c>
      <c r="F60" s="2" t="s">
        <v>531</v>
      </c>
      <c r="G60" s="2">
        <v>26876</v>
      </c>
      <c r="H60" s="2">
        <v>0</v>
      </c>
      <c r="I60" s="2">
        <v>0</v>
      </c>
      <c r="J60" s="2">
        <v>0</v>
      </c>
      <c r="K60" s="2" t="s">
        <v>25</v>
      </c>
      <c r="L60" s="4">
        <v>248.6</v>
      </c>
      <c r="M60" s="2"/>
      <c r="N60" t="s">
        <v>4457</v>
      </c>
    </row>
    <row r="61" spans="1:14" ht="145.19999999999999" x14ac:dyDescent="0.3">
      <c r="A61" s="2" t="s">
        <v>532</v>
      </c>
      <c r="B61" s="2" t="str">
        <f>HYPERLINK("https://kcsoccerjournal.com/sporting-kc-vs-indy-eleven-open-cup-preview-and-how-to-watch/08/26/2024/")</f>
        <v>https://kcsoccerjournal.com/sporting-kc-vs-indy-eleven-open-cup-preview-and-how-to-watch/08/26/2024/</v>
      </c>
      <c r="C61" s="2" t="s">
        <v>296</v>
      </c>
      <c r="D61" s="2" t="s">
        <v>297</v>
      </c>
      <c r="E61" s="5">
        <v>45530.862430555557</v>
      </c>
      <c r="F61" s="2" t="s">
        <v>533</v>
      </c>
      <c r="G61" s="2"/>
      <c r="H61" s="2">
        <v>0</v>
      </c>
      <c r="I61" s="2">
        <v>0</v>
      </c>
      <c r="J61" s="2">
        <v>8</v>
      </c>
      <c r="K61" s="2" t="s">
        <v>31</v>
      </c>
      <c r="L61" s="2"/>
      <c r="M61" s="2"/>
      <c r="N61" t="s">
        <v>4457</v>
      </c>
    </row>
    <row r="62" spans="1:14" ht="105.6" x14ac:dyDescent="0.3">
      <c r="A62" s="2" t="s">
        <v>534</v>
      </c>
      <c r="B62" s="2" t="str">
        <f>HYPERLINK("https://www.uslchampionship.com/news_article/show/1316748")</f>
        <v>https://www.uslchampionship.com/news_article/show/1316748</v>
      </c>
      <c r="C62" s="2" t="s">
        <v>26</v>
      </c>
      <c r="D62" s="2" t="s">
        <v>28</v>
      </c>
      <c r="E62" s="5">
        <v>45530.770833333343</v>
      </c>
      <c r="F62" s="2" t="s">
        <v>535</v>
      </c>
      <c r="G62" s="2">
        <v>44392</v>
      </c>
      <c r="H62" s="2">
        <v>0</v>
      </c>
      <c r="I62" s="2">
        <v>0</v>
      </c>
      <c r="J62" s="2">
        <v>3</v>
      </c>
      <c r="K62" s="2" t="s">
        <v>25</v>
      </c>
      <c r="L62" s="4">
        <v>410.63</v>
      </c>
      <c r="M62" s="2"/>
      <c r="N62" t="s">
        <v>4457</v>
      </c>
    </row>
    <row r="63" spans="1:14" ht="105.6" x14ac:dyDescent="0.3">
      <c r="A63" s="2" t="s">
        <v>534</v>
      </c>
      <c r="B63" s="2" t="str">
        <f>HYPERLINK("https://www.uslleagueone.com/news_article/show/1316748")</f>
        <v>https://www.uslleagueone.com/news_article/show/1316748</v>
      </c>
      <c r="C63" s="2" t="s">
        <v>26</v>
      </c>
      <c r="D63" s="2" t="s">
        <v>27</v>
      </c>
      <c r="E63" s="5">
        <v>45530.770833333343</v>
      </c>
      <c r="F63" s="2" t="s">
        <v>535</v>
      </c>
      <c r="G63" s="2">
        <v>20277</v>
      </c>
      <c r="H63" s="2">
        <v>0</v>
      </c>
      <c r="I63" s="2">
        <v>0</v>
      </c>
      <c r="J63" s="2">
        <v>0</v>
      </c>
      <c r="K63" s="2" t="s">
        <v>25</v>
      </c>
      <c r="L63" s="4">
        <v>187.56</v>
      </c>
      <c r="M63" s="2"/>
      <c r="N63" t="s">
        <v>4457</v>
      </c>
    </row>
    <row r="64" spans="1:14" ht="184.8" x14ac:dyDescent="0.3">
      <c r="A64" s="2" t="s">
        <v>536</v>
      </c>
      <c r="B64" s="2" t="str">
        <f>HYPERLINK("https://mlsmultiplex.com/posts/the-u-s-open-cup-odyssey-that-could-save-sporting-kc-s-season-01j68a3016a1")</f>
        <v>https://mlsmultiplex.com/posts/the-u-s-open-cup-odyssey-that-could-save-sporting-kc-s-season-01j68a3016a1</v>
      </c>
      <c r="C64" s="2" t="s">
        <v>453</v>
      </c>
      <c r="D64" s="2" t="s">
        <v>454</v>
      </c>
      <c r="E64" s="5">
        <v>45530.739340277767</v>
      </c>
      <c r="F64" s="2" t="s">
        <v>537</v>
      </c>
      <c r="G64" s="2">
        <v>26876</v>
      </c>
      <c r="H64" s="2">
        <v>0</v>
      </c>
      <c r="I64" s="2">
        <v>0</v>
      </c>
      <c r="J64" s="2">
        <v>14</v>
      </c>
      <c r="K64" s="2" t="s">
        <v>25</v>
      </c>
      <c r="L64" s="4">
        <v>248.6</v>
      </c>
      <c r="M64" s="2"/>
      <c r="N64" t="s">
        <v>4457</v>
      </c>
    </row>
    <row r="65" spans="1:14" ht="356.4" x14ac:dyDescent="0.3">
      <c r="A65" s="2" t="s">
        <v>538</v>
      </c>
      <c r="B65" s="2" t="str">
        <f>HYPERLINK("https://www.wishtv.com/sports/indy-eleven/indy-eleven-prepare-for-u-s-open-cup-semifinals/")</f>
        <v>https://www.wishtv.com/sports/indy-eleven/indy-eleven-prepare-for-u-s-open-cup-semifinals/</v>
      </c>
      <c r="C65" s="2" t="s">
        <v>539</v>
      </c>
      <c r="D65" s="2" t="s">
        <v>38</v>
      </c>
      <c r="E65" s="5">
        <v>45530.735601851848</v>
      </c>
      <c r="F65" s="2" t="s">
        <v>540</v>
      </c>
      <c r="G65" s="2">
        <v>568116</v>
      </c>
      <c r="H65" s="2">
        <v>1</v>
      </c>
      <c r="I65" s="2">
        <v>7751</v>
      </c>
      <c r="J65" s="2">
        <v>114</v>
      </c>
      <c r="K65" s="2" t="s">
        <v>25</v>
      </c>
      <c r="L65" s="4">
        <v>5255.07</v>
      </c>
      <c r="M65" s="2"/>
      <c r="N65" t="s">
        <v>4458</v>
      </c>
    </row>
    <row r="66" spans="1:14" ht="356.4" x14ac:dyDescent="0.3">
      <c r="A66" s="2" t="s">
        <v>541</v>
      </c>
      <c r="B66" s="2" t="str">
        <f>HYPERLINK("https://www.ussoccer.com/stories/2024/08/2024-lamar-hunt-us-open-cup-semifinal-preview-sporting-kc-indy-eleven-seattle-sounders-lafc")</f>
        <v>https://www.ussoccer.com/stories/2024/08/2024-lamar-hunt-us-open-cup-semifinal-preview-sporting-kc-indy-eleven-seattle-sounders-lafc</v>
      </c>
      <c r="C66" s="2" t="s">
        <v>249</v>
      </c>
      <c r="D66" s="2" t="s">
        <v>250</v>
      </c>
      <c r="E66" s="5">
        <v>45530.716620370367</v>
      </c>
      <c r="F66" s="2" t="s">
        <v>542</v>
      </c>
      <c r="G66" s="2">
        <v>543569</v>
      </c>
      <c r="H66" s="2">
        <v>0</v>
      </c>
      <c r="I66" s="2">
        <v>0</v>
      </c>
      <c r="J66" s="2">
        <v>52</v>
      </c>
      <c r="K66" s="2" t="s">
        <v>25</v>
      </c>
      <c r="L66" s="4">
        <v>5028.01</v>
      </c>
      <c r="M66" s="2"/>
      <c r="N66" t="s">
        <v>4457</v>
      </c>
    </row>
    <row r="67" spans="1:14" ht="132" x14ac:dyDescent="0.3">
      <c r="A67" s="2" t="s">
        <v>543</v>
      </c>
      <c r="B67" s="2" t="str">
        <f>HYPERLINK("https://www.sportingkc.com/news/know-before-you-go-lamar-hunt-us-open-cup-semifinal-sporting-kc-vs-indy-eleven-this-tuesday-at-children-s-mercy-park")</f>
        <v>https://www.sportingkc.com/news/know-before-you-go-lamar-hunt-us-open-cup-semifinal-sporting-kc-vs-indy-eleven-this-tuesday-at-children-s-mercy-park</v>
      </c>
      <c r="C67" s="2"/>
      <c r="D67" s="2" t="s">
        <v>97</v>
      </c>
      <c r="E67" s="5">
        <v>45530.67260416667</v>
      </c>
      <c r="F67" s="2" t="s">
        <v>544</v>
      </c>
      <c r="G67" s="2">
        <v>54845</v>
      </c>
      <c r="H67" s="2">
        <v>0</v>
      </c>
      <c r="I67" s="2">
        <v>0</v>
      </c>
      <c r="J67" s="2">
        <v>0</v>
      </c>
      <c r="K67" s="2" t="s">
        <v>25</v>
      </c>
      <c r="L67" s="4">
        <v>507.32</v>
      </c>
      <c r="M67" s="2"/>
      <c r="N67" t="s">
        <v>4457</v>
      </c>
    </row>
    <row r="68" spans="1:14" ht="79.2" x14ac:dyDescent="0.3">
      <c r="A68" s="2" t="s">
        <v>545</v>
      </c>
      <c r="B68" s="2" t="str">
        <f>HYPERLINK("https://www.uslchampionship.com/news_article/show/1316731")</f>
        <v>https://www.uslchampionship.com/news_article/show/1316731</v>
      </c>
      <c r="C68" s="2" t="s">
        <v>45</v>
      </c>
      <c r="D68" s="2" t="s">
        <v>28</v>
      </c>
      <c r="E68" s="5">
        <v>45530.645833333343</v>
      </c>
      <c r="F68" s="2" t="s">
        <v>546</v>
      </c>
      <c r="G68" s="2">
        <v>44392</v>
      </c>
      <c r="H68" s="2">
        <v>0</v>
      </c>
      <c r="I68" s="2">
        <v>0</v>
      </c>
      <c r="J68" s="2">
        <v>36</v>
      </c>
      <c r="K68" s="2" t="s">
        <v>25</v>
      </c>
      <c r="L68" s="4">
        <v>410.63</v>
      </c>
      <c r="M68" s="2"/>
      <c r="N68" t="s">
        <v>4457</v>
      </c>
    </row>
    <row r="69" spans="1:14" ht="158.4" x14ac:dyDescent="0.3">
      <c r="A69" s="2" t="s">
        <v>502</v>
      </c>
      <c r="B69" s="2" t="str">
        <f>HYPERLINK("https://1075thefan.com/400699/how-to-listen-to-the-indy-eleven-soccer-team-in-the-u-s-open-cup-semi-final/")</f>
        <v>https://1075thefan.com/400699/how-to-listen-to-the-indy-eleven-soccer-team-in-the-u-s-open-cup-semi-final/</v>
      </c>
      <c r="C69" s="2" t="s">
        <v>503</v>
      </c>
      <c r="D69" s="2" t="s">
        <v>75</v>
      </c>
      <c r="E69" s="5">
        <v>45530.635000000002</v>
      </c>
      <c r="F69" s="2" t="s">
        <v>547</v>
      </c>
      <c r="G69" s="2">
        <v>208881</v>
      </c>
      <c r="H69" s="2">
        <v>0</v>
      </c>
      <c r="I69" s="2">
        <v>0</v>
      </c>
      <c r="J69" s="2">
        <v>2</v>
      </c>
      <c r="K69" s="2" t="s">
        <v>25</v>
      </c>
      <c r="L69" s="4">
        <v>1932.15</v>
      </c>
      <c r="M69" s="2"/>
      <c r="N69" t="s">
        <v>4458</v>
      </c>
    </row>
    <row r="70" spans="1:14" ht="92.4" x14ac:dyDescent="0.3">
      <c r="A70" s="2" t="s">
        <v>548</v>
      </c>
      <c r="B70" s="2" t="str">
        <f>HYPERLINK("https://www.sportingkc.com/news/preview-sporting-kc-hosts-indy-eleven-in-u-s-open-cup-semifinal-on-tuesday")</f>
        <v>https://www.sportingkc.com/news/preview-sporting-kc-hosts-indy-eleven-in-u-s-open-cup-semifinal-on-tuesday</v>
      </c>
      <c r="C70" s="2" t="s">
        <v>289</v>
      </c>
      <c r="D70" s="2" t="s">
        <v>97</v>
      </c>
      <c r="E70" s="5">
        <v>45530.619479166657</v>
      </c>
      <c r="F70" s="2" t="s">
        <v>549</v>
      </c>
      <c r="G70" s="2">
        <v>54845</v>
      </c>
      <c r="H70" s="2">
        <v>0</v>
      </c>
      <c r="I70" s="2">
        <v>0</v>
      </c>
      <c r="J70" s="2">
        <v>0</v>
      </c>
      <c r="K70" s="2" t="s">
        <v>25</v>
      </c>
      <c r="L70" s="4">
        <v>507.32</v>
      </c>
      <c r="M70" s="2"/>
      <c r="N70" t="s">
        <v>4457</v>
      </c>
    </row>
    <row r="71" spans="1:14" ht="92.4" x14ac:dyDescent="0.3">
      <c r="A71" s="2" t="s">
        <v>551</v>
      </c>
      <c r="B71" s="2" t="str">
        <f>HYPERLINK("https://www.sportskeeda.com/football/sporting-kansas-city-vs-indy-eleven-prediction-betting-tips-august-28th-2024")</f>
        <v>https://www.sportskeeda.com/football/sporting-kansas-city-vs-indy-eleven-prediction-betting-tips-august-28th-2024</v>
      </c>
      <c r="C71" s="2" t="s">
        <v>290</v>
      </c>
      <c r="D71" s="2" t="s">
        <v>291</v>
      </c>
      <c r="E71" s="5">
        <v>45530.572222222218</v>
      </c>
      <c r="F71" s="2" t="s">
        <v>552</v>
      </c>
      <c r="G71" s="2">
        <v>15120978</v>
      </c>
      <c r="H71" s="2">
        <v>0</v>
      </c>
      <c r="I71" s="2">
        <v>0</v>
      </c>
      <c r="J71" s="2">
        <v>0</v>
      </c>
      <c r="K71" s="2" t="s">
        <v>25</v>
      </c>
      <c r="L71" s="4">
        <v>139869.04999999999</v>
      </c>
      <c r="M71" s="2"/>
      <c r="N71" t="s">
        <v>4459</v>
      </c>
    </row>
    <row r="72" spans="1:14" ht="92.4" x14ac:dyDescent="0.3">
      <c r="A72" s="2" t="s">
        <v>553</v>
      </c>
      <c r="B72" s="2" t="str">
        <f>HYPERLINK("https://www.mlssoccer.com/news/us-open-cup-semifinals-how-to-watch-stream-on-mls-season-pass")</f>
        <v>https://www.mlssoccer.com/news/us-open-cup-semifinals-how-to-watch-stream-on-mls-season-pass</v>
      </c>
      <c r="C72" s="2"/>
      <c r="D72" s="2" t="s">
        <v>269</v>
      </c>
      <c r="E72" s="5">
        <v>45530.55572916667</v>
      </c>
      <c r="F72" s="2" t="s">
        <v>554</v>
      </c>
      <c r="G72" s="2">
        <v>1163138</v>
      </c>
      <c r="H72" s="2">
        <v>0</v>
      </c>
      <c r="I72" s="2">
        <v>0</v>
      </c>
      <c r="J72" s="2">
        <v>7</v>
      </c>
      <c r="K72" s="2" t="s">
        <v>25</v>
      </c>
      <c r="L72" s="4">
        <v>10759.03</v>
      </c>
      <c r="M72" s="2"/>
      <c r="N72" t="s">
        <v>4457</v>
      </c>
    </row>
    <row r="73" spans="1:14" ht="105.6" x14ac:dyDescent="0.3">
      <c r="A73" s="2" t="s">
        <v>555</v>
      </c>
      <c r="B73" s="2" t="str">
        <f>HYPERLINK("https://www.oursportscentral.com/services/releases/sporting-kc-hosts-indy-eleven-in-open-cup-semifinal/n-6140642")</f>
        <v>https://www.oursportscentral.com/services/releases/sporting-kc-hosts-indy-eleven-in-open-cup-semifinal/n-6140642</v>
      </c>
      <c r="C73" s="2"/>
      <c r="D73" s="2" t="s">
        <v>24</v>
      </c>
      <c r="E73" s="5">
        <v>45530.487500000003</v>
      </c>
      <c r="F73" s="2" t="s">
        <v>556</v>
      </c>
      <c r="G73" s="2">
        <v>40402</v>
      </c>
      <c r="H73" s="2">
        <v>0</v>
      </c>
      <c r="I73" s="2">
        <v>0</v>
      </c>
      <c r="J73" s="2">
        <v>0</v>
      </c>
      <c r="K73" s="2" t="s">
        <v>25</v>
      </c>
      <c r="L73" s="4">
        <v>373.72</v>
      </c>
      <c r="M73" s="2"/>
      <c r="N73" t="s">
        <v>4457</v>
      </c>
    </row>
    <row r="74" spans="1:14" ht="66" x14ac:dyDescent="0.3">
      <c r="A74" s="2" t="s">
        <v>557</v>
      </c>
      <c r="B74" s="2" t="str">
        <f>HYPERLINK("https://www.wishtv.com/contests/win-tickets-to-see-the-indy-eleven-play-september-14/")</f>
        <v>https://www.wishtv.com/contests/win-tickets-to-see-the-indy-eleven-play-september-14/</v>
      </c>
      <c r="C74" s="2" t="s">
        <v>55</v>
      </c>
      <c r="D74" s="2" t="s">
        <v>38</v>
      </c>
      <c r="E74" s="5">
        <v>45530.333333333343</v>
      </c>
      <c r="F74" s="2"/>
      <c r="G74" s="2">
        <v>568116</v>
      </c>
      <c r="H74" s="2">
        <v>0</v>
      </c>
      <c r="I74" s="2">
        <v>0</v>
      </c>
      <c r="J74" s="2">
        <v>0</v>
      </c>
      <c r="K74" s="2"/>
      <c r="L74" s="4">
        <v>5255.07</v>
      </c>
      <c r="M74" s="2"/>
      <c r="N74" t="s">
        <v>4458</v>
      </c>
    </row>
    <row r="75" spans="1:14" ht="184.8" x14ac:dyDescent="0.3">
      <c r="A75" s="2" t="s">
        <v>34</v>
      </c>
      <c r="B75" s="2" t="str">
        <f>HYPERLINK("https://www.heraldbulletin.com/sports/coming-up/article_88334978-6374-11ef-9a1e-4f0494f8aee2.html")</f>
        <v>https://www.heraldbulletin.com/sports/coming-up/article_88334978-6374-11ef-9a1e-4f0494f8aee2.html</v>
      </c>
      <c r="C75" s="2"/>
      <c r="D75" s="2" t="s">
        <v>35</v>
      </c>
      <c r="E75" s="5">
        <v>45530.32298611111</v>
      </c>
      <c r="F75" s="2" t="s">
        <v>514</v>
      </c>
      <c r="G75" s="2">
        <v>50260</v>
      </c>
      <c r="H75" s="2">
        <v>0</v>
      </c>
      <c r="I75" s="2">
        <v>0</v>
      </c>
      <c r="J75" s="2">
        <v>1</v>
      </c>
      <c r="K75" s="2" t="s">
        <v>25</v>
      </c>
      <c r="L75" s="4">
        <v>464.9</v>
      </c>
      <c r="M75" s="2"/>
      <c r="N75" t="s">
        <v>4458</v>
      </c>
    </row>
    <row r="76" spans="1:14" ht="132" x14ac:dyDescent="0.3">
      <c r="A76" s="2" t="s">
        <v>558</v>
      </c>
      <c r="B76" s="2" t="str">
        <f>HYPERLINK("https://www.indystar.com/story/sports/columnists/gregg-doyel/2024/08/26/indy-eleven-logan-neidlinger-in-open-cup-semis-vs-sporting-kc-of-mls/74904277007/")</f>
        <v>https://www.indystar.com/story/sports/columnists/gregg-doyel/2024/08/26/indy-eleven-logan-neidlinger-in-open-cup-semis-vs-sporting-kc-of-mls/74904277007/</v>
      </c>
      <c r="C76" s="2"/>
      <c r="D76" s="2" t="s">
        <v>321</v>
      </c>
      <c r="E76" s="5">
        <v>45530.202210648153</v>
      </c>
      <c r="F76" s="2" t="s">
        <v>559</v>
      </c>
      <c r="G76" s="2">
        <v>3061566</v>
      </c>
      <c r="H76" s="2">
        <v>1</v>
      </c>
      <c r="I76" s="2">
        <v>92242</v>
      </c>
      <c r="J76" s="2">
        <v>70</v>
      </c>
      <c r="K76" s="2" t="s">
        <v>25</v>
      </c>
      <c r="L76" s="4">
        <v>28319.49</v>
      </c>
      <c r="M76" s="2"/>
      <c r="N76" t="s">
        <v>4458</v>
      </c>
    </row>
    <row r="77" spans="1:14" ht="118.8" x14ac:dyDescent="0.3">
      <c r="A77" s="2" t="s">
        <v>560</v>
      </c>
      <c r="B77" s="2" t="str">
        <f>HYPERLINK("https://www.sportingkc.com/news/tune-in-watch-free-on-apple-tv-as-sporting-kc-hosts-indy-eleven-on-tuesday-in-u-s-open-cup-semifinal")</f>
        <v>https://www.sportingkc.com/news/tune-in-watch-free-on-apple-tv-as-sporting-kc-hosts-indy-eleven-on-tuesday-in-u-s-open-cup-semifinal</v>
      </c>
      <c r="C77" s="2" t="s">
        <v>289</v>
      </c>
      <c r="D77" s="2" t="s">
        <v>97</v>
      </c>
      <c r="E77" s="5">
        <v>45529.880740740737</v>
      </c>
      <c r="F77" s="2" t="s">
        <v>550</v>
      </c>
      <c r="G77" s="2">
        <v>54845</v>
      </c>
      <c r="H77" s="2">
        <v>0</v>
      </c>
      <c r="I77" s="2">
        <v>0</v>
      </c>
      <c r="J77" s="2">
        <v>0</v>
      </c>
      <c r="K77" s="2" t="s">
        <v>25</v>
      </c>
      <c r="L77" s="4">
        <v>507.32</v>
      </c>
      <c r="M77" s="2"/>
      <c r="N77" t="s">
        <v>4457</v>
      </c>
    </row>
    <row r="78" spans="1:14" ht="145.19999999999999" x14ac:dyDescent="0.3">
      <c r="A78" s="2" t="s">
        <v>561</v>
      </c>
      <c r="B78" s="2" t="str">
        <f>HYPERLINK("https://www.wiredfocus.com/tune-in-watch-free-on-apple-tv-as-sporting-kc-hosts-indy-eleven-on-tuesday-in-u-s-open-cup-semifinal-sporting-kansas-city/")</f>
        <v>https://www.wiredfocus.com/tune-in-watch-free-on-apple-tv-as-sporting-kc-hosts-indy-eleven-on-tuesday-in-u-s-open-cup-semifinal-sporting-kansas-city/</v>
      </c>
      <c r="C78" s="2"/>
      <c r="D78" s="2" t="s">
        <v>562</v>
      </c>
      <c r="E78" s="5">
        <v>45529.869560185187</v>
      </c>
      <c r="F78" s="2" t="s">
        <v>563</v>
      </c>
      <c r="G78" s="2">
        <v>1389</v>
      </c>
      <c r="H78" s="2">
        <v>0</v>
      </c>
      <c r="I78" s="2">
        <v>0</v>
      </c>
      <c r="J78" s="2">
        <v>0</v>
      </c>
      <c r="K78" s="2" t="s">
        <v>25</v>
      </c>
      <c r="L78" s="4">
        <v>12.85</v>
      </c>
      <c r="M78" s="2"/>
      <c r="N78" t="s">
        <v>4457</v>
      </c>
    </row>
    <row r="79" spans="1:14" ht="198" x14ac:dyDescent="0.3">
      <c r="A79" s="2" t="s">
        <v>566</v>
      </c>
      <c r="B79" s="2" t="str">
        <f>HYPERLINK("https://www.sportingkc.com/news/by-the-numbers-sporting-kc-vs-indy-eleven-aug-27-2024")</f>
        <v>https://www.sportingkc.com/news/by-the-numbers-sporting-kc-vs-indy-eleven-aug-27-2024</v>
      </c>
      <c r="C79" s="2" t="s">
        <v>231</v>
      </c>
      <c r="D79" s="2" t="s">
        <v>97</v>
      </c>
      <c r="E79" s="5">
        <v>45529.705393518518</v>
      </c>
      <c r="F79" s="2" t="s">
        <v>567</v>
      </c>
      <c r="G79" s="2">
        <v>54845</v>
      </c>
      <c r="H79" s="2">
        <v>0</v>
      </c>
      <c r="I79" s="2">
        <v>0</v>
      </c>
      <c r="J79" s="2">
        <v>0</v>
      </c>
      <c r="K79" s="2" t="s">
        <v>25</v>
      </c>
      <c r="L79" s="4">
        <v>507.32</v>
      </c>
      <c r="M79" s="2"/>
      <c r="N79" t="s">
        <v>4457</v>
      </c>
    </row>
    <row r="80" spans="1:14" ht="158.4" x14ac:dyDescent="0.3">
      <c r="A80" s="2" t="s">
        <v>568</v>
      </c>
      <c r="B80" s="2" t="str">
        <f>HYPERLINK("https://www.sportingkc.com/news/five-things-presented-by-children-s-mercy-kansas-city-sporting-takes-on-indy-eleven-with-spot-in-u-s-open-cup-final-on-the-line-aug-27-2024")</f>
        <v>https://www.sportingkc.com/news/five-things-presented-by-children-s-mercy-kansas-city-sporting-takes-on-indy-eleven-with-spot-in-u-s-open-cup-final-on-the-line-aug-27-2024</v>
      </c>
      <c r="C80" s="2" t="s">
        <v>96</v>
      </c>
      <c r="D80" s="2" t="s">
        <v>97</v>
      </c>
      <c r="E80" s="5">
        <v>45529.705393518518</v>
      </c>
      <c r="F80" s="2" t="s">
        <v>569</v>
      </c>
      <c r="G80" s="2">
        <v>54845</v>
      </c>
      <c r="H80" s="2">
        <v>0</v>
      </c>
      <c r="I80" s="2">
        <v>0</v>
      </c>
      <c r="J80" s="2">
        <v>0</v>
      </c>
      <c r="K80" s="2" t="s">
        <v>25</v>
      </c>
      <c r="L80" s="4">
        <v>507.32</v>
      </c>
      <c r="M80" s="2"/>
      <c r="N80" t="s">
        <v>4457</v>
      </c>
    </row>
    <row r="81" spans="1:14" ht="224.4" x14ac:dyDescent="0.3">
      <c r="A81" s="2" t="s">
        <v>570</v>
      </c>
      <c r="B81" s="2" t="str">
        <f>HYPERLINK("https://the-globe.info/2024/08/25/all-goals-from-las-vegas-lights-fc-vs-indy-eleven-in-the-1st-half-youtube/")</f>
        <v>https://the-globe.info/2024/08/25/all-goals-from-las-vegas-lights-fc-vs-indy-eleven-in-the-1st-half-youtube/</v>
      </c>
      <c r="C81" s="2"/>
      <c r="D81" s="2" t="s">
        <v>571</v>
      </c>
      <c r="E81" s="5">
        <v>45529.386990740742</v>
      </c>
      <c r="F81" s="2" t="s">
        <v>572</v>
      </c>
      <c r="G81" s="2"/>
      <c r="H81" s="2">
        <v>0</v>
      </c>
      <c r="I81" s="2">
        <v>0</v>
      </c>
      <c r="J81" s="2">
        <v>0</v>
      </c>
      <c r="K81" s="2" t="s">
        <v>25</v>
      </c>
      <c r="L81" s="2"/>
      <c r="M81" s="2"/>
      <c r="N81" t="s">
        <v>4459</v>
      </c>
    </row>
    <row r="82" spans="1:14" ht="184.8" x14ac:dyDescent="0.3">
      <c r="A82" s="2" t="s">
        <v>34</v>
      </c>
      <c r="B82" s="2" t="str">
        <f>HYPERLINK("https://www.heraldbulletin.com/sports/coming-up/article_9321d860-625f-11ef-bdbe-73985afc8c9e.html")</f>
        <v>https://www.heraldbulletin.com/sports/coming-up/article_9321d860-625f-11ef-bdbe-73985afc8c9e.html</v>
      </c>
      <c r="C82" s="2"/>
      <c r="D82" s="2" t="s">
        <v>35</v>
      </c>
      <c r="E82" s="5">
        <v>45529.298460648148</v>
      </c>
      <c r="F82" s="2" t="s">
        <v>514</v>
      </c>
      <c r="G82" s="2">
        <v>50260</v>
      </c>
      <c r="H82" s="2">
        <v>0</v>
      </c>
      <c r="I82" s="2">
        <v>0</v>
      </c>
      <c r="J82" s="2">
        <v>1</v>
      </c>
      <c r="K82" s="2" t="s">
        <v>25</v>
      </c>
      <c r="L82" s="4">
        <v>464.9</v>
      </c>
      <c r="M82" s="2"/>
      <c r="N82" t="s">
        <v>4458</v>
      </c>
    </row>
    <row r="83" spans="1:14" ht="211.2" x14ac:dyDescent="0.3">
      <c r="A83" s="2" t="s">
        <v>573</v>
      </c>
      <c r="B83" s="2" t="str">
        <f>HYPERLINK("https://www.oursportscentral.com/services/releases/eleven-cant-find-second-half-equalizer/n-6140189")</f>
        <v>https://www.oursportscentral.com/services/releases/eleven-cant-find-second-half-equalizer/n-6140189</v>
      </c>
      <c r="C83" s="2"/>
      <c r="D83" s="2" t="s">
        <v>24</v>
      </c>
      <c r="E83" s="5">
        <v>45529.229861111111</v>
      </c>
      <c r="F83" s="2" t="s">
        <v>574</v>
      </c>
      <c r="G83" s="2">
        <v>40402</v>
      </c>
      <c r="H83" s="2">
        <v>0</v>
      </c>
      <c r="I83" s="2">
        <v>0</v>
      </c>
      <c r="J83" s="2">
        <v>0</v>
      </c>
      <c r="K83" s="2" t="s">
        <v>25</v>
      </c>
      <c r="L83" s="4">
        <v>373.72</v>
      </c>
      <c r="M83" s="2"/>
      <c r="N83" t="s">
        <v>4457</v>
      </c>
    </row>
    <row r="84" spans="1:14" ht="171.6" x14ac:dyDescent="0.3">
      <c r="A84" s="2" t="s">
        <v>575</v>
      </c>
      <c r="B84" s="2" t="str">
        <f>HYPERLINK("https://www.oursportscentral.com/services/releases/las-vegas-lights-fc-vs-indy-eleven--game-highlights/n-6140183")</f>
        <v>https://www.oursportscentral.com/services/releases/las-vegas-lights-fc-vs-indy-eleven--game-highlights/n-6140183</v>
      </c>
      <c r="C84" s="2"/>
      <c r="D84" s="2" t="s">
        <v>24</v>
      </c>
      <c r="E84" s="5">
        <v>45529.137499999997</v>
      </c>
      <c r="F84" s="2" t="s">
        <v>576</v>
      </c>
      <c r="G84" s="2">
        <v>40402</v>
      </c>
      <c r="H84" s="2">
        <v>0</v>
      </c>
      <c r="I84" s="2">
        <v>0</v>
      </c>
      <c r="J84" s="2">
        <v>0</v>
      </c>
      <c r="K84" s="2" t="s">
        <v>25</v>
      </c>
      <c r="L84" s="4">
        <v>373.72</v>
      </c>
      <c r="M84" s="2"/>
      <c r="N84" t="s">
        <v>4457</v>
      </c>
    </row>
    <row r="85" spans="1:14" ht="369.6" x14ac:dyDescent="0.3">
      <c r="A85" s="2" t="s">
        <v>577</v>
      </c>
      <c r="B85" s="2" t="str">
        <f>HYPERLINK("https://www.uslchampionship.com/lasvegaslightsfc-indyeleven-2416490")</f>
        <v>https://www.uslchampionship.com/lasvegaslightsfc-indyeleven-2416490</v>
      </c>
      <c r="C85" s="2"/>
      <c r="D85" s="2" t="s">
        <v>28</v>
      </c>
      <c r="E85" s="5">
        <v>45529.046400462961</v>
      </c>
      <c r="F85" s="2" t="s">
        <v>578</v>
      </c>
      <c r="G85" s="2">
        <v>44392</v>
      </c>
      <c r="H85" s="2">
        <v>0</v>
      </c>
      <c r="I85" s="2">
        <v>0</v>
      </c>
      <c r="J85" s="2">
        <v>0</v>
      </c>
      <c r="K85" s="2" t="s">
        <v>47</v>
      </c>
      <c r="L85" s="4">
        <v>410.63</v>
      </c>
      <c r="M85" s="2"/>
      <c r="N85" t="s">
        <v>4457</v>
      </c>
    </row>
    <row r="86" spans="1:14" ht="118.8" x14ac:dyDescent="0.3">
      <c r="A86" s="2" t="s">
        <v>579</v>
      </c>
      <c r="B86" s="2" t="str">
        <f>HYPERLINK("https://www.oursportscentral.com/services/releases/all-goals-from-las-vegas-lights-fc-vs-indy-eleven-in-the-1st-half/n-6140120")</f>
        <v>https://www.oursportscentral.com/services/releases/all-goals-from-las-vegas-lights-fc-vs-indy-eleven-in-the-1st-half/n-6140120</v>
      </c>
      <c r="C86" s="2"/>
      <c r="D86" s="2" t="s">
        <v>24</v>
      </c>
      <c r="E86" s="5">
        <v>45528.864583333343</v>
      </c>
      <c r="F86" s="2" t="s">
        <v>580</v>
      </c>
      <c r="G86" s="2">
        <v>40402</v>
      </c>
      <c r="H86" s="2">
        <v>0</v>
      </c>
      <c r="I86" s="2">
        <v>0</v>
      </c>
      <c r="J86" s="2">
        <v>0</v>
      </c>
      <c r="K86" s="2" t="s">
        <v>25</v>
      </c>
      <c r="L86" s="4">
        <v>373.72</v>
      </c>
      <c r="M86" s="2"/>
      <c r="N86" t="s">
        <v>4457</v>
      </c>
    </row>
    <row r="87" spans="1:14" ht="237.6" x14ac:dyDescent="0.3">
      <c r="A87" s="2" t="s">
        <v>581</v>
      </c>
      <c r="B87" s="2" t="str">
        <f>HYPERLINK("https://1075thefan.com/399241/soccer-saturday-8-24-24/")</f>
        <v>https://1075thefan.com/399241/soccer-saturday-8-24-24/</v>
      </c>
      <c r="C87" s="2" t="s">
        <v>74</v>
      </c>
      <c r="D87" s="2" t="s">
        <v>75</v>
      </c>
      <c r="E87" s="5">
        <v>45528.42527777778</v>
      </c>
      <c r="F87" s="2" t="s">
        <v>582</v>
      </c>
      <c r="G87" s="2">
        <v>208881</v>
      </c>
      <c r="H87" s="2">
        <v>0</v>
      </c>
      <c r="I87" s="2">
        <v>0</v>
      </c>
      <c r="J87" s="2">
        <v>0</v>
      </c>
      <c r="K87" s="2" t="s">
        <v>31</v>
      </c>
      <c r="L87" s="4">
        <v>1932.15</v>
      </c>
      <c r="M87" s="2"/>
      <c r="N87" t="s">
        <v>4458</v>
      </c>
    </row>
    <row r="88" spans="1:14" ht="198" x14ac:dyDescent="0.3">
      <c r="A88" s="2" t="s">
        <v>583</v>
      </c>
      <c r="B88" s="2" t="str">
        <f>HYPERLINK("https://www.newsbreak.com/fansided-510057/3572090625015-could-indy-eleven-really-win-the-u-s-open-cup")</f>
        <v>https://www.newsbreak.com/fansided-510057/3572090625015-could-indy-eleven-really-win-the-u-s-open-cup</v>
      </c>
      <c r="C88" s="2" t="s">
        <v>453</v>
      </c>
      <c r="D88" s="2" t="s">
        <v>360</v>
      </c>
      <c r="E88" s="5">
        <v>45527.77542824074</v>
      </c>
      <c r="F88" s="2" t="s">
        <v>451</v>
      </c>
      <c r="G88" s="2">
        <v>18777858</v>
      </c>
      <c r="H88" s="2">
        <v>0</v>
      </c>
      <c r="I88" s="2">
        <v>0</v>
      </c>
      <c r="J88" s="2">
        <v>0</v>
      </c>
      <c r="K88" s="2" t="s">
        <v>25</v>
      </c>
      <c r="L88" s="4">
        <v>173695.19</v>
      </c>
      <c r="M88" s="2"/>
      <c r="N88" t="s">
        <v>4457</v>
      </c>
    </row>
    <row r="89" spans="1:14" ht="118.8" x14ac:dyDescent="0.3">
      <c r="A89" s="2" t="s">
        <v>583</v>
      </c>
      <c r="B89" s="2" t="str">
        <f>HYPERLINK("https://mlsmultiplex.com/posts/could-indy-eleven-really-win-the-u-s-open-cup-01j60mqb1jer")</f>
        <v>https://mlsmultiplex.com/posts/could-indy-eleven-really-win-the-u-s-open-cup-01j60mqb1jer</v>
      </c>
      <c r="C89" s="2" t="s">
        <v>453</v>
      </c>
      <c r="D89" s="2" t="s">
        <v>454</v>
      </c>
      <c r="E89" s="5">
        <v>45527.765439814822</v>
      </c>
      <c r="F89" s="2" t="s">
        <v>584</v>
      </c>
      <c r="G89" s="2">
        <v>26876</v>
      </c>
      <c r="H89" s="2">
        <v>0</v>
      </c>
      <c r="I89" s="2">
        <v>0</v>
      </c>
      <c r="J89" s="2">
        <v>48</v>
      </c>
      <c r="K89" s="2" t="s">
        <v>25</v>
      </c>
      <c r="L89" s="4">
        <v>248.6</v>
      </c>
      <c r="M89" s="2"/>
      <c r="N89" t="s">
        <v>4457</v>
      </c>
    </row>
    <row r="90" spans="1:14" ht="224.4" x14ac:dyDescent="0.3">
      <c r="A90" s="2" t="s">
        <v>585</v>
      </c>
      <c r="B90" s="2" t="str">
        <f>HYPERLINK("https://www.oursportscentral.com/services/releases/indy-eleven-acquires-maalique-foster-from-colorado-springs/n-6139537")</f>
        <v>https://www.oursportscentral.com/services/releases/indy-eleven-acquires-maalique-foster-from-colorado-springs/n-6139537</v>
      </c>
      <c r="C90" s="2"/>
      <c r="D90" s="2" t="s">
        <v>24</v>
      </c>
      <c r="E90" s="5">
        <v>45527.591666666667</v>
      </c>
      <c r="F90" s="2" t="s">
        <v>586</v>
      </c>
      <c r="G90" s="2">
        <v>40402</v>
      </c>
      <c r="H90" s="2">
        <v>0</v>
      </c>
      <c r="I90" s="2">
        <v>0</v>
      </c>
      <c r="J90" s="2">
        <v>0</v>
      </c>
      <c r="K90" s="2" t="s">
        <v>25</v>
      </c>
      <c r="L90" s="4">
        <v>373.72</v>
      </c>
      <c r="M90" s="2"/>
      <c r="N90" t="s">
        <v>4457</v>
      </c>
    </row>
    <row r="91" spans="1:14" ht="409.6" x14ac:dyDescent="0.3">
      <c r="A91" s="2" t="s">
        <v>587</v>
      </c>
      <c r="B91" s="2" t="str">
        <f>HYPERLINK("https://www.uslchampionship.com/news_article/show/1316550")</f>
        <v>https://www.uslchampionship.com/news_article/show/1316550</v>
      </c>
      <c r="C91" s="2" t="s">
        <v>26</v>
      </c>
      <c r="D91" s="2" t="s">
        <v>28</v>
      </c>
      <c r="E91" s="5">
        <v>45527.551388888889</v>
      </c>
      <c r="F91" s="2" t="s">
        <v>588</v>
      </c>
      <c r="G91" s="2">
        <v>44392</v>
      </c>
      <c r="H91" s="2">
        <v>0</v>
      </c>
      <c r="I91" s="2">
        <v>0</v>
      </c>
      <c r="J91" s="2">
        <v>46</v>
      </c>
      <c r="K91" s="2" t="s">
        <v>25</v>
      </c>
      <c r="L91" s="4">
        <v>410.63</v>
      </c>
      <c r="M91" s="2"/>
      <c r="N91" t="s">
        <v>4457</v>
      </c>
    </row>
    <row r="92" spans="1:14" ht="158.4" x14ac:dyDescent="0.3">
      <c r="A92" s="2" t="s">
        <v>589</v>
      </c>
      <c r="B92" s="2" t="str">
        <f>HYPERLINK("https://www.uslchampionship.com/news_article/show/1316539")</f>
        <v>https://www.uslchampionship.com/news_article/show/1316539</v>
      </c>
      <c r="C92" s="2" t="s">
        <v>45</v>
      </c>
      <c r="D92" s="2" t="s">
        <v>28</v>
      </c>
      <c r="E92" s="5">
        <v>45527.470833333333</v>
      </c>
      <c r="F92" s="2" t="s">
        <v>590</v>
      </c>
      <c r="G92" s="2">
        <v>44392</v>
      </c>
      <c r="H92" s="2">
        <v>0</v>
      </c>
      <c r="I92" s="2">
        <v>0</v>
      </c>
      <c r="J92" s="2">
        <v>0</v>
      </c>
      <c r="K92" s="2" t="s">
        <v>31</v>
      </c>
      <c r="L92" s="4">
        <v>410.63</v>
      </c>
      <c r="M92" s="2"/>
      <c r="N92" t="s">
        <v>4457</v>
      </c>
    </row>
    <row r="93" spans="1:14" ht="158.4" x14ac:dyDescent="0.3">
      <c r="A93" s="2" t="s">
        <v>591</v>
      </c>
      <c r="B93" s="2" t="str">
        <f>HYPERLINK("https://www.oursportscentral.com/services/releases/switchbacks-fc-announce-transfer-of-maalique-foster-to-indy-eleven/n-6139453")</f>
        <v>https://www.oursportscentral.com/services/releases/switchbacks-fc-announce-transfer-of-maalique-foster-to-indy-eleven/n-6139453</v>
      </c>
      <c r="C93" s="2"/>
      <c r="D93" s="2" t="s">
        <v>24</v>
      </c>
      <c r="E93" s="5">
        <v>45527.34097222222</v>
      </c>
      <c r="F93" s="2" t="s">
        <v>592</v>
      </c>
      <c r="G93" s="2">
        <v>40402</v>
      </c>
      <c r="H93" s="2">
        <v>0</v>
      </c>
      <c r="I93" s="2">
        <v>0</v>
      </c>
      <c r="J93" s="2">
        <v>0</v>
      </c>
      <c r="K93" s="2" t="s">
        <v>25</v>
      </c>
      <c r="L93" s="4">
        <v>373.72</v>
      </c>
      <c r="M93" s="2"/>
      <c r="N93" t="s">
        <v>4457</v>
      </c>
    </row>
    <row r="94" spans="1:14" ht="237.6" x14ac:dyDescent="0.3">
      <c r="A94" s="2" t="s">
        <v>34</v>
      </c>
      <c r="B94" s="2" t="str">
        <f>HYPERLINK("https://www.heraldbulletin.com/sports/coming-up/article_1eca71f4-60b9-11ef-93fb-57785b49a5f9.html")</f>
        <v>https://www.heraldbulletin.com/sports/coming-up/article_1eca71f4-60b9-11ef-93fb-57785b49a5f9.html</v>
      </c>
      <c r="C94" s="2"/>
      <c r="D94" s="2" t="s">
        <v>35</v>
      </c>
      <c r="E94" s="5">
        <v>45527.296643518523</v>
      </c>
      <c r="F94" s="2" t="s">
        <v>593</v>
      </c>
      <c r="G94" s="2">
        <v>50260</v>
      </c>
      <c r="H94" s="2">
        <v>0</v>
      </c>
      <c r="I94" s="2">
        <v>0</v>
      </c>
      <c r="J94" s="2">
        <v>1</v>
      </c>
      <c r="K94" s="2" t="s">
        <v>25</v>
      </c>
      <c r="L94" s="4">
        <v>464.9</v>
      </c>
      <c r="M94" s="2"/>
      <c r="N94" t="s">
        <v>4458</v>
      </c>
    </row>
    <row r="95" spans="1:14" ht="171.6" x14ac:dyDescent="0.3">
      <c r="A95" s="2" t="s">
        <v>594</v>
      </c>
      <c r="B95" s="2" t="str">
        <f>HYPERLINK("https://mlsmultiplex.com/posts/against-all-odds-and-under-pressure-indy-eleven-makes-history-in-the-u-s-open-cup-01j5xks1wzry")</f>
        <v>https://mlsmultiplex.com/posts/against-all-odds-and-under-pressure-indy-eleven-makes-history-in-the-u-s-open-cup-01j5xks1wzry</v>
      </c>
      <c r="C95" s="2" t="s">
        <v>453</v>
      </c>
      <c r="D95" s="2" t="s">
        <v>454</v>
      </c>
      <c r="E95" s="5">
        <v>45526.587060185193</v>
      </c>
      <c r="F95" s="2" t="s">
        <v>595</v>
      </c>
      <c r="G95" s="2">
        <v>26876</v>
      </c>
      <c r="H95" s="2">
        <v>0</v>
      </c>
      <c r="I95" s="2">
        <v>0</v>
      </c>
      <c r="J95" s="2">
        <v>9</v>
      </c>
      <c r="K95" s="2" t="s">
        <v>47</v>
      </c>
      <c r="L95" s="4">
        <v>248.6</v>
      </c>
      <c r="M95" s="2"/>
      <c r="N95" t="s">
        <v>4457</v>
      </c>
    </row>
    <row r="96" spans="1:14" ht="409.6" x14ac:dyDescent="0.3">
      <c r="A96" s="2" t="s">
        <v>596</v>
      </c>
      <c r="B96" s="2" t="str">
        <f>HYPERLINK("https://www.telecomasia.net/sports-betting/tips/football/sporting-kansas-city-vs-indy-eleven-prediction-betting-tips-and-odds-28-august-2024/")</f>
        <v>https://www.telecomasia.net/sports-betting/tips/football/sporting-kansas-city-vs-indy-eleven-prediction-betting-tips-and-odds-28-august-2024/</v>
      </c>
      <c r="C96" s="2" t="s">
        <v>298</v>
      </c>
      <c r="D96" s="2" t="s">
        <v>299</v>
      </c>
      <c r="E96" s="5">
        <v>45526.490717592591</v>
      </c>
      <c r="F96" s="2" t="s">
        <v>597</v>
      </c>
      <c r="G96" s="2">
        <v>92416</v>
      </c>
      <c r="H96" s="2">
        <v>0</v>
      </c>
      <c r="I96" s="2">
        <v>0</v>
      </c>
      <c r="J96" s="2">
        <v>0</v>
      </c>
      <c r="K96" s="2" t="s">
        <v>25</v>
      </c>
      <c r="L96" s="4">
        <v>854.85</v>
      </c>
      <c r="M96" s="2"/>
      <c r="N96" t="s">
        <v>4459</v>
      </c>
    </row>
    <row r="97" spans="1:14" ht="237.6" x14ac:dyDescent="0.3">
      <c r="A97" s="2" t="s">
        <v>34</v>
      </c>
      <c r="B97" s="2" t="str">
        <f>HYPERLINK("https://www.heraldbulletin.com/sports/coming-up/article_23d5aff6-5f83-11ef-886c-1b4ef779cec5.html")</f>
        <v>https://www.heraldbulletin.com/sports/coming-up/article_23d5aff6-5f83-11ef-886c-1b4ef779cec5.html</v>
      </c>
      <c r="C97" s="2"/>
      <c r="D97" s="2" t="s">
        <v>35</v>
      </c>
      <c r="E97" s="5">
        <v>45526.303668981483</v>
      </c>
      <c r="F97" s="2" t="s">
        <v>593</v>
      </c>
      <c r="G97" s="2">
        <v>50260</v>
      </c>
      <c r="H97" s="2">
        <v>0</v>
      </c>
      <c r="I97" s="2">
        <v>0</v>
      </c>
      <c r="J97" s="2">
        <v>11</v>
      </c>
      <c r="K97" s="2" t="s">
        <v>25</v>
      </c>
      <c r="L97" s="4">
        <v>464.9</v>
      </c>
      <c r="M97" s="2"/>
      <c r="N97" t="s">
        <v>4458</v>
      </c>
    </row>
    <row r="98" spans="1:14" ht="224.4" x14ac:dyDescent="0.3">
      <c r="A98" s="2" t="s">
        <v>598</v>
      </c>
      <c r="B98" s="2" t="str">
        <f>HYPERLINK("https://mlsmultiplex.com/posts/indy-eleven-one-step-away-from-concacaf-championship-while-competing-in-the-usl-01j5v3dwmztw")</f>
        <v>https://mlsmultiplex.com/posts/indy-eleven-one-step-away-from-concacaf-championship-while-competing-in-the-usl-01j5v3dwmztw</v>
      </c>
      <c r="C98" s="2" t="s">
        <v>453</v>
      </c>
      <c r="D98" s="2" t="s">
        <v>454</v>
      </c>
      <c r="E98" s="5">
        <v>45525.612951388888</v>
      </c>
      <c r="F98" s="2" t="s">
        <v>599</v>
      </c>
      <c r="G98" s="2">
        <v>26876</v>
      </c>
      <c r="H98" s="2">
        <v>0</v>
      </c>
      <c r="I98" s="2">
        <v>0</v>
      </c>
      <c r="J98" s="2">
        <v>112</v>
      </c>
      <c r="K98" s="2" t="s">
        <v>25</v>
      </c>
      <c r="L98" s="4">
        <v>248.6</v>
      </c>
      <c r="M98" s="2"/>
      <c r="N98" t="s">
        <v>4457</v>
      </c>
    </row>
    <row r="99" spans="1:14" ht="409.2" x14ac:dyDescent="0.3">
      <c r="A99" s="2" t="s">
        <v>600</v>
      </c>
      <c r="B99" s="2" t="str">
        <f>HYPERLINK("https://www.football-addict.com/en/article/home/on-verge-of-miracle-champions-cup-within-indy-eleven-s-reach/66c61fb8ed4aa874e60fcd34")</f>
        <v>https://www.football-addict.com/en/article/home/on-verge-of-miracle-champions-cup-within-indy-eleven-s-reach/66c61fb8ed4aa874e60fcd34</v>
      </c>
      <c r="C99" s="2"/>
      <c r="D99" s="2" t="s">
        <v>287</v>
      </c>
      <c r="E99" s="5">
        <v>45525.554097222222</v>
      </c>
      <c r="F99" s="2" t="s">
        <v>601</v>
      </c>
      <c r="G99" s="2">
        <v>113660</v>
      </c>
      <c r="H99" s="2">
        <v>0</v>
      </c>
      <c r="I99" s="2">
        <v>0</v>
      </c>
      <c r="J99" s="2">
        <v>0</v>
      </c>
      <c r="K99" s="2" t="s">
        <v>25</v>
      </c>
      <c r="L99" s="4">
        <v>1051.3599999999999</v>
      </c>
      <c r="M99" s="2"/>
      <c r="N99" t="s">
        <v>4457</v>
      </c>
    </row>
    <row r="100" spans="1:14" ht="409.2" x14ac:dyDescent="0.3">
      <c r="A100" s="2" t="s">
        <v>600</v>
      </c>
      <c r="B100" s="2" t="str">
        <f>HYPERLINK("https://worldsoccertalk.com/news/on-verge-of-miracle-champions-cup-within-indy-elevens-reach/")</f>
        <v>https://worldsoccertalk.com/news/on-verge-of-miracle-champions-cup-within-indy-elevens-reach/</v>
      </c>
      <c r="C100" s="2" t="s">
        <v>602</v>
      </c>
      <c r="D100" s="2" t="s">
        <v>510</v>
      </c>
      <c r="E100" s="5">
        <v>45525.547488425917</v>
      </c>
      <c r="F100" s="2" t="s">
        <v>603</v>
      </c>
      <c r="G100" s="2">
        <v>459811</v>
      </c>
      <c r="H100" s="2">
        <v>0</v>
      </c>
      <c r="I100" s="2">
        <v>0</v>
      </c>
      <c r="J100" s="2">
        <v>2</v>
      </c>
      <c r="K100" s="2" t="s">
        <v>25</v>
      </c>
      <c r="L100" s="4">
        <v>4253.25</v>
      </c>
      <c r="M100" s="2"/>
      <c r="N100" t="s">
        <v>4459</v>
      </c>
    </row>
    <row r="101" spans="1:14" ht="105.6" x14ac:dyDescent="0.3">
      <c r="A101" s="2" t="s">
        <v>34</v>
      </c>
      <c r="B101" s="2" t="str">
        <f>HYPERLINK("https://www.heraldbulletin.com/sports/coming-up/article_b8926eb2-5ea8-11ef-ab26-2b0870a0d1b2.html")</f>
        <v>https://www.heraldbulletin.com/sports/coming-up/article_b8926eb2-5ea8-11ef-ab26-2b0870a0d1b2.html</v>
      </c>
      <c r="C101" s="2"/>
      <c r="D101" s="2" t="s">
        <v>35</v>
      </c>
      <c r="E101" s="5">
        <v>45525.303680555553</v>
      </c>
      <c r="F101" s="2" t="s">
        <v>604</v>
      </c>
      <c r="G101" s="2">
        <v>50260</v>
      </c>
      <c r="H101" s="2">
        <v>0</v>
      </c>
      <c r="I101" s="2">
        <v>0</v>
      </c>
      <c r="J101" s="2">
        <v>45</v>
      </c>
      <c r="K101" s="2" t="s">
        <v>25</v>
      </c>
      <c r="L101" s="4">
        <v>464.9</v>
      </c>
      <c r="M101" s="2"/>
      <c r="N101" t="s">
        <v>4458</v>
      </c>
    </row>
    <row r="102" spans="1:14" ht="198" x14ac:dyDescent="0.3">
      <c r="A102" s="2" t="s">
        <v>605</v>
      </c>
      <c r="B102" s="2" t="str">
        <f>HYPERLINK("https://do317.com/events/2024/8/31/indy-eleven-vs-pittsburgh-riverhounds-sc-tickets")</f>
        <v>https://do317.com/events/2024/8/31/indy-eleven-vs-pittsburgh-riverhounds-sc-tickets</v>
      </c>
      <c r="C102" s="2" t="s">
        <v>606</v>
      </c>
      <c r="D102" s="2" t="s">
        <v>156</v>
      </c>
      <c r="E102" s="5">
        <v>45524.57671296296</v>
      </c>
      <c r="F102" s="2" t="s">
        <v>607</v>
      </c>
      <c r="G102" s="2">
        <v>50131</v>
      </c>
      <c r="H102" s="2">
        <v>0</v>
      </c>
      <c r="I102" s="2">
        <v>0</v>
      </c>
      <c r="J102" s="2">
        <v>1</v>
      </c>
      <c r="K102" s="2" t="s">
        <v>47</v>
      </c>
      <c r="L102" s="4">
        <v>463.71</v>
      </c>
      <c r="M102" s="2"/>
      <c r="N102" t="s">
        <v>4458</v>
      </c>
    </row>
    <row r="103" spans="1:14" ht="303.60000000000002" x14ac:dyDescent="0.3">
      <c r="A103" s="2" t="s">
        <v>610</v>
      </c>
      <c r="B103" s="2" t="str">
        <f>HYPERLINK("https://www.ussoccer.com/stories/2024/08/cinderella-semifinalists-indy-eleven-make-open-cup-lemonade-in-turbulent-2024")</f>
        <v>https://www.ussoccer.com/stories/2024/08/cinderella-semifinalists-indy-eleven-make-open-cup-lemonade-in-turbulent-2024</v>
      </c>
      <c r="C103" s="2" t="s">
        <v>611</v>
      </c>
      <c r="D103" s="2" t="s">
        <v>250</v>
      </c>
      <c r="E103" s="5">
        <v>45523.601851851847</v>
      </c>
      <c r="F103" s="2" t="s">
        <v>612</v>
      </c>
      <c r="G103" s="2">
        <v>543569</v>
      </c>
      <c r="H103" s="2">
        <v>0</v>
      </c>
      <c r="I103" s="2">
        <v>0</v>
      </c>
      <c r="J103" s="2">
        <v>3</v>
      </c>
      <c r="K103" s="2" t="s">
        <v>25</v>
      </c>
      <c r="L103" s="4">
        <v>5028.01</v>
      </c>
      <c r="M103" s="2"/>
      <c r="N103" t="s">
        <v>4457</v>
      </c>
    </row>
    <row r="104" spans="1:14" ht="224.4" x14ac:dyDescent="0.3">
      <c r="A104" s="2" t="s">
        <v>617</v>
      </c>
      <c r="B104" s="2" t="str">
        <f>HYPERLINK("https://mirrorindy.org/indianapolis-students-teacher-free-indy-eleven-tickets/")</f>
        <v>https://mirrorindy.org/indianapolis-students-teacher-free-indy-eleven-tickets/</v>
      </c>
      <c r="C104" s="2" t="s">
        <v>618</v>
      </c>
      <c r="D104" s="2" t="s">
        <v>132</v>
      </c>
      <c r="E104" s="5">
        <v>45518.425868055558</v>
      </c>
      <c r="F104" s="2" t="s">
        <v>619</v>
      </c>
      <c r="G104" s="2">
        <v>29972</v>
      </c>
      <c r="H104" s="2">
        <v>0</v>
      </c>
      <c r="I104" s="2">
        <v>0</v>
      </c>
      <c r="J104" s="2">
        <v>33</v>
      </c>
      <c r="K104" s="2" t="s">
        <v>25</v>
      </c>
      <c r="L104" s="4">
        <v>277.24</v>
      </c>
      <c r="M104" s="2"/>
      <c r="N104" t="s">
        <v>4458</v>
      </c>
    </row>
    <row r="105" spans="1:14" ht="66" x14ac:dyDescent="0.3">
      <c r="A105" s="2" t="s">
        <v>624</v>
      </c>
      <c r="B105" s="2" t="str">
        <f>HYPERLINK("https://www.wishtv.com/contests/win-an-indy-eleven-all-things-indiana-prize-pack/")</f>
        <v>https://www.wishtv.com/contests/win-an-indy-eleven-all-things-indiana-prize-pack/</v>
      </c>
      <c r="C105" s="2" t="s">
        <v>55</v>
      </c>
      <c r="D105" s="2" t="s">
        <v>38</v>
      </c>
      <c r="E105" s="5">
        <v>45517.708333333343</v>
      </c>
      <c r="F105" s="2"/>
      <c r="G105" s="2">
        <v>568116</v>
      </c>
      <c r="H105" s="2">
        <v>0</v>
      </c>
      <c r="I105" s="2">
        <v>0</v>
      </c>
      <c r="J105" s="2">
        <v>0</v>
      </c>
      <c r="K105" s="2"/>
      <c r="L105" s="4">
        <v>5255.07</v>
      </c>
      <c r="M105" s="2"/>
      <c r="N105" t="s">
        <v>4458</v>
      </c>
    </row>
    <row r="106" spans="1:14" ht="224.4" x14ac:dyDescent="0.3">
      <c r="A106" s="2" t="s">
        <v>626</v>
      </c>
      <c r="B106" s="2" t="str">
        <f>HYPERLINK("https://www.wishtv.com/sports/indy-eleven/indy-eleven-vs-new-mexico-united-from-aug-12-2024/")</f>
        <v>https://www.wishtv.com/sports/indy-eleven/indy-eleven-vs-new-mexico-united-from-aug-12-2024/</v>
      </c>
      <c r="C106" s="2" t="s">
        <v>627</v>
      </c>
      <c r="D106" s="2" t="s">
        <v>38</v>
      </c>
      <c r="E106" s="5">
        <v>45516.298668981479</v>
      </c>
      <c r="F106" s="2" t="s">
        <v>628</v>
      </c>
      <c r="G106" s="2">
        <v>568116</v>
      </c>
      <c r="H106" s="2">
        <v>0</v>
      </c>
      <c r="I106" s="2">
        <v>0</v>
      </c>
      <c r="J106" s="2">
        <v>5</v>
      </c>
      <c r="K106" s="2" t="s">
        <v>25</v>
      </c>
      <c r="L106" s="4">
        <v>5255.07</v>
      </c>
      <c r="M106" s="2"/>
      <c r="N106" t="s">
        <v>4458</v>
      </c>
    </row>
    <row r="107" spans="1:14" ht="382.8" x14ac:dyDescent="0.3">
      <c r="A107" s="2" t="s">
        <v>629</v>
      </c>
      <c r="B107" s="2" t="str">
        <f>HYPERLINK("https://www.nuvo.net/sports/slideshow-new-mexico-too-hot-for-indy-eleven/collection_1ab0b48a-58b6-11ef-b273-a3156b03da5a.html")</f>
        <v>https://www.nuvo.net/sports/slideshow-new-mexico-too-hot-for-indy-eleven/collection_1ab0b48a-58b6-11ef-b273-a3156b03da5a.html</v>
      </c>
      <c r="C107" s="2" t="s">
        <v>112</v>
      </c>
      <c r="D107" s="2" t="s">
        <v>113</v>
      </c>
      <c r="E107" s="5">
        <v>45516</v>
      </c>
      <c r="F107" s="2" t="s">
        <v>114</v>
      </c>
      <c r="G107" s="2">
        <v>8756</v>
      </c>
      <c r="H107" s="2">
        <v>0</v>
      </c>
      <c r="I107" s="2">
        <v>0</v>
      </c>
      <c r="J107" s="2">
        <v>0</v>
      </c>
      <c r="K107" s="2" t="s">
        <v>25</v>
      </c>
      <c r="L107" s="4">
        <v>80.989999999999995</v>
      </c>
      <c r="M107" s="2"/>
      <c r="N107" t="s">
        <v>4458</v>
      </c>
    </row>
    <row r="108" spans="1:14" ht="105.6" x14ac:dyDescent="0.3">
      <c r="A108" s="2" t="s">
        <v>630</v>
      </c>
      <c r="B108" s="2" t="str">
        <f>HYPERLINK("https://sports.yahoo.com/united-comes-off-ropes-stops-030100333.html")</f>
        <v>https://sports.yahoo.com/united-comes-off-ropes-stops-030100333.html</v>
      </c>
      <c r="C108" s="2" t="s">
        <v>384</v>
      </c>
      <c r="D108" s="2" t="s">
        <v>137</v>
      </c>
      <c r="E108" s="5">
        <v>45515.959027777782</v>
      </c>
      <c r="F108" s="2" t="s">
        <v>631</v>
      </c>
      <c r="G108" s="2">
        <v>23172409</v>
      </c>
      <c r="H108" s="2">
        <v>0</v>
      </c>
      <c r="I108" s="2">
        <v>0</v>
      </c>
      <c r="J108" s="2">
        <v>0</v>
      </c>
      <c r="K108" s="2" t="s">
        <v>25</v>
      </c>
      <c r="L108" s="4">
        <v>214344.78</v>
      </c>
      <c r="M108" s="2"/>
      <c r="N108" t="s">
        <v>4457</v>
      </c>
    </row>
    <row r="109" spans="1:14" ht="105.6" x14ac:dyDescent="0.3">
      <c r="A109" s="2" t="s">
        <v>630</v>
      </c>
      <c r="B109" s="2" t="str">
        <f>HYPERLINK("https://www.aol.com/news/united-comes-off-ropes-stops-030100149.html")</f>
        <v>https://www.aol.com/news/united-comes-off-ropes-stops-030100149.html</v>
      </c>
      <c r="C109" s="2" t="s">
        <v>384</v>
      </c>
      <c r="D109" s="2" t="s">
        <v>279</v>
      </c>
      <c r="E109" s="5">
        <v>45515.959027777782</v>
      </c>
      <c r="F109" s="2" t="s">
        <v>631</v>
      </c>
      <c r="G109" s="2">
        <v>34035274</v>
      </c>
      <c r="H109" s="2">
        <v>0</v>
      </c>
      <c r="I109" s="2">
        <v>0</v>
      </c>
      <c r="J109" s="2">
        <v>0</v>
      </c>
      <c r="K109" s="2" t="s">
        <v>25</v>
      </c>
      <c r="L109" s="4">
        <v>314826.28000000003</v>
      </c>
      <c r="M109" s="2"/>
      <c r="N109" t="s">
        <v>4457</v>
      </c>
    </row>
    <row r="110" spans="1:14" ht="79.2" x14ac:dyDescent="0.3">
      <c r="A110" s="2" t="s">
        <v>630</v>
      </c>
      <c r="B110" s="2" t="str">
        <f>HYPERLINK("https://article.wn.com/view/2024/08/12/United_comes_off_the_ropes_stops_Indy_Eleven_with_three_seco/")</f>
        <v>https://article.wn.com/view/2024/08/12/United_comes_off_the_ropes_stops_Indy_Eleven_with_three_seco/</v>
      </c>
      <c r="C110" s="2"/>
      <c r="D110" s="2" t="s">
        <v>632</v>
      </c>
      <c r="E110" s="5">
        <v>45515.89466435185</v>
      </c>
      <c r="F110" s="2"/>
      <c r="G110" s="2">
        <v>185918</v>
      </c>
      <c r="H110" s="2">
        <v>0</v>
      </c>
      <c r="I110" s="2">
        <v>0</v>
      </c>
      <c r="J110" s="2">
        <v>0</v>
      </c>
      <c r="K110" s="2"/>
      <c r="L110" s="4">
        <v>1719.74</v>
      </c>
      <c r="M110" s="2"/>
      <c r="N110" t="s">
        <v>4459</v>
      </c>
    </row>
    <row r="111" spans="1:14" ht="118.8" x14ac:dyDescent="0.3">
      <c r="A111" s="2" t="s">
        <v>633</v>
      </c>
      <c r="B111" s="2" t="str">
        <f>HYPERLINK("https://www.1017theteam.com/2024/08/11/united-breaks-the-streak-defeats-indy-1-3/")</f>
        <v>https://www.1017theteam.com/2024/08/11/united-breaks-the-streak-defeats-indy-1-3/</v>
      </c>
      <c r="C111" s="2"/>
      <c r="D111" s="2" t="s">
        <v>634</v>
      </c>
      <c r="E111" s="5">
        <v>45515.885983796303</v>
      </c>
      <c r="F111" s="2" t="s">
        <v>635</v>
      </c>
      <c r="G111" s="2">
        <v>921</v>
      </c>
      <c r="H111" s="2">
        <v>0</v>
      </c>
      <c r="I111" s="2">
        <v>0</v>
      </c>
      <c r="J111" s="2">
        <v>0</v>
      </c>
      <c r="K111" s="2" t="s">
        <v>25</v>
      </c>
      <c r="L111" s="4">
        <v>8.52</v>
      </c>
      <c r="M111" s="2"/>
      <c r="N111" t="s">
        <v>4457</v>
      </c>
    </row>
    <row r="112" spans="1:14" ht="382.8" x14ac:dyDescent="0.3">
      <c r="A112" s="2" t="s">
        <v>630</v>
      </c>
      <c r="B112" s="2" t="str">
        <f>HYPERLINK("https://www.abqjournal.com/sports/united-comes-off-the-ropes-stops-indy-eleven-with-three-second-half-goals/article_f32f1204-5837-11ef-98a9-5b7607b703bb.html")</f>
        <v>https://www.abqjournal.com/sports/united-comes-off-the-ropes-stops-indy-eleven-with-three-second-half-goals/article_f32f1204-5837-11ef-98a9-5b7607b703bb.html</v>
      </c>
      <c r="C112" s="2" t="s">
        <v>384</v>
      </c>
      <c r="D112" s="2" t="s">
        <v>636</v>
      </c>
      <c r="E112" s="5">
        <v>45515.870694444442</v>
      </c>
      <c r="F112" s="2" t="s">
        <v>637</v>
      </c>
      <c r="G112" s="2">
        <v>354753</v>
      </c>
      <c r="H112" s="2">
        <v>0</v>
      </c>
      <c r="I112" s="2">
        <v>0</v>
      </c>
      <c r="J112" s="2">
        <v>42</v>
      </c>
      <c r="K112" s="2" t="s">
        <v>25</v>
      </c>
      <c r="L112" s="4">
        <v>3281.47</v>
      </c>
      <c r="M112" s="2"/>
      <c r="N112" t="s">
        <v>4459</v>
      </c>
    </row>
    <row r="113" spans="1:14" ht="105.6" x14ac:dyDescent="0.3">
      <c r="A113" s="2" t="s">
        <v>638</v>
      </c>
      <c r="B113" s="2" t="str">
        <f>HYPERLINK("https://www.oursportscentral.com/services/releases/8-11-2024-indy-eleven-vs-new-mexico-united--game-highlights/n-6135111")</f>
        <v>https://www.oursportscentral.com/services/releases/8-11-2024-indy-eleven-vs-new-mexico-united--game-highlights/n-6135111</v>
      </c>
      <c r="C113" s="2"/>
      <c r="D113" s="2" t="s">
        <v>24</v>
      </c>
      <c r="E113" s="5">
        <v>45515.731249999997</v>
      </c>
      <c r="F113" s="2" t="s">
        <v>639</v>
      </c>
      <c r="G113" s="2">
        <v>40402</v>
      </c>
      <c r="H113" s="2">
        <v>0</v>
      </c>
      <c r="I113" s="2">
        <v>0</v>
      </c>
      <c r="J113" s="2">
        <v>0</v>
      </c>
      <c r="K113" s="2" t="s">
        <v>25</v>
      </c>
      <c r="L113" s="4">
        <v>373.72</v>
      </c>
      <c r="M113" s="2"/>
      <c r="N113" t="s">
        <v>4457</v>
      </c>
    </row>
    <row r="114" spans="1:14" ht="211.2" x14ac:dyDescent="0.3">
      <c r="A114" s="2" t="s">
        <v>640</v>
      </c>
      <c r="B114" s="2" t="str">
        <f>HYPERLINK("https://www.oursportscentral.com/services/releases/new-mexico-powers-past-eleven-with-big-second-half/n-6135106")</f>
        <v>https://www.oursportscentral.com/services/releases/new-mexico-powers-past-eleven-with-big-second-half/n-6135106</v>
      </c>
      <c r="C114" s="2"/>
      <c r="D114" s="2" t="s">
        <v>24</v>
      </c>
      <c r="E114" s="5">
        <v>45515.730555555558</v>
      </c>
      <c r="F114" s="2" t="s">
        <v>641</v>
      </c>
      <c r="G114" s="2">
        <v>40402</v>
      </c>
      <c r="H114" s="2">
        <v>0</v>
      </c>
      <c r="I114" s="2">
        <v>0</v>
      </c>
      <c r="J114" s="2">
        <v>0</v>
      </c>
      <c r="K114" s="2" t="s">
        <v>25</v>
      </c>
      <c r="L114" s="4">
        <v>373.72</v>
      </c>
      <c r="M114" s="2"/>
      <c r="N114" t="s">
        <v>4457</v>
      </c>
    </row>
    <row r="115" spans="1:14" ht="224.4" x14ac:dyDescent="0.3">
      <c r="A115" s="2" t="s">
        <v>34</v>
      </c>
      <c r="B115" s="2" t="str">
        <f>HYPERLINK("https://www.heraldbulletin.com/sports/coming-up/article_d45879ce-575b-11ef-8039-3f158ef73e76.html")</f>
        <v>https://www.heraldbulletin.com/sports/coming-up/article_d45879ce-575b-11ef-8039-3f158ef73e76.html</v>
      </c>
      <c r="C115" s="2"/>
      <c r="D115" s="2" t="s">
        <v>35</v>
      </c>
      <c r="E115" s="5">
        <v>45515.29241898148</v>
      </c>
      <c r="F115" s="2" t="s">
        <v>642</v>
      </c>
      <c r="G115" s="2">
        <v>50260</v>
      </c>
      <c r="H115" s="2">
        <v>0</v>
      </c>
      <c r="I115" s="2">
        <v>0</v>
      </c>
      <c r="J115" s="2">
        <v>7</v>
      </c>
      <c r="K115" s="2" t="s">
        <v>25</v>
      </c>
      <c r="L115" s="4">
        <v>464.9</v>
      </c>
      <c r="M115" s="2"/>
      <c r="N115" t="s">
        <v>4458</v>
      </c>
    </row>
    <row r="116" spans="1:14" ht="171.6" x14ac:dyDescent="0.3">
      <c r="A116" s="2" t="s">
        <v>646</v>
      </c>
      <c r="B116" s="2" t="str">
        <f>HYPERLINK("https://www.1017theteam.com/2024/08/10/united-can-extend-lead-against-indy/")</f>
        <v>https://www.1017theteam.com/2024/08/10/united-can-extend-lead-against-indy/</v>
      </c>
      <c r="C116" s="2"/>
      <c r="D116" s="2" t="s">
        <v>634</v>
      </c>
      <c r="E116" s="5">
        <v>45514.987291666657</v>
      </c>
      <c r="F116" s="2" t="s">
        <v>647</v>
      </c>
      <c r="G116" s="2">
        <v>921</v>
      </c>
      <c r="H116" s="2">
        <v>0</v>
      </c>
      <c r="I116" s="2">
        <v>0</v>
      </c>
      <c r="J116" s="2">
        <v>18</v>
      </c>
      <c r="K116" s="2" t="s">
        <v>25</v>
      </c>
      <c r="L116" s="4">
        <v>8.52</v>
      </c>
      <c r="M116" s="2"/>
      <c r="N116" t="s">
        <v>4457</v>
      </c>
    </row>
    <row r="117" spans="1:14" ht="92.4" x14ac:dyDescent="0.3">
      <c r="A117" s="2" t="s">
        <v>648</v>
      </c>
      <c r="B117" s="2" t="str">
        <f>HYPERLINK("https://sports.yahoo.com/shorthanded-united-faces-talented-indy-030100024.html")</f>
        <v>https://sports.yahoo.com/shorthanded-united-faces-talented-indy-030100024.html</v>
      </c>
      <c r="C117" s="2" t="s">
        <v>384</v>
      </c>
      <c r="D117" s="2" t="s">
        <v>137</v>
      </c>
      <c r="E117" s="5">
        <v>45514.959027777782</v>
      </c>
      <c r="F117" s="2" t="s">
        <v>649</v>
      </c>
      <c r="G117" s="2">
        <v>23172409</v>
      </c>
      <c r="H117" s="2">
        <v>0</v>
      </c>
      <c r="I117" s="2">
        <v>0</v>
      </c>
      <c r="J117" s="2">
        <v>0</v>
      </c>
      <c r="K117" s="2" t="s">
        <v>25</v>
      </c>
      <c r="L117" s="4">
        <v>214344.78</v>
      </c>
      <c r="M117" s="2"/>
      <c r="N117" t="s">
        <v>4457</v>
      </c>
    </row>
    <row r="118" spans="1:14" ht="92.4" x14ac:dyDescent="0.3">
      <c r="A118" s="2" t="s">
        <v>648</v>
      </c>
      <c r="B118" s="2" t="str">
        <f>HYPERLINK("https://www.aol.com/news/shorthanded-united-faces-talented-indy-030100457.html")</f>
        <v>https://www.aol.com/news/shorthanded-united-faces-talented-indy-030100457.html</v>
      </c>
      <c r="C118" s="2" t="s">
        <v>384</v>
      </c>
      <c r="D118" s="2" t="s">
        <v>279</v>
      </c>
      <c r="E118" s="5">
        <v>45514.959027777782</v>
      </c>
      <c r="F118" s="2" t="s">
        <v>649</v>
      </c>
      <c r="G118" s="2">
        <v>34035274</v>
      </c>
      <c r="H118" s="2">
        <v>0</v>
      </c>
      <c r="I118" s="2">
        <v>0</v>
      </c>
      <c r="J118" s="2">
        <v>0</v>
      </c>
      <c r="K118" s="2" t="s">
        <v>25</v>
      </c>
      <c r="L118" s="4">
        <v>314826.28000000003</v>
      </c>
      <c r="M118" s="2"/>
      <c r="N118" t="s">
        <v>4457</v>
      </c>
    </row>
    <row r="119" spans="1:14" ht="356.4" x14ac:dyDescent="0.3">
      <c r="A119" s="2" t="s">
        <v>648</v>
      </c>
      <c r="B119" s="2" t="str">
        <f>HYPERLINK("https://www.abqjournal.com/sports/shorthanded-united-faces-talented-indy-eleven/article_6557253e-5779-11ef-9f74-6372a96617e2.html")</f>
        <v>https://www.abqjournal.com/sports/shorthanded-united-faces-talented-indy-eleven/article_6557253e-5779-11ef-9f74-6372a96617e2.html</v>
      </c>
      <c r="C119" s="2" t="s">
        <v>384</v>
      </c>
      <c r="D119" s="2" t="s">
        <v>636</v>
      </c>
      <c r="E119" s="5">
        <v>45514.871157407397</v>
      </c>
      <c r="F119" s="2" t="s">
        <v>650</v>
      </c>
      <c r="G119" s="2">
        <v>354753</v>
      </c>
      <c r="H119" s="2">
        <v>0</v>
      </c>
      <c r="I119" s="2">
        <v>0</v>
      </c>
      <c r="J119" s="2">
        <v>20</v>
      </c>
      <c r="K119" s="2" t="s">
        <v>25</v>
      </c>
      <c r="L119" s="4">
        <v>3281.47</v>
      </c>
      <c r="M119" s="2"/>
      <c r="N119" t="s">
        <v>4459</v>
      </c>
    </row>
    <row r="120" spans="1:14" ht="184.8" x14ac:dyDescent="0.3">
      <c r="A120" s="2" t="s">
        <v>651</v>
      </c>
      <c r="B120" s="2" t="str">
        <f>HYPERLINK("https://dailysports.net/predictions/indy-eleven-vs-new-mexico-united-prediction-and-betting-tips-august-12-2024/")</f>
        <v>https://dailysports.net/predictions/indy-eleven-vs-new-mexico-united-prediction-and-betting-tips-august-12-2024/</v>
      </c>
      <c r="C120" s="2" t="s">
        <v>652</v>
      </c>
      <c r="D120" s="2" t="s">
        <v>285</v>
      </c>
      <c r="E120" s="5">
        <v>45514.759456018517</v>
      </c>
      <c r="F120" s="2" t="s">
        <v>653</v>
      </c>
      <c r="G120" s="2"/>
      <c r="H120" s="2">
        <v>0</v>
      </c>
      <c r="I120" s="2">
        <v>0</v>
      </c>
      <c r="J120" s="2">
        <v>0</v>
      </c>
      <c r="K120" s="2" t="s">
        <v>25</v>
      </c>
      <c r="L120" s="2"/>
      <c r="M120" s="2"/>
      <c r="N120" t="s">
        <v>4459</v>
      </c>
    </row>
    <row r="121" spans="1:14" ht="224.4" x14ac:dyDescent="0.3">
      <c r="A121" s="2" t="s">
        <v>34</v>
      </c>
      <c r="B121" s="2" t="str">
        <f>HYPERLINK("https://www.heraldbulletin.com/sports/coming-up/article_fe147a66-566a-11ef-9602-efa2f2cac41c.html")</f>
        <v>https://www.heraldbulletin.com/sports/coming-up/article_fe147a66-566a-11ef-9602-efa2f2cac41c.html</v>
      </c>
      <c r="C121" s="2"/>
      <c r="D121" s="2" t="s">
        <v>35</v>
      </c>
      <c r="E121" s="5">
        <v>45514.307557870372</v>
      </c>
      <c r="F121" s="2" t="s">
        <v>642</v>
      </c>
      <c r="G121" s="2">
        <v>50260</v>
      </c>
      <c r="H121" s="2">
        <v>0</v>
      </c>
      <c r="I121" s="2">
        <v>0</v>
      </c>
      <c r="J121" s="2">
        <v>0</v>
      </c>
      <c r="K121" s="2" t="s">
        <v>25</v>
      </c>
      <c r="L121" s="4">
        <v>464.9</v>
      </c>
      <c r="M121" s="2"/>
      <c r="N121" t="s">
        <v>4458</v>
      </c>
    </row>
    <row r="122" spans="1:14" ht="145.19999999999999" x14ac:dyDescent="0.3">
      <c r="A122" s="2" t="s">
        <v>655</v>
      </c>
      <c r="B122" s="2" t="str">
        <f>HYPERLINK("https://www.wishtv.com/news/all-indiana-podcast-network-feature-of-the-week/all-indiana-podcast-network-featured-podcast-of-the-week-the-indy-eleven-coaches-show/")</f>
        <v>https://www.wishtv.com/news/all-indiana-podcast-network-feature-of-the-week/all-indiana-podcast-network-featured-podcast-of-the-week-the-indy-eleven-coaches-show/</v>
      </c>
      <c r="C122" s="2" t="s">
        <v>55</v>
      </c>
      <c r="D122" s="2" t="s">
        <v>38</v>
      </c>
      <c r="E122" s="5">
        <v>45513.399687500001</v>
      </c>
      <c r="F122" s="2" t="s">
        <v>656</v>
      </c>
      <c r="G122" s="2">
        <v>568116</v>
      </c>
      <c r="H122" s="2">
        <v>0</v>
      </c>
      <c r="I122" s="2">
        <v>0</v>
      </c>
      <c r="J122" s="2">
        <v>0</v>
      </c>
      <c r="K122" s="2" t="s">
        <v>25</v>
      </c>
      <c r="L122" s="4">
        <v>5255.07</v>
      </c>
      <c r="M122" s="2"/>
      <c r="N122" t="s">
        <v>4458</v>
      </c>
    </row>
    <row r="123" spans="1:14" ht="316.8" x14ac:dyDescent="0.3">
      <c r="A123" s="2" t="s">
        <v>657</v>
      </c>
      <c r="B123" s="2" t="str">
        <f>HYPERLINK("https://www.wishtv.com/podcast-episode/indy-eleven-coaches-show-episode-6/")</f>
        <v>https://www.wishtv.com/podcast-episode/indy-eleven-coaches-show-episode-6/</v>
      </c>
      <c r="C123" s="2"/>
      <c r="D123" s="2" t="s">
        <v>38</v>
      </c>
      <c r="E123" s="5">
        <v>45513.378634259258</v>
      </c>
      <c r="F123" s="2" t="s">
        <v>39</v>
      </c>
      <c r="G123" s="2">
        <v>568116</v>
      </c>
      <c r="H123" s="2">
        <v>0</v>
      </c>
      <c r="I123" s="2">
        <v>0</v>
      </c>
      <c r="J123" s="2">
        <v>0</v>
      </c>
      <c r="K123" s="2" t="s">
        <v>25</v>
      </c>
      <c r="L123" s="4">
        <v>5255.07</v>
      </c>
      <c r="M123" s="2"/>
      <c r="N123" t="s">
        <v>4458</v>
      </c>
    </row>
    <row r="124" spans="1:14" ht="224.4" x14ac:dyDescent="0.3">
      <c r="A124" s="2" t="s">
        <v>34</v>
      </c>
      <c r="B124" s="2" t="str">
        <f>HYPERLINK("https://www.heraldbulletin.com/sports/coming-up/article_81596e00-55cf-11ef-82aa-67bf305abd70.html")</f>
        <v>https://www.heraldbulletin.com/sports/coming-up/article_81596e00-55cf-11ef-82aa-67bf305abd70.html</v>
      </c>
      <c r="C124" s="2"/>
      <c r="D124" s="2" t="s">
        <v>35</v>
      </c>
      <c r="E124" s="5">
        <v>45513.300347222219</v>
      </c>
      <c r="F124" s="2" t="s">
        <v>642</v>
      </c>
      <c r="G124" s="2">
        <v>50260</v>
      </c>
      <c r="H124" s="2">
        <v>0</v>
      </c>
      <c r="I124" s="2">
        <v>0</v>
      </c>
      <c r="J124" s="2">
        <v>1</v>
      </c>
      <c r="K124" s="2" t="s">
        <v>25</v>
      </c>
      <c r="L124" s="4">
        <v>464.9</v>
      </c>
      <c r="M124" s="2"/>
      <c r="N124" t="s">
        <v>4458</v>
      </c>
    </row>
    <row r="125" spans="1:14" ht="158.4" x14ac:dyDescent="0.3">
      <c r="A125" s="2" t="s">
        <v>658</v>
      </c>
      <c r="B125" s="2" t="str">
        <f>HYPERLINK("https://ourcommunitynow.com/P/rhode-island-fc-falls-1-0-at-indy-eleven")</f>
        <v>https://ourcommunitynow.com/P/rhode-island-fc-falls-1-0-at-indy-eleven</v>
      </c>
      <c r="C125" s="2"/>
      <c r="D125" s="2" t="s">
        <v>59</v>
      </c>
      <c r="E125" s="5">
        <v>45512.352337962962</v>
      </c>
      <c r="F125" s="2" t="s">
        <v>659</v>
      </c>
      <c r="G125" s="2">
        <v>8184</v>
      </c>
      <c r="H125" s="2">
        <v>0</v>
      </c>
      <c r="I125" s="2">
        <v>0</v>
      </c>
      <c r="J125" s="2">
        <v>0</v>
      </c>
      <c r="K125" s="2" t="s">
        <v>31</v>
      </c>
      <c r="L125" s="4">
        <v>75.7</v>
      </c>
      <c r="M125" s="2"/>
      <c r="N125" t="s">
        <v>4457</v>
      </c>
    </row>
    <row r="126" spans="1:14" ht="105.6" x14ac:dyDescent="0.3">
      <c r="A126" s="2" t="s">
        <v>34</v>
      </c>
      <c r="B126" s="2" t="str">
        <f>HYPERLINK("https://www.heraldbulletin.com/sports/coming-up/article_fdc82484-54dc-11ef-ac92-4b9555f2b0ca.html")</f>
        <v>https://www.heraldbulletin.com/sports/coming-up/article_fdc82484-54dc-11ef-ac92-4b9555f2b0ca.html</v>
      </c>
      <c r="C126" s="2"/>
      <c r="D126" s="2" t="s">
        <v>35</v>
      </c>
      <c r="E126" s="5">
        <v>45512.330324074072</v>
      </c>
      <c r="F126" s="2" t="s">
        <v>660</v>
      </c>
      <c r="G126" s="2">
        <v>50260</v>
      </c>
      <c r="H126" s="2">
        <v>0</v>
      </c>
      <c r="I126" s="2">
        <v>0</v>
      </c>
      <c r="J126" s="2">
        <v>4</v>
      </c>
      <c r="K126" s="2" t="s">
        <v>25</v>
      </c>
      <c r="L126" s="4">
        <v>464.9</v>
      </c>
      <c r="M126" s="2"/>
      <c r="N126" t="s">
        <v>4458</v>
      </c>
    </row>
    <row r="127" spans="1:14" ht="211.2" x14ac:dyDescent="0.3">
      <c r="A127" s="2" t="s">
        <v>661</v>
      </c>
      <c r="B127" s="2" t="str">
        <f>HYPERLINK("https://www.wishtv.com/sports/indy-eleven/indy-eleven-vs-rhode-island-fc-from-aug-7-2024/")</f>
        <v>https://www.wishtv.com/sports/indy-eleven/indy-eleven-vs-rhode-island-fc-from-aug-7-2024/</v>
      </c>
      <c r="C127" s="2" t="s">
        <v>627</v>
      </c>
      <c r="D127" s="2" t="s">
        <v>38</v>
      </c>
      <c r="E127" s="5">
        <v>45512.291238425933</v>
      </c>
      <c r="F127" s="2" t="s">
        <v>662</v>
      </c>
      <c r="G127" s="2">
        <v>568116</v>
      </c>
      <c r="H127" s="2">
        <v>0</v>
      </c>
      <c r="I127" s="2">
        <v>0</v>
      </c>
      <c r="J127" s="2">
        <v>1</v>
      </c>
      <c r="K127" s="2" t="s">
        <v>31</v>
      </c>
      <c r="L127" s="4">
        <v>5255.07</v>
      </c>
      <c r="M127" s="2"/>
      <c r="N127" t="s">
        <v>4458</v>
      </c>
    </row>
    <row r="128" spans="1:14" ht="132" x14ac:dyDescent="0.3">
      <c r="A128" s="2" t="s">
        <v>658</v>
      </c>
      <c r="B128" s="2" t="str">
        <f>HYPERLINK("https://whatsupnewp.com/2024/08/rhode-island-fc-falls-1-0-at-indy-eleven/")</f>
        <v>https://whatsupnewp.com/2024/08/rhode-island-fc-falls-1-0-at-indy-eleven/</v>
      </c>
      <c r="C128" s="2" t="s">
        <v>329</v>
      </c>
      <c r="D128" s="2" t="s">
        <v>57</v>
      </c>
      <c r="E128" s="5">
        <v>45512.246354166673</v>
      </c>
      <c r="F128" s="2" t="s">
        <v>663</v>
      </c>
      <c r="G128" s="2">
        <v>60685</v>
      </c>
      <c r="H128" s="2">
        <v>0</v>
      </c>
      <c r="I128" s="2">
        <v>0</v>
      </c>
      <c r="J128" s="2">
        <v>10</v>
      </c>
      <c r="K128" s="2" t="s">
        <v>31</v>
      </c>
      <c r="L128" s="4">
        <v>561.34</v>
      </c>
      <c r="M128" s="2"/>
      <c r="N128" t="s">
        <v>4457</v>
      </c>
    </row>
    <row r="129" spans="1:14" ht="198" x14ac:dyDescent="0.3">
      <c r="A129" s="2" t="s">
        <v>665</v>
      </c>
      <c r="B129" s="2" t="str">
        <f>HYPERLINK("https://bvmsports.com/2024/08/07/rhode-island-fcs-unbeaten-streak-snapped-by-indy-eleven-defeat/")</f>
        <v>https://bvmsports.com/2024/08/07/rhode-island-fcs-unbeaten-streak-snapped-by-indy-eleven-defeat/</v>
      </c>
      <c r="C129" s="2" t="s">
        <v>270</v>
      </c>
      <c r="D129" s="2" t="s">
        <v>271</v>
      </c>
      <c r="E129" s="5">
        <v>45512.028634259259</v>
      </c>
      <c r="F129" s="2" t="s">
        <v>666</v>
      </c>
      <c r="G129" s="2">
        <v>2152626</v>
      </c>
      <c r="H129" s="2">
        <v>0</v>
      </c>
      <c r="I129" s="2">
        <v>0</v>
      </c>
      <c r="J129" s="2">
        <v>0</v>
      </c>
      <c r="K129" s="2" t="s">
        <v>47</v>
      </c>
      <c r="L129" s="4">
        <v>19911.79</v>
      </c>
      <c r="M129" s="2"/>
      <c r="N129" t="s">
        <v>4459</v>
      </c>
    </row>
    <row r="130" spans="1:14" ht="382.8" x14ac:dyDescent="0.3">
      <c r="A130" s="2" t="s">
        <v>667</v>
      </c>
      <c r="B130" s="2" t="str">
        <f>HYPERLINK("https://www.nuvo.net/sports/slideshow-guenzattis-volley-sparks-indy-eleven/collection_b566fad8-558d-11ef-aae1-2b7e42a7bb19.html")</f>
        <v>https://www.nuvo.net/sports/slideshow-guenzattis-volley-sparks-indy-eleven/collection_b566fad8-558d-11ef-aae1-2b7e42a7bb19.html</v>
      </c>
      <c r="C130" s="2" t="s">
        <v>112</v>
      </c>
      <c r="D130" s="2" t="s">
        <v>113</v>
      </c>
      <c r="E130" s="5">
        <v>45512</v>
      </c>
      <c r="F130" s="2" t="s">
        <v>114</v>
      </c>
      <c r="G130" s="2">
        <v>8756</v>
      </c>
      <c r="H130" s="2">
        <v>0</v>
      </c>
      <c r="I130" s="2">
        <v>0</v>
      </c>
      <c r="J130" s="2">
        <v>0</v>
      </c>
      <c r="K130" s="2" t="s">
        <v>25</v>
      </c>
      <c r="L130" s="4">
        <v>80.989999999999995</v>
      </c>
      <c r="M130" s="2"/>
      <c r="N130" t="s">
        <v>4458</v>
      </c>
    </row>
    <row r="131" spans="1:14" ht="211.2" x14ac:dyDescent="0.3">
      <c r="A131" s="2" t="s">
        <v>668</v>
      </c>
      <c r="B131" s="2" t="str">
        <f>HYPERLINK("https://www.oursportscentral.com/services/releases/rhode-island-fc-falls-1-0-at-indy-eleven/n-6133493")</f>
        <v>https://www.oursportscentral.com/services/releases/rhode-island-fc-falls-1-0-at-indy-eleven/n-6133493</v>
      </c>
      <c r="C131" s="2"/>
      <c r="D131" s="2" t="s">
        <v>24</v>
      </c>
      <c r="E131" s="5">
        <v>45511.819444444453</v>
      </c>
      <c r="F131" s="2" t="s">
        <v>669</v>
      </c>
      <c r="G131" s="2">
        <v>40402</v>
      </c>
      <c r="H131" s="2">
        <v>0</v>
      </c>
      <c r="I131" s="2">
        <v>0</v>
      </c>
      <c r="J131" s="2">
        <v>0</v>
      </c>
      <c r="K131" s="2" t="s">
        <v>31</v>
      </c>
      <c r="L131" s="4">
        <v>373.72</v>
      </c>
      <c r="M131" s="2"/>
      <c r="N131" t="s">
        <v>4457</v>
      </c>
    </row>
    <row r="132" spans="1:14" ht="277.2" x14ac:dyDescent="0.3">
      <c r="A132" s="2" t="s">
        <v>670</v>
      </c>
      <c r="B132" s="2" t="str">
        <f>HYPERLINK("https://www.oursportscentral.com/services/releases/8-7-2024-indy-eleven-vs-rhode-island-fc--game-highlights/n-6133482")</f>
        <v>https://www.oursportscentral.com/services/releases/8-7-2024-indy-eleven-vs-rhode-island-fc--game-highlights/n-6133482</v>
      </c>
      <c r="C132" s="2"/>
      <c r="D132" s="2" t="s">
        <v>24</v>
      </c>
      <c r="E132" s="5">
        <v>45511.77847222222</v>
      </c>
      <c r="F132" s="2" t="s">
        <v>671</v>
      </c>
      <c r="G132" s="2">
        <v>40402</v>
      </c>
      <c r="H132" s="2">
        <v>0</v>
      </c>
      <c r="I132" s="2">
        <v>0</v>
      </c>
      <c r="J132" s="2">
        <v>0</v>
      </c>
      <c r="K132" s="2" t="s">
        <v>25</v>
      </c>
      <c r="L132" s="4">
        <v>373.72</v>
      </c>
      <c r="M132" s="2"/>
      <c r="N132" t="s">
        <v>4457</v>
      </c>
    </row>
    <row r="133" spans="1:14" ht="92.4" x14ac:dyDescent="0.3">
      <c r="A133" s="2" t="s">
        <v>672</v>
      </c>
      <c r="B133" s="2" t="str">
        <f>HYPERLINK("https://www.oursportscentral.com/services/releases/all-goals-from-indy-eleven-vs-rhode-island-fc-in-the-1st-half/n-6133455")</f>
        <v>https://www.oursportscentral.com/services/releases/all-goals-from-indy-eleven-vs-rhode-island-fc-in-the-1st-half/n-6133455</v>
      </c>
      <c r="C133" s="2"/>
      <c r="D133" s="2" t="s">
        <v>24</v>
      </c>
      <c r="E133" s="5">
        <v>45511.774305555547</v>
      </c>
      <c r="F133" s="2" t="s">
        <v>175</v>
      </c>
      <c r="G133" s="2">
        <v>40402</v>
      </c>
      <c r="H133" s="2">
        <v>0</v>
      </c>
      <c r="I133" s="2">
        <v>0</v>
      </c>
      <c r="J133" s="2">
        <v>0</v>
      </c>
      <c r="K133" s="2" t="s">
        <v>47</v>
      </c>
      <c r="L133" s="4">
        <v>373.72</v>
      </c>
      <c r="M133" s="2"/>
      <c r="N133" t="s">
        <v>4457</v>
      </c>
    </row>
    <row r="134" spans="1:14" ht="184.8" x14ac:dyDescent="0.3">
      <c r="A134" s="2" t="s">
        <v>34</v>
      </c>
      <c r="B134" s="2" t="str">
        <f>HYPERLINK("https://www.heraldbulletin.com/sports/coming-up/article_082db7e2-542c-11ef-81a0-07d4f0cc2304.html")</f>
        <v>https://www.heraldbulletin.com/sports/coming-up/article_082db7e2-542c-11ef-81a0-07d4f0cc2304.html</v>
      </c>
      <c r="C134" s="2"/>
      <c r="D134" s="2" t="s">
        <v>35</v>
      </c>
      <c r="E134" s="5">
        <v>45511.292824074073</v>
      </c>
      <c r="F134" s="2" t="s">
        <v>674</v>
      </c>
      <c r="G134" s="2">
        <v>50260</v>
      </c>
      <c r="H134" s="2">
        <v>0</v>
      </c>
      <c r="I134" s="2">
        <v>0</v>
      </c>
      <c r="J134" s="2">
        <v>20</v>
      </c>
      <c r="K134" s="2" t="s">
        <v>25</v>
      </c>
      <c r="L134" s="4">
        <v>464.9</v>
      </c>
      <c r="M134" s="2"/>
      <c r="N134" t="s">
        <v>4458</v>
      </c>
    </row>
    <row r="135" spans="1:14" ht="369.6" x14ac:dyDescent="0.3">
      <c r="A135" s="2" t="s">
        <v>676</v>
      </c>
      <c r="B135" s="2" t="str">
        <f>HYPERLINK("https://www.oursportscentral.com/services/releases/match-preview-rhode-island-fc-vs-indy-eleven-august-7-2024/n-6132994")</f>
        <v>https://www.oursportscentral.com/services/releases/match-preview-rhode-island-fc-vs-indy-eleven-august-7-2024/n-6132994</v>
      </c>
      <c r="C135" s="2"/>
      <c r="D135" s="2" t="s">
        <v>24</v>
      </c>
      <c r="E135" s="5">
        <v>45510.624305555553</v>
      </c>
      <c r="F135" s="2" t="s">
        <v>677</v>
      </c>
      <c r="G135" s="2">
        <v>40402</v>
      </c>
      <c r="H135" s="2">
        <v>0</v>
      </c>
      <c r="I135" s="2">
        <v>0</v>
      </c>
      <c r="J135" s="2">
        <v>0</v>
      </c>
      <c r="K135" s="2" t="s">
        <v>31</v>
      </c>
      <c r="L135" s="4">
        <v>373.72</v>
      </c>
      <c r="M135" s="2"/>
      <c r="N135" t="s">
        <v>4457</v>
      </c>
    </row>
    <row r="136" spans="1:14" ht="184.8" x14ac:dyDescent="0.3">
      <c r="A136" s="2" t="s">
        <v>34</v>
      </c>
      <c r="B136" s="2" t="str">
        <f>HYPERLINK("https://www.heraldbulletin.com/sports/coming-up/article_9438f3ba-537c-11ef-bbeb-7bae205697c0.html")</f>
        <v>https://www.heraldbulletin.com/sports/coming-up/article_9438f3ba-537c-11ef-bbeb-7bae205697c0.html</v>
      </c>
      <c r="C136" s="2"/>
      <c r="D136" s="2" t="s">
        <v>35</v>
      </c>
      <c r="E136" s="5">
        <v>45510.297337962962</v>
      </c>
      <c r="F136" s="2" t="s">
        <v>674</v>
      </c>
      <c r="G136" s="2">
        <v>50260</v>
      </c>
      <c r="H136" s="2">
        <v>0</v>
      </c>
      <c r="I136" s="2">
        <v>0</v>
      </c>
      <c r="J136" s="2">
        <v>1</v>
      </c>
      <c r="K136" s="2" t="s">
        <v>25</v>
      </c>
      <c r="L136" s="4">
        <v>464.9</v>
      </c>
      <c r="M136" s="2"/>
      <c r="N136" t="s">
        <v>4458</v>
      </c>
    </row>
    <row r="137" spans="1:14" ht="145.19999999999999" x14ac:dyDescent="0.3">
      <c r="A137" s="2" t="s">
        <v>678</v>
      </c>
      <c r="B137" s="2" t="str">
        <f>HYPERLINK("https://sports.yahoo.com/hey-mike-indy-eleven-going-084035655.html")</f>
        <v>https://sports.yahoo.com/hey-mike-indy-eleven-going-084035655.html</v>
      </c>
      <c r="C137" s="2" t="s">
        <v>679</v>
      </c>
      <c r="D137" s="2" t="s">
        <v>137</v>
      </c>
      <c r="E137" s="5">
        <v>45510.194849537038</v>
      </c>
      <c r="F137" s="2" t="s">
        <v>680</v>
      </c>
      <c r="G137" s="2">
        <v>23172409</v>
      </c>
      <c r="H137" s="2">
        <v>0</v>
      </c>
      <c r="I137" s="2">
        <v>0</v>
      </c>
      <c r="J137" s="2">
        <v>0</v>
      </c>
      <c r="K137" s="2" t="s">
        <v>25</v>
      </c>
      <c r="L137" s="4">
        <v>214344.78</v>
      </c>
      <c r="M137" s="2"/>
      <c r="N137" t="s">
        <v>4457</v>
      </c>
    </row>
    <row r="138" spans="1:14" ht="145.19999999999999" x14ac:dyDescent="0.3">
      <c r="A138" s="2" t="s">
        <v>678</v>
      </c>
      <c r="B138" s="2" t="str">
        <f>HYPERLINK("https://www.indystar.com/story/sports/2024/08/06/hey-mike-indy-eleven-is-going-for-a-world-record-and-needs-your-help/74663127007/")</f>
        <v>https://www.indystar.com/story/sports/2024/08/06/hey-mike-indy-eleven-is-going-for-a-world-record-and-needs-your-help/74663127007/</v>
      </c>
      <c r="C138" s="2" t="s">
        <v>679</v>
      </c>
      <c r="D138" s="2" t="s">
        <v>321</v>
      </c>
      <c r="E138" s="5">
        <v>45510.194849537038</v>
      </c>
      <c r="F138" s="2" t="s">
        <v>680</v>
      </c>
      <c r="G138" s="2">
        <v>3061566</v>
      </c>
      <c r="H138" s="2">
        <v>1</v>
      </c>
      <c r="I138" s="2">
        <v>6931</v>
      </c>
      <c r="J138" s="2">
        <v>43</v>
      </c>
      <c r="K138" s="2" t="s">
        <v>25</v>
      </c>
      <c r="L138" s="4">
        <v>28319.49</v>
      </c>
      <c r="M138" s="2"/>
      <c r="N138" t="s">
        <v>4458</v>
      </c>
    </row>
    <row r="139" spans="1:14" ht="79.2" x14ac:dyDescent="0.3">
      <c r="A139" s="2" t="s">
        <v>678</v>
      </c>
      <c r="B139" s="2" t="str">
        <f>HYPERLINK("https://article.wn.com/view/2024/08/06/Hey_Mike_Indy_Eleven_is_going_for_a_world_record_Wednesday_a/")</f>
        <v>https://article.wn.com/view/2024/08/06/Hey_Mike_Indy_Eleven_is_going_for_a_world_record_Wednesday_a/</v>
      </c>
      <c r="C139" s="2"/>
      <c r="D139" s="2" t="s">
        <v>632</v>
      </c>
      <c r="E139" s="5">
        <v>45510</v>
      </c>
      <c r="F139" s="2"/>
      <c r="G139" s="2">
        <v>185918</v>
      </c>
      <c r="H139" s="2">
        <v>0</v>
      </c>
      <c r="I139" s="2">
        <v>0</v>
      </c>
      <c r="J139" s="2">
        <v>0</v>
      </c>
      <c r="K139" s="2"/>
      <c r="L139" s="4">
        <v>1719.74</v>
      </c>
      <c r="M139" s="2"/>
      <c r="N139" t="s">
        <v>4459</v>
      </c>
    </row>
    <row r="140" spans="1:14" ht="184.8" x14ac:dyDescent="0.3">
      <c r="A140" s="2" t="s">
        <v>34</v>
      </c>
      <c r="B140" s="2" t="str">
        <f>HYPERLINK("https://www.heraldbulletin.com/sports/coming-up/article_8f8e74d0-537b-11ef-905f-1f4743243c64.html")</f>
        <v>https://www.heraldbulletin.com/sports/coming-up/article_8f8e74d0-537b-11ef-905f-1f4743243c64.html</v>
      </c>
      <c r="C140" s="2"/>
      <c r="D140" s="2" t="s">
        <v>35</v>
      </c>
      <c r="E140" s="5">
        <v>45509.830578703702</v>
      </c>
      <c r="F140" s="2" t="s">
        <v>681</v>
      </c>
      <c r="G140" s="2">
        <v>50260</v>
      </c>
      <c r="H140" s="2">
        <v>0</v>
      </c>
      <c r="I140" s="2">
        <v>0</v>
      </c>
      <c r="J140" s="2">
        <v>0</v>
      </c>
      <c r="K140" s="2" t="s">
        <v>25</v>
      </c>
      <c r="L140" s="4">
        <v>464.9</v>
      </c>
      <c r="M140" s="2"/>
      <c r="N140" t="s">
        <v>4458</v>
      </c>
    </row>
    <row r="141" spans="1:14" ht="198" x14ac:dyDescent="0.3">
      <c r="A141" s="2" t="s">
        <v>684</v>
      </c>
      <c r="B141" s="2" t="str">
        <f>HYPERLINK("https://holycitysinner.com/sports/battery-blast-indy-5-0-at-patriots-point-five-different-play/")</f>
        <v>https://holycitysinner.com/sports/battery-blast-indy-5-0-at-patriots-point-five-different-play/</v>
      </c>
      <c r="C141" s="2"/>
      <c r="D141" s="2" t="s">
        <v>301</v>
      </c>
      <c r="E141" s="5">
        <v>45507.671805555547</v>
      </c>
      <c r="F141" s="2" t="s">
        <v>685</v>
      </c>
      <c r="G141" s="2">
        <v>17205</v>
      </c>
      <c r="H141" s="2">
        <v>1</v>
      </c>
      <c r="I141" s="2">
        <v>61488</v>
      </c>
      <c r="J141" s="2">
        <v>14</v>
      </c>
      <c r="K141" s="2" t="s">
        <v>31</v>
      </c>
      <c r="L141" s="4">
        <v>159.15</v>
      </c>
      <c r="M141" s="2"/>
      <c r="N141" t="s">
        <v>4457</v>
      </c>
    </row>
    <row r="142" spans="1:14" ht="132" x14ac:dyDescent="0.3">
      <c r="A142" s="2" t="s">
        <v>686</v>
      </c>
      <c r="B142" s="2" t="str">
        <f>HYPERLINK("https://www.live5news.com/2024/08/03/battery-blast-indy-5-0-patriots-point-five-different-players-score/")</f>
        <v>https://www.live5news.com/2024/08/03/battery-blast-indy-5-0-patriots-point-five-different-players-score/</v>
      </c>
      <c r="C142" s="2"/>
      <c r="D142" s="2" t="s">
        <v>304</v>
      </c>
      <c r="E142" s="5">
        <v>45507.388969907413</v>
      </c>
      <c r="F142" s="2" t="s">
        <v>687</v>
      </c>
      <c r="G142" s="2">
        <v>611839</v>
      </c>
      <c r="H142" s="2">
        <v>0</v>
      </c>
      <c r="I142" s="2">
        <v>0</v>
      </c>
      <c r="J142" s="2">
        <v>0</v>
      </c>
      <c r="K142" s="2" t="s">
        <v>25</v>
      </c>
      <c r="L142" s="4">
        <v>5659.51</v>
      </c>
      <c r="M142" s="2"/>
      <c r="N142" t="s">
        <v>4457</v>
      </c>
    </row>
    <row r="143" spans="1:14" ht="184.8" x14ac:dyDescent="0.3">
      <c r="A143" s="2" t="s">
        <v>689</v>
      </c>
      <c r="B143" s="2" t="str">
        <f>HYPERLINK("https://www.oursportscentral.com/services/releases/indy-eleven-blanked-by-charleston-battery-5-0/n-6131638")</f>
        <v>https://www.oursportscentral.com/services/releases/indy-eleven-blanked-by-charleston-battery-5-0/n-6131638</v>
      </c>
      <c r="C143" s="2"/>
      <c r="D143" s="2" t="s">
        <v>24</v>
      </c>
      <c r="E143" s="5">
        <v>45506.799305555563</v>
      </c>
      <c r="F143" s="2" t="s">
        <v>690</v>
      </c>
      <c r="G143" s="2">
        <v>40402</v>
      </c>
      <c r="H143" s="2">
        <v>0</v>
      </c>
      <c r="I143" s="2">
        <v>0</v>
      </c>
      <c r="J143" s="2">
        <v>0</v>
      </c>
      <c r="K143" s="2" t="s">
        <v>25</v>
      </c>
      <c r="L143" s="4">
        <v>373.72</v>
      </c>
      <c r="M143" s="2"/>
      <c r="N143" t="s">
        <v>4457</v>
      </c>
    </row>
    <row r="144" spans="1:14" ht="250.8" x14ac:dyDescent="0.3">
      <c r="A144" s="2" t="s">
        <v>691</v>
      </c>
      <c r="B144" s="2" t="str">
        <f>HYPERLINK("https://www.oursportscentral.com/services/releases/charleston-battery-vs-indy-eleven--game-highlights/n-6131624")</f>
        <v>https://www.oursportscentral.com/services/releases/charleston-battery-vs-indy-eleven--game-highlights/n-6131624</v>
      </c>
      <c r="C144" s="2"/>
      <c r="D144" s="2" t="s">
        <v>24</v>
      </c>
      <c r="E144" s="5">
        <v>45506.795138888891</v>
      </c>
      <c r="F144" s="2" t="s">
        <v>692</v>
      </c>
      <c r="G144" s="2">
        <v>40402</v>
      </c>
      <c r="H144" s="2">
        <v>0</v>
      </c>
      <c r="I144" s="2">
        <v>0</v>
      </c>
      <c r="J144" s="2">
        <v>0</v>
      </c>
      <c r="K144" s="2" t="s">
        <v>25</v>
      </c>
      <c r="L144" s="4">
        <v>373.72</v>
      </c>
      <c r="M144" s="2"/>
      <c r="N144" t="s">
        <v>4457</v>
      </c>
    </row>
    <row r="145" spans="1:14" ht="237.6" x14ac:dyDescent="0.3">
      <c r="A145" s="2" t="s">
        <v>34</v>
      </c>
      <c r="B145" s="2" t="str">
        <f>HYPERLINK("https://www.heraldbulletin.com/sports/coming-up/article_4f24df94-5040-11ef-aac6-67f1180cbbfe.html")</f>
        <v>https://www.heraldbulletin.com/sports/coming-up/article_4f24df94-5040-11ef-aac6-67f1180cbbfe.html</v>
      </c>
      <c r="C145" s="2"/>
      <c r="D145" s="2" t="s">
        <v>35</v>
      </c>
      <c r="E145" s="5">
        <v>45506.300567129627</v>
      </c>
      <c r="F145" s="2" t="s">
        <v>693</v>
      </c>
      <c r="G145" s="2">
        <v>50260</v>
      </c>
      <c r="H145" s="2">
        <v>0</v>
      </c>
      <c r="I145" s="2">
        <v>0</v>
      </c>
      <c r="J145" s="2">
        <v>14</v>
      </c>
      <c r="K145" s="2" t="s">
        <v>25</v>
      </c>
      <c r="L145" s="4">
        <v>464.9</v>
      </c>
      <c r="M145" s="2"/>
      <c r="N145" t="s">
        <v>4458</v>
      </c>
    </row>
    <row r="146" spans="1:14" ht="158.4" x14ac:dyDescent="0.3">
      <c r="A146" s="2" t="s">
        <v>695</v>
      </c>
      <c r="B146" s="2" t="str">
        <f>HYPERLINK("https://thepicks.com/soccer/charleston-battery-vs-indy-eleven-bet-soccer-usl-championship/")</f>
        <v>https://thepicks.com/soccer/charleston-battery-vs-indy-eleven-bet-soccer-usl-championship/</v>
      </c>
      <c r="C146" s="2" t="s">
        <v>464</v>
      </c>
      <c r="D146" s="2" t="s">
        <v>465</v>
      </c>
      <c r="E146" s="5">
        <v>45505.627233796287</v>
      </c>
      <c r="F146" s="2" t="s">
        <v>696</v>
      </c>
      <c r="G146" s="2"/>
      <c r="H146" s="2">
        <v>0</v>
      </c>
      <c r="I146" s="2">
        <v>0</v>
      </c>
      <c r="J146" s="2">
        <v>0</v>
      </c>
      <c r="K146" s="2" t="s">
        <v>25</v>
      </c>
      <c r="L146" s="2"/>
      <c r="M146" s="2"/>
      <c r="N146" t="s">
        <v>4459</v>
      </c>
    </row>
    <row r="147" spans="1:14" ht="237.6" x14ac:dyDescent="0.3">
      <c r="A147" s="2" t="s">
        <v>34</v>
      </c>
      <c r="B147" s="2" t="str">
        <f>HYPERLINK("https://www.heraldbulletin.com/sports/coming-up/article_ecd6aafa-4f65-11ef-99b2-9750020cd8d4.html")</f>
        <v>https://www.heraldbulletin.com/sports/coming-up/article_ecd6aafa-4f65-11ef-99b2-9750020cd8d4.html</v>
      </c>
      <c r="C147" s="2"/>
      <c r="D147" s="2" t="s">
        <v>35</v>
      </c>
      <c r="E147" s="5">
        <v>45505.292916666673</v>
      </c>
      <c r="F147" s="2" t="s">
        <v>693</v>
      </c>
      <c r="G147" s="2">
        <v>50260</v>
      </c>
      <c r="H147" s="2">
        <v>0</v>
      </c>
      <c r="I147" s="2">
        <v>0</v>
      </c>
      <c r="J147" s="2">
        <v>58</v>
      </c>
      <c r="K147" s="2" t="s">
        <v>25</v>
      </c>
      <c r="L147" s="4">
        <v>464.9</v>
      </c>
      <c r="M147" s="2"/>
      <c r="N147" t="s">
        <v>4458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D888E-2385-4AD2-8EC6-BF43A8878689}">
  <dimension ref="A1:N57"/>
  <sheetViews>
    <sheetView topLeftCell="E57" workbookViewId="0">
      <selection activeCell="K58" sqref="K58"/>
    </sheetView>
  </sheetViews>
  <sheetFormatPr defaultRowHeight="14.4" x14ac:dyDescent="0.3"/>
  <cols>
    <col min="1" max="1" width="25.5546875" customWidth="1"/>
    <col min="2" max="2" width="21" customWidth="1"/>
    <col min="4" max="4" width="18.77734375" customWidth="1"/>
    <col min="5" max="5" width="21" customWidth="1"/>
    <col min="13" max="13" width="15.109375" bestFit="1" customWidth="1"/>
  </cols>
  <sheetData>
    <row r="1" spans="1:14" x14ac:dyDescent="0.3">
      <c r="A1" s="1" t="s">
        <v>13</v>
      </c>
      <c r="B1" s="1" t="s">
        <v>2</v>
      </c>
      <c r="C1" s="1" t="s">
        <v>14</v>
      </c>
      <c r="D1" s="1" t="s">
        <v>15</v>
      </c>
      <c r="E1" s="1" t="s">
        <v>16</v>
      </c>
      <c r="F1" s="1" t="s">
        <v>17</v>
      </c>
      <c r="G1" s="1" t="s">
        <v>18</v>
      </c>
      <c r="H1" s="1" t="s">
        <v>19</v>
      </c>
      <c r="I1" s="1" t="s">
        <v>20</v>
      </c>
      <c r="J1" s="1" t="s">
        <v>7</v>
      </c>
      <c r="K1" s="1" t="s">
        <v>21</v>
      </c>
      <c r="L1" s="1" t="s">
        <v>22</v>
      </c>
      <c r="M1" s="1" t="s">
        <v>23</v>
      </c>
      <c r="N1" s="1" t="s">
        <v>4456</v>
      </c>
    </row>
    <row r="2" spans="1:14" ht="409.6" x14ac:dyDescent="0.3">
      <c r="A2" s="2" t="s">
        <v>106</v>
      </c>
      <c r="B2" s="2" t="str">
        <f>HYPERLINK("https://www.uslchampionship.com/news_article/show/1319613")</f>
        <v>https://www.uslchampionship.com/news_article/show/1319613</v>
      </c>
      <c r="C2" s="2" t="s">
        <v>26</v>
      </c>
      <c r="D2" s="2" t="s">
        <v>28</v>
      </c>
      <c r="E2" s="5">
        <v>45565.729166666657</v>
      </c>
      <c r="F2" s="2" t="s">
        <v>248</v>
      </c>
      <c r="G2" s="2">
        <v>44392</v>
      </c>
      <c r="H2" s="2">
        <v>0</v>
      </c>
      <c r="I2" s="2">
        <v>0</v>
      </c>
      <c r="J2" s="2">
        <v>12</v>
      </c>
      <c r="K2" s="2" t="s">
        <v>25</v>
      </c>
      <c r="L2" s="4">
        <v>410.63</v>
      </c>
      <c r="M2" s="2"/>
      <c r="N2" t="s">
        <v>4457</v>
      </c>
    </row>
    <row r="3" spans="1:14" ht="52.8" x14ac:dyDescent="0.3">
      <c r="A3" s="2" t="s">
        <v>251</v>
      </c>
      <c r="B3" s="2" t="str">
        <f>HYPERLINK("https://www.wishtv.com/contests/win-tickets-to-see-the-indy-eleven-play-october-19/")</f>
        <v>https://www.wishtv.com/contests/win-tickets-to-see-the-indy-eleven-play-october-19/</v>
      </c>
      <c r="C3" s="2" t="s">
        <v>55</v>
      </c>
      <c r="D3" s="2" t="s">
        <v>38</v>
      </c>
      <c r="E3" s="5">
        <v>45565.333333333343</v>
      </c>
      <c r="F3" s="2"/>
      <c r="G3" s="2">
        <v>568116</v>
      </c>
      <c r="H3" s="2">
        <v>0</v>
      </c>
      <c r="I3" s="2">
        <v>0</v>
      </c>
      <c r="J3" s="2">
        <v>0</v>
      </c>
      <c r="K3" s="2"/>
      <c r="L3" s="4">
        <v>5255.07</v>
      </c>
      <c r="M3" s="2"/>
      <c r="N3" t="s">
        <v>4458</v>
      </c>
    </row>
    <row r="4" spans="1:14" ht="409.6" x14ac:dyDescent="0.3">
      <c r="A4" s="2" t="s">
        <v>252</v>
      </c>
      <c r="B4" s="2" t="str">
        <f>HYPERLINK("https://www.wishtv.com/sports/indy-eleven/indy-eleven-vs-the-miami-fc-from-sept-28-2024/")</f>
        <v>https://www.wishtv.com/sports/indy-eleven/indy-eleven-vs-the-miami-fc-from-sept-28-2024/</v>
      </c>
      <c r="C4" s="2" t="s">
        <v>109</v>
      </c>
      <c r="D4" s="2" t="s">
        <v>38</v>
      </c>
      <c r="E4" s="5">
        <v>45565.294212962966</v>
      </c>
      <c r="F4" s="2" t="s">
        <v>253</v>
      </c>
      <c r="G4" s="2">
        <v>568116</v>
      </c>
      <c r="H4" s="2">
        <v>0</v>
      </c>
      <c r="I4" s="2">
        <v>0</v>
      </c>
      <c r="J4" s="2">
        <v>0</v>
      </c>
      <c r="K4" s="2" t="s">
        <v>31</v>
      </c>
      <c r="L4" s="4">
        <v>5255.07</v>
      </c>
      <c r="M4" s="2"/>
      <c r="N4" t="s">
        <v>4458</v>
      </c>
    </row>
    <row r="5" spans="1:14" ht="409.6" x14ac:dyDescent="0.3">
      <c r="A5" s="2" t="s">
        <v>254</v>
      </c>
      <c r="B5" s="2" t="str">
        <f>HYPERLINK("https://footballsierraleone.net/2024/09/29/sierra-leones-augustine-williams-nets-hat-trick-in-13-minutes/")</f>
        <v>https://footballsierraleone.net/2024/09/29/sierra-leones-augustine-williams-nets-hat-trick-in-13-minutes/</v>
      </c>
      <c r="C5" s="2" t="s">
        <v>189</v>
      </c>
      <c r="D5" s="2" t="s">
        <v>190</v>
      </c>
      <c r="E5" s="5">
        <v>45564.230081018519</v>
      </c>
      <c r="F5" s="2" t="s">
        <v>255</v>
      </c>
      <c r="G5" s="2">
        <v>991</v>
      </c>
      <c r="H5" s="2">
        <v>0</v>
      </c>
      <c r="I5" s="2">
        <v>0</v>
      </c>
      <c r="J5" s="2">
        <v>0</v>
      </c>
      <c r="K5" s="2" t="s">
        <v>31</v>
      </c>
      <c r="L5" s="4">
        <v>9.17</v>
      </c>
      <c r="M5" s="2"/>
      <c r="N5" t="s">
        <v>4459</v>
      </c>
    </row>
    <row r="6" spans="1:14" ht="409.6" x14ac:dyDescent="0.3">
      <c r="A6" s="2" t="s">
        <v>256</v>
      </c>
      <c r="B6" s="2" t="str">
        <f>HYPERLINK("https://www.oursportscentral.com/services/releases/augi-williams-makes-history-in-4-0-indy-eleven-victory/n-6152121")</f>
        <v>https://www.oursportscentral.com/services/releases/augi-williams-makes-history-in-4-0-indy-eleven-victory/n-6152121</v>
      </c>
      <c r="C6" s="2"/>
      <c r="D6" s="2" t="s">
        <v>24</v>
      </c>
      <c r="E6" s="5">
        <v>45563.823611111111</v>
      </c>
      <c r="F6" s="2" t="s">
        <v>257</v>
      </c>
      <c r="G6" s="2">
        <v>40402</v>
      </c>
      <c r="H6" s="2">
        <v>0</v>
      </c>
      <c r="I6" s="2">
        <v>0</v>
      </c>
      <c r="J6" s="2">
        <v>0</v>
      </c>
      <c r="K6" s="2" t="s">
        <v>31</v>
      </c>
      <c r="L6" s="4">
        <v>373.72</v>
      </c>
      <c r="M6" s="2"/>
      <c r="N6" t="s">
        <v>4457</v>
      </c>
    </row>
    <row r="7" spans="1:14" ht="409.6" x14ac:dyDescent="0.3">
      <c r="A7" s="2" t="s">
        <v>258</v>
      </c>
      <c r="B7" s="2" t="str">
        <f>HYPERLINK("https://www.oursportscentral.com/services/releases/9-28-2024-indy-eleven-vs-miami-fc--game-highlights/n-6152103")</f>
        <v>https://www.oursportscentral.com/services/releases/9-28-2024-indy-eleven-vs-miami-fc--game-highlights/n-6152103</v>
      </c>
      <c r="C7" s="2"/>
      <c r="D7" s="2" t="s">
        <v>24</v>
      </c>
      <c r="E7" s="5">
        <v>45563.809027777781</v>
      </c>
      <c r="F7" s="2" t="s">
        <v>259</v>
      </c>
      <c r="G7" s="2">
        <v>40402</v>
      </c>
      <c r="H7" s="2">
        <v>0</v>
      </c>
      <c r="I7" s="2">
        <v>0</v>
      </c>
      <c r="J7" s="2">
        <v>0</v>
      </c>
      <c r="K7" s="2" t="s">
        <v>25</v>
      </c>
      <c r="L7" s="4">
        <v>373.72</v>
      </c>
      <c r="M7" s="2"/>
      <c r="N7" t="s">
        <v>4457</v>
      </c>
    </row>
    <row r="8" spans="1:14" ht="409.6" x14ac:dyDescent="0.3">
      <c r="A8" s="2" t="s">
        <v>260</v>
      </c>
      <c r="B8" s="2" t="str">
        <f>HYPERLINK("https://1075thefan.com/421337/soccer-saturday-9-28-24/")</f>
        <v>https://1075thefan.com/421337/soccer-saturday-9-28-24/</v>
      </c>
      <c r="C8" s="2" t="s">
        <v>74</v>
      </c>
      <c r="D8" s="2" t="s">
        <v>75</v>
      </c>
      <c r="E8" s="5">
        <v>45563.426550925928</v>
      </c>
      <c r="F8" s="2" t="s">
        <v>261</v>
      </c>
      <c r="G8" s="2">
        <v>208881</v>
      </c>
      <c r="H8" s="2">
        <v>0</v>
      </c>
      <c r="I8" s="2">
        <v>0</v>
      </c>
      <c r="J8" s="2">
        <v>0</v>
      </c>
      <c r="K8" s="2" t="s">
        <v>31</v>
      </c>
      <c r="L8" s="4">
        <v>1932.15</v>
      </c>
      <c r="M8" s="2"/>
      <c r="N8" t="s">
        <v>4458</v>
      </c>
    </row>
    <row r="9" spans="1:14" ht="409.6" x14ac:dyDescent="0.3">
      <c r="A9" s="2" t="s">
        <v>34</v>
      </c>
      <c r="B9" s="2" t="str">
        <f>HYPERLINK("https://www.heraldbulletin.com/sports/coming-up/article_ff2a32de-7d10-11ef-997d-3b36e904d658.html")</f>
        <v>https://www.heraldbulletin.com/sports/coming-up/article_ff2a32de-7d10-11ef-997d-3b36e904d658.html</v>
      </c>
      <c r="C9" s="2"/>
      <c r="D9" s="2" t="s">
        <v>35</v>
      </c>
      <c r="E9" s="5">
        <v>45563.307164351849</v>
      </c>
      <c r="F9" s="2" t="s">
        <v>262</v>
      </c>
      <c r="G9" s="2">
        <v>50260</v>
      </c>
      <c r="H9" s="2">
        <v>0</v>
      </c>
      <c r="I9" s="2">
        <v>0</v>
      </c>
      <c r="J9" s="2">
        <v>14</v>
      </c>
      <c r="K9" s="2" t="s">
        <v>25</v>
      </c>
      <c r="L9" s="4">
        <v>464.9</v>
      </c>
      <c r="M9" s="2"/>
      <c r="N9" t="s">
        <v>4458</v>
      </c>
    </row>
    <row r="10" spans="1:14" ht="409.6" x14ac:dyDescent="0.3">
      <c r="A10" s="2" t="s">
        <v>265</v>
      </c>
      <c r="B10" s="2" t="str">
        <f>HYPERLINK("https://www.oursportscentral.com/services/releases/match-preview-miami-fc-at-indy-eleven/n-6151818")</f>
        <v>https://www.oursportscentral.com/services/releases/match-preview-miami-fc-at-indy-eleven/n-6151818</v>
      </c>
      <c r="C10" s="2"/>
      <c r="D10" s="2" t="s">
        <v>24</v>
      </c>
      <c r="E10" s="5">
        <v>45562.606944444437</v>
      </c>
      <c r="F10" s="2" t="s">
        <v>266</v>
      </c>
      <c r="G10" s="2">
        <v>40402</v>
      </c>
      <c r="H10" s="2">
        <v>0</v>
      </c>
      <c r="I10" s="2">
        <v>0</v>
      </c>
      <c r="J10" s="2">
        <v>0</v>
      </c>
      <c r="K10" s="2" t="s">
        <v>25</v>
      </c>
      <c r="L10" s="4">
        <v>373.72</v>
      </c>
      <c r="M10" s="2"/>
      <c r="N10" t="s">
        <v>4457</v>
      </c>
    </row>
    <row r="11" spans="1:14" ht="409.6" x14ac:dyDescent="0.3">
      <c r="A11" s="2" t="s">
        <v>34</v>
      </c>
      <c r="B11" s="2" t="str">
        <f>HYPERLINK("https://www.heraldbulletin.com/sports/coming-up/article_f62e63c4-7c72-11ef-801b-8f25c1b769b7.html")</f>
        <v>https://www.heraldbulletin.com/sports/coming-up/article_f62e63c4-7c72-11ef-801b-8f25c1b769b7.html</v>
      </c>
      <c r="C11" s="2"/>
      <c r="D11" s="2" t="s">
        <v>35</v>
      </c>
      <c r="E11" s="5">
        <v>45562.306875000002</v>
      </c>
      <c r="F11" s="2" t="s">
        <v>262</v>
      </c>
      <c r="G11" s="2">
        <v>50260</v>
      </c>
      <c r="H11" s="2">
        <v>0</v>
      </c>
      <c r="I11" s="2">
        <v>0</v>
      </c>
      <c r="J11" s="2">
        <v>1</v>
      </c>
      <c r="K11" s="2" t="s">
        <v>25</v>
      </c>
      <c r="L11" s="4">
        <v>464.9</v>
      </c>
      <c r="M11" s="2"/>
      <c r="N11" t="s">
        <v>4458</v>
      </c>
    </row>
    <row r="12" spans="1:14" ht="409.6" x14ac:dyDescent="0.3">
      <c r="A12" s="2" t="s">
        <v>34</v>
      </c>
      <c r="B12" s="2" t="str">
        <f>HYPERLINK("https://www.heraldbulletin.com/sports/coming-up/article_fd2f2962-7b58-11ef-9b0a-9b23a8933afd.html")</f>
        <v>https://www.heraldbulletin.com/sports/coming-up/article_fd2f2962-7b58-11ef-9b0a-9b23a8933afd.html</v>
      </c>
      <c r="C12" s="2"/>
      <c r="D12" s="2" t="s">
        <v>35</v>
      </c>
      <c r="E12" s="5">
        <v>45561.302847222221</v>
      </c>
      <c r="F12" s="2" t="s">
        <v>262</v>
      </c>
      <c r="G12" s="2">
        <v>50260</v>
      </c>
      <c r="H12" s="2">
        <v>0</v>
      </c>
      <c r="I12" s="2">
        <v>0</v>
      </c>
      <c r="J12" s="2">
        <v>28</v>
      </c>
      <c r="K12" s="2" t="s">
        <v>25</v>
      </c>
      <c r="L12" s="4">
        <v>464.9</v>
      </c>
      <c r="M12" s="2"/>
      <c r="N12" t="s">
        <v>4458</v>
      </c>
    </row>
    <row r="13" spans="1:14" ht="118.8" x14ac:dyDescent="0.3">
      <c r="A13" s="2" t="s">
        <v>34</v>
      </c>
      <c r="B13" s="2" t="str">
        <f>HYPERLINK("https://www.heraldbulletin.com/sports/coming-up/article_0beee0ec-7aae-11ef-8b8c-cf35c54c609b.html")</f>
        <v>https://www.heraldbulletin.com/sports/coming-up/article_0beee0ec-7aae-11ef-8b8c-cf35c54c609b.html</v>
      </c>
      <c r="C13" s="2"/>
      <c r="D13" s="2" t="s">
        <v>35</v>
      </c>
      <c r="E13" s="5">
        <v>45560.315312500003</v>
      </c>
      <c r="F13" s="2" t="s">
        <v>282</v>
      </c>
      <c r="G13" s="2">
        <v>50260</v>
      </c>
      <c r="H13" s="2">
        <v>0</v>
      </c>
      <c r="I13" s="2">
        <v>0</v>
      </c>
      <c r="J13" s="2">
        <v>11</v>
      </c>
      <c r="K13" s="2" t="s">
        <v>25</v>
      </c>
      <c r="L13" s="4">
        <v>464.9</v>
      </c>
      <c r="M13" s="2"/>
      <c r="N13" t="s">
        <v>4458</v>
      </c>
    </row>
    <row r="14" spans="1:14" ht="409.6" x14ac:dyDescent="0.3">
      <c r="A14" s="2" t="s">
        <v>292</v>
      </c>
      <c r="B14" s="2" t="str">
        <f>HYPERLINK("https://do317.com/events/2024/9/28/indy-eleven-vs-miami-fc-tickets")</f>
        <v>https://do317.com/events/2024/9/28/indy-eleven-vs-miami-fc-tickets</v>
      </c>
      <c r="C14" s="2"/>
      <c r="D14" s="2" t="s">
        <v>156</v>
      </c>
      <c r="E14" s="5">
        <v>45558.662986111107</v>
      </c>
      <c r="F14" s="2" t="s">
        <v>293</v>
      </c>
      <c r="G14" s="2">
        <v>50131</v>
      </c>
      <c r="H14" s="2">
        <v>0</v>
      </c>
      <c r="I14" s="2">
        <v>0</v>
      </c>
      <c r="J14" s="2">
        <v>29</v>
      </c>
      <c r="K14" s="2" t="s">
        <v>25</v>
      </c>
      <c r="L14" s="4">
        <v>463.71</v>
      </c>
      <c r="M14" s="2"/>
      <c r="N14" t="s">
        <v>4458</v>
      </c>
    </row>
    <row r="15" spans="1:14" ht="409.6" x14ac:dyDescent="0.3">
      <c r="A15" s="2" t="s">
        <v>294</v>
      </c>
      <c r="B15" s="2" t="str">
        <f>HYPERLINK("https://www.uslchampionship.com/news_article/show/1318984")</f>
        <v>https://www.uslchampionship.com/news_article/show/1318984</v>
      </c>
      <c r="C15" s="2" t="s">
        <v>45</v>
      </c>
      <c r="D15" s="2" t="s">
        <v>28</v>
      </c>
      <c r="E15" s="5">
        <v>45558.600694444453</v>
      </c>
      <c r="F15" s="2" t="s">
        <v>295</v>
      </c>
      <c r="G15" s="2">
        <v>44392</v>
      </c>
      <c r="H15" s="2">
        <v>0</v>
      </c>
      <c r="I15" s="2">
        <v>0</v>
      </c>
      <c r="J15" s="2">
        <v>26</v>
      </c>
      <c r="K15" s="2" t="s">
        <v>25</v>
      </c>
      <c r="L15" s="4">
        <v>410.63</v>
      </c>
      <c r="M15" s="2"/>
      <c r="N15" t="s">
        <v>4457</v>
      </c>
    </row>
    <row r="16" spans="1:14" ht="409.6" x14ac:dyDescent="0.3">
      <c r="A16" s="2" t="s">
        <v>302</v>
      </c>
      <c r="B16" s="2" t="str">
        <f>HYPERLINK("https://www.oursportscentral.com/services/releases/indy-eleven-streak-ends-at-north-carolina/n-6150432")</f>
        <v>https://www.oursportscentral.com/services/releases/indy-eleven-streak-ends-at-north-carolina/n-6150432</v>
      </c>
      <c r="C16" s="2"/>
      <c r="D16" s="2" t="s">
        <v>24</v>
      </c>
      <c r="E16" s="5">
        <v>45557.306944444441</v>
      </c>
      <c r="F16" s="2" t="s">
        <v>303</v>
      </c>
      <c r="G16" s="2">
        <v>40402</v>
      </c>
      <c r="H16" s="2">
        <v>0</v>
      </c>
      <c r="I16" s="2">
        <v>0</v>
      </c>
      <c r="J16" s="2">
        <v>0</v>
      </c>
      <c r="K16" s="2" t="s">
        <v>31</v>
      </c>
      <c r="L16" s="4">
        <v>373.72</v>
      </c>
      <c r="M16" s="2"/>
      <c r="N16" t="s">
        <v>4457</v>
      </c>
    </row>
    <row r="17" spans="1:14" ht="409.6" x14ac:dyDescent="0.3">
      <c r="A17" s="2" t="s">
        <v>305</v>
      </c>
      <c r="B17" s="2" t="str">
        <f>HYPERLINK("https://www.wralsportsfan.com/match-recap-north-carolina-fc-beats-indy-eleven-2-0/21637388/")</f>
        <v>https://www.wralsportsfan.com/match-recap-north-carolina-fc-beats-indy-eleven-2-0/21637388/</v>
      </c>
      <c r="C17" s="2" t="s">
        <v>306</v>
      </c>
      <c r="D17" s="2" t="s">
        <v>307</v>
      </c>
      <c r="E17" s="5">
        <v>45557.051261574074</v>
      </c>
      <c r="F17" s="2" t="s">
        <v>308</v>
      </c>
      <c r="G17" s="2">
        <v>123091</v>
      </c>
      <c r="H17" s="2">
        <v>0</v>
      </c>
      <c r="I17" s="2">
        <v>0</v>
      </c>
      <c r="J17" s="2">
        <v>0</v>
      </c>
      <c r="K17" s="2" t="s">
        <v>31</v>
      </c>
      <c r="L17" s="4">
        <v>1138.5899999999999</v>
      </c>
      <c r="M17" s="2"/>
      <c r="N17" t="s">
        <v>4457</v>
      </c>
    </row>
    <row r="18" spans="1:14" ht="409.6" x14ac:dyDescent="0.3">
      <c r="A18" s="2" t="s">
        <v>309</v>
      </c>
      <c r="B18" s="2" t="str">
        <f>HYPERLINK("https://www.wralsportsfan.com/john-bradford-speaks-after-2-0-ncfc-win-vs-indy-eleven/21637389/")</f>
        <v>https://www.wralsportsfan.com/john-bradford-speaks-after-2-0-ncfc-win-vs-indy-eleven/21637389/</v>
      </c>
      <c r="C18" s="2" t="s">
        <v>306</v>
      </c>
      <c r="D18" s="2" t="s">
        <v>307</v>
      </c>
      <c r="E18" s="5">
        <v>45557.049537037034</v>
      </c>
      <c r="F18" s="2" t="s">
        <v>310</v>
      </c>
      <c r="G18" s="2">
        <v>123091</v>
      </c>
      <c r="H18" s="2">
        <v>0</v>
      </c>
      <c r="I18" s="2">
        <v>0</v>
      </c>
      <c r="J18" s="2">
        <v>0</v>
      </c>
      <c r="K18" s="2" t="s">
        <v>25</v>
      </c>
      <c r="L18" s="4">
        <v>1138.5899999999999</v>
      </c>
      <c r="M18" s="2"/>
      <c r="N18" t="s">
        <v>4457</v>
      </c>
    </row>
    <row r="19" spans="1:14" ht="409.6" x14ac:dyDescent="0.3">
      <c r="A19" s="2" t="s">
        <v>311</v>
      </c>
      <c r="B19" s="2" t="str">
        <f>HYPERLINK("https://www.oursportscentral.com/services/releases/north-carolina-fc-blanks-indy-eleven-2-0/n-6150270")</f>
        <v>https://www.oursportscentral.com/services/releases/north-carolina-fc-blanks-indy-eleven-2-0/n-6150270</v>
      </c>
      <c r="C19" s="2"/>
      <c r="D19" s="2" t="s">
        <v>24</v>
      </c>
      <c r="E19" s="5">
        <v>45556.804166666669</v>
      </c>
      <c r="F19" s="2" t="s">
        <v>312</v>
      </c>
      <c r="G19" s="2">
        <v>40402</v>
      </c>
      <c r="H19" s="2">
        <v>0</v>
      </c>
      <c r="I19" s="2">
        <v>0</v>
      </c>
      <c r="J19" s="2">
        <v>0</v>
      </c>
      <c r="K19" s="2" t="s">
        <v>31</v>
      </c>
      <c r="L19" s="4">
        <v>373.72</v>
      </c>
      <c r="M19" s="2"/>
      <c r="N19" t="s">
        <v>4457</v>
      </c>
    </row>
    <row r="20" spans="1:14" ht="409.6" x14ac:dyDescent="0.3">
      <c r="A20" s="2" t="s">
        <v>313</v>
      </c>
      <c r="B20" s="2" t="str">
        <f>HYPERLINK("https://www.oursportscentral.com/services/releases/north-carolina-fc-vs-indy-eleven--game-highlights/n-6150242")</f>
        <v>https://www.oursportscentral.com/services/releases/north-carolina-fc-vs-indy-eleven--game-highlights/n-6150242</v>
      </c>
      <c r="C20" s="2"/>
      <c r="D20" s="2" t="s">
        <v>24</v>
      </c>
      <c r="E20" s="5">
        <v>45556.795138888891</v>
      </c>
      <c r="F20" s="2" t="s">
        <v>314</v>
      </c>
      <c r="G20" s="2">
        <v>40402</v>
      </c>
      <c r="H20" s="2">
        <v>0</v>
      </c>
      <c r="I20" s="2">
        <v>0</v>
      </c>
      <c r="J20" s="2">
        <v>0</v>
      </c>
      <c r="K20" s="2" t="s">
        <v>25</v>
      </c>
      <c r="L20" s="4">
        <v>373.72</v>
      </c>
      <c r="M20" s="2"/>
      <c r="N20" t="s">
        <v>4457</v>
      </c>
    </row>
    <row r="21" spans="1:14" ht="409.6" x14ac:dyDescent="0.3">
      <c r="A21" s="2" t="s">
        <v>34</v>
      </c>
      <c r="B21" s="2" t="str">
        <f>HYPERLINK("https://www.heraldbulletin.com/sports/coming-up/article_4a78a0f2-77af-11ef-b10c-3ffa4004cd4c.html")</f>
        <v>https://www.heraldbulletin.com/sports/coming-up/article_4a78a0f2-77af-11ef-b10c-3ffa4004cd4c.html</v>
      </c>
      <c r="C21" s="2"/>
      <c r="D21" s="2" t="s">
        <v>35</v>
      </c>
      <c r="E21" s="5">
        <v>45556.331412037027</v>
      </c>
      <c r="F21" s="2" t="s">
        <v>315</v>
      </c>
      <c r="G21" s="2">
        <v>50260</v>
      </c>
      <c r="H21" s="2">
        <v>0</v>
      </c>
      <c r="I21" s="2">
        <v>0</v>
      </c>
      <c r="J21" s="2">
        <v>14</v>
      </c>
      <c r="K21" s="2" t="s">
        <v>25</v>
      </c>
      <c r="L21" s="4">
        <v>464.9</v>
      </c>
      <c r="M21" s="2"/>
      <c r="N21" t="s">
        <v>4458</v>
      </c>
    </row>
    <row r="22" spans="1:14" ht="409.6" x14ac:dyDescent="0.3">
      <c r="A22" s="2" t="s">
        <v>34</v>
      </c>
      <c r="B22" s="2" t="str">
        <f>HYPERLINK("https://www.heraldbulletin.com/sports/coming-up/article_fee912ec-7642-11ef-a47f-a7e737e33b41.html")</f>
        <v>https://www.heraldbulletin.com/sports/coming-up/article_fee912ec-7642-11ef-a47f-a7e737e33b41.html</v>
      </c>
      <c r="C22" s="2"/>
      <c r="D22" s="2" t="s">
        <v>35</v>
      </c>
      <c r="E22" s="5">
        <v>45555.292662037027</v>
      </c>
      <c r="F22" s="2" t="s">
        <v>315</v>
      </c>
      <c r="G22" s="2">
        <v>50260</v>
      </c>
      <c r="H22" s="2">
        <v>0</v>
      </c>
      <c r="I22" s="2">
        <v>0</v>
      </c>
      <c r="J22" s="2">
        <v>4</v>
      </c>
      <c r="K22" s="2" t="s">
        <v>25</v>
      </c>
      <c r="L22" s="4">
        <v>464.9</v>
      </c>
      <c r="M22" s="2"/>
      <c r="N22" t="s">
        <v>4458</v>
      </c>
    </row>
    <row r="23" spans="1:14" ht="343.2" x14ac:dyDescent="0.3">
      <c r="A23" s="2" t="s">
        <v>316</v>
      </c>
      <c r="B23" s="2" t="str">
        <f>HYPERLINK("https://www.oursportscentral.com/services/releases/ncfc-hosts-indy-eleven/n-6149404")</f>
        <v>https://www.oursportscentral.com/services/releases/ncfc-hosts-indy-eleven/n-6149404</v>
      </c>
      <c r="C23" s="2"/>
      <c r="D23" s="2" t="s">
        <v>24</v>
      </c>
      <c r="E23" s="5">
        <v>45554.337500000001</v>
      </c>
      <c r="F23" s="2" t="s">
        <v>317</v>
      </c>
      <c r="G23" s="2">
        <v>40402</v>
      </c>
      <c r="H23" s="2">
        <v>0</v>
      </c>
      <c r="I23" s="2">
        <v>0</v>
      </c>
      <c r="J23" s="2">
        <v>0</v>
      </c>
      <c r="K23" s="2" t="s">
        <v>31</v>
      </c>
      <c r="L23" s="4">
        <v>373.72</v>
      </c>
      <c r="M23" s="2"/>
      <c r="N23" t="s">
        <v>4457</v>
      </c>
    </row>
    <row r="24" spans="1:14" ht="409.6" x14ac:dyDescent="0.3">
      <c r="A24" s="2" t="s">
        <v>318</v>
      </c>
      <c r="B24" s="2" t="str">
        <f>HYPERLINK("https://www.uslchampionship.com/news_article/show/1318478")</f>
        <v>https://www.uslchampionship.com/news_article/show/1318478</v>
      </c>
      <c r="C24" s="2" t="s">
        <v>26</v>
      </c>
      <c r="D24" s="2" t="s">
        <v>28</v>
      </c>
      <c r="E24" s="5">
        <v>45552.604166666657</v>
      </c>
      <c r="F24" s="2" t="s">
        <v>319</v>
      </c>
      <c r="G24" s="2">
        <v>44392</v>
      </c>
      <c r="H24" s="2">
        <v>0</v>
      </c>
      <c r="I24" s="2">
        <v>0</v>
      </c>
      <c r="J24" s="2">
        <v>0</v>
      </c>
      <c r="K24" s="2" t="s">
        <v>25</v>
      </c>
      <c r="L24" s="4">
        <v>410.63</v>
      </c>
      <c r="M24" s="2"/>
      <c r="N24" t="s">
        <v>4457</v>
      </c>
    </row>
    <row r="25" spans="1:14" ht="52.8" x14ac:dyDescent="0.3">
      <c r="A25" s="2" t="s">
        <v>324</v>
      </c>
      <c r="B25" s="2" t="str">
        <f>HYPERLINK("https://www.wishtv.com/contests/win-an-indy-eleven-fan-appreciation-prize-pack/")</f>
        <v>https://www.wishtv.com/contests/win-an-indy-eleven-fan-appreciation-prize-pack/</v>
      </c>
      <c r="C25" s="2" t="s">
        <v>55</v>
      </c>
      <c r="D25" s="2" t="s">
        <v>38</v>
      </c>
      <c r="E25" s="5">
        <v>45551.333333333343</v>
      </c>
      <c r="F25" s="2"/>
      <c r="G25" s="2">
        <v>568116</v>
      </c>
      <c r="H25" s="2">
        <v>0</v>
      </c>
      <c r="I25" s="2">
        <v>0</v>
      </c>
      <c r="J25" s="2">
        <v>0</v>
      </c>
      <c r="K25" s="2"/>
      <c r="L25" s="4">
        <v>5255.07</v>
      </c>
      <c r="M25" s="2"/>
      <c r="N25" t="s">
        <v>4458</v>
      </c>
    </row>
    <row r="26" spans="1:14" ht="145.19999999999999" x14ac:dyDescent="0.3">
      <c r="A26" s="2" t="s">
        <v>325</v>
      </c>
      <c r="B26" s="2" t="str">
        <f>HYPERLINK("https://www.wishtv.com/contests/win-tickets-to-see-the-indy-eleven-play-october-5/")</f>
        <v>https://www.wishtv.com/contests/win-tickets-to-see-the-indy-eleven-play-october-5/</v>
      </c>
      <c r="C26" s="2" t="s">
        <v>55</v>
      </c>
      <c r="D26" s="2" t="s">
        <v>38</v>
      </c>
      <c r="E26" s="5">
        <v>45551.333333333343</v>
      </c>
      <c r="F26" s="2" t="s">
        <v>326</v>
      </c>
      <c r="G26" s="2">
        <v>568116</v>
      </c>
      <c r="H26" s="2">
        <v>0</v>
      </c>
      <c r="I26" s="2">
        <v>0</v>
      </c>
      <c r="J26" s="2">
        <v>0</v>
      </c>
      <c r="K26" s="2" t="s">
        <v>25</v>
      </c>
      <c r="L26" s="4">
        <v>5255.07</v>
      </c>
      <c r="M26" s="2"/>
      <c r="N26" t="s">
        <v>4458</v>
      </c>
    </row>
    <row r="27" spans="1:14" ht="409.6" x14ac:dyDescent="0.3">
      <c r="A27" s="2" t="s">
        <v>327</v>
      </c>
      <c r="B27" s="2" t="str">
        <f>HYPERLINK("https://www.wishtv.com/sports/indy-eleven-vs-el-paso-locomotive-fc-from-sept-14-2024/")</f>
        <v>https://www.wishtv.com/sports/indy-eleven-vs-el-paso-locomotive-fc-from-sept-14-2024/</v>
      </c>
      <c r="C27" s="2" t="s">
        <v>109</v>
      </c>
      <c r="D27" s="2" t="s">
        <v>38</v>
      </c>
      <c r="E27" s="5">
        <v>45551.304131944453</v>
      </c>
      <c r="F27" s="2" t="s">
        <v>328</v>
      </c>
      <c r="G27" s="2">
        <v>568116</v>
      </c>
      <c r="H27" s="2">
        <v>0</v>
      </c>
      <c r="I27" s="2">
        <v>0</v>
      </c>
      <c r="J27" s="2">
        <v>0</v>
      </c>
      <c r="K27" s="2" t="s">
        <v>47</v>
      </c>
      <c r="L27" s="4">
        <v>5255.07</v>
      </c>
      <c r="M27" s="2"/>
      <c r="N27" t="s">
        <v>4458</v>
      </c>
    </row>
    <row r="28" spans="1:14" ht="396" x14ac:dyDescent="0.3">
      <c r="A28" s="2" t="s">
        <v>332</v>
      </c>
      <c r="B28" s="2" t="str">
        <f>HYPERLINK("https://sports.yahoo.com/locomotive-fc-suffer-3-1-030823222.html")</f>
        <v>https://sports.yahoo.com/locomotive-fc-suffer-3-1-030823222.html</v>
      </c>
      <c r="C28" s="2"/>
      <c r="D28" s="2" t="s">
        <v>137</v>
      </c>
      <c r="E28" s="5">
        <v>45549.964155092603</v>
      </c>
      <c r="F28" s="2" t="s">
        <v>333</v>
      </c>
      <c r="G28" s="2">
        <v>23172409</v>
      </c>
      <c r="H28" s="2">
        <v>0</v>
      </c>
      <c r="I28" s="2">
        <v>0</v>
      </c>
      <c r="J28" s="2">
        <v>0</v>
      </c>
      <c r="K28" s="2" t="s">
        <v>47</v>
      </c>
      <c r="L28" s="4">
        <v>214344.78</v>
      </c>
      <c r="M28" s="2"/>
      <c r="N28" t="s">
        <v>4457</v>
      </c>
    </row>
    <row r="29" spans="1:14" ht="409.2" x14ac:dyDescent="0.3">
      <c r="A29" s="2" t="s">
        <v>332</v>
      </c>
      <c r="B29" s="2" t="str">
        <f>HYPERLINK("https://www.ktsm.com/sports/locomotive-fc-soccer/locomotive-fc-suffer-3-1-loss-to-indy-eleven/")</f>
        <v>https://www.ktsm.com/sports/locomotive-fc-soccer/locomotive-fc-suffer-3-1-loss-to-indy-eleven/</v>
      </c>
      <c r="C29" s="2"/>
      <c r="D29" s="2" t="s">
        <v>334</v>
      </c>
      <c r="E29" s="5">
        <v>45549.964155092603</v>
      </c>
      <c r="F29" s="2" t="s">
        <v>335</v>
      </c>
      <c r="G29" s="2">
        <v>142319</v>
      </c>
      <c r="H29" s="2">
        <v>1</v>
      </c>
      <c r="I29" s="2">
        <v>2726</v>
      </c>
      <c r="J29" s="2">
        <v>19</v>
      </c>
      <c r="K29" s="2" t="s">
        <v>47</v>
      </c>
      <c r="L29" s="4">
        <v>1316.45</v>
      </c>
      <c r="M29" s="2"/>
      <c r="N29" t="s">
        <v>4457</v>
      </c>
    </row>
    <row r="30" spans="1:14" ht="409.6" x14ac:dyDescent="0.3">
      <c r="A30" s="2" t="s">
        <v>336</v>
      </c>
      <c r="B30" s="2" t="str">
        <f>HYPERLINK("https://www.uslchampionship.com/indyeleven-elpasolocomotivefc-2416518")</f>
        <v>https://www.uslchampionship.com/indyeleven-elpasolocomotivefc-2416518</v>
      </c>
      <c r="C30" s="2"/>
      <c r="D30" s="2" t="s">
        <v>28</v>
      </c>
      <c r="E30" s="5">
        <v>45549.889884259261</v>
      </c>
      <c r="F30" s="2" t="s">
        <v>337</v>
      </c>
      <c r="G30" s="2">
        <v>44392</v>
      </c>
      <c r="H30" s="2">
        <v>0</v>
      </c>
      <c r="I30" s="2">
        <v>0</v>
      </c>
      <c r="J30" s="2">
        <v>0</v>
      </c>
      <c r="K30" s="2" t="s">
        <v>47</v>
      </c>
      <c r="L30" s="4">
        <v>410.63</v>
      </c>
      <c r="M30" s="2"/>
      <c r="N30" t="s">
        <v>4457</v>
      </c>
    </row>
    <row r="31" spans="1:14" ht="409.6" x14ac:dyDescent="0.3">
      <c r="A31" s="2" t="s">
        <v>338</v>
      </c>
      <c r="B31" s="2" t="str">
        <f>HYPERLINK("https://www.oursportscentral.com/services/releases/indy-eleven-offense-explodes-in-3-1-victory/n-6147857")</f>
        <v>https://www.oursportscentral.com/services/releases/indy-eleven-offense-explodes-in-3-1-victory/n-6147857</v>
      </c>
      <c r="C31" s="2"/>
      <c r="D31" s="2" t="s">
        <v>24</v>
      </c>
      <c r="E31" s="5">
        <v>45549.815972222219</v>
      </c>
      <c r="F31" s="2" t="s">
        <v>339</v>
      </c>
      <c r="G31" s="2">
        <v>40402</v>
      </c>
      <c r="H31" s="2">
        <v>0</v>
      </c>
      <c r="I31" s="2">
        <v>0</v>
      </c>
      <c r="J31" s="2">
        <v>0</v>
      </c>
      <c r="K31" s="2" t="s">
        <v>47</v>
      </c>
      <c r="L31" s="4">
        <v>373.72</v>
      </c>
      <c r="M31" s="2"/>
      <c r="N31" t="s">
        <v>4457</v>
      </c>
    </row>
    <row r="32" spans="1:14" ht="409.6" x14ac:dyDescent="0.3">
      <c r="A32" s="2" t="s">
        <v>340</v>
      </c>
      <c r="B32" s="2" t="str">
        <f>HYPERLINK("https://www.oursportscentral.com/services/releases/el-paso-locomotive-fc-falls-3-1-on-the-road-to-indy-eleven/n-6147845")</f>
        <v>https://www.oursportscentral.com/services/releases/el-paso-locomotive-fc-falls-3-1-on-the-road-to-indy-eleven/n-6147845</v>
      </c>
      <c r="C32" s="2"/>
      <c r="D32" s="2" t="s">
        <v>24</v>
      </c>
      <c r="E32" s="5">
        <v>45549.80972222222</v>
      </c>
      <c r="F32" s="2" t="s">
        <v>341</v>
      </c>
      <c r="G32" s="2">
        <v>40402</v>
      </c>
      <c r="H32" s="2">
        <v>0</v>
      </c>
      <c r="I32" s="2">
        <v>0</v>
      </c>
      <c r="J32" s="2">
        <v>0</v>
      </c>
      <c r="K32" s="2" t="s">
        <v>31</v>
      </c>
      <c r="L32" s="4">
        <v>373.72</v>
      </c>
      <c r="M32" s="2"/>
      <c r="N32" t="s">
        <v>4457</v>
      </c>
    </row>
    <row r="33" spans="1:14" ht="79.2" x14ac:dyDescent="0.3">
      <c r="A33" s="2" t="s">
        <v>342</v>
      </c>
      <c r="B33" s="2" t="str">
        <f>HYPERLINK("https://www.oursportscentral.com/services/releases/9-14-2024-indy-eleven-vs-el-paso-locomotive-fc--game-highlights/n-6147811")</f>
        <v>https://www.oursportscentral.com/services/releases/9-14-2024-indy-eleven-vs-el-paso-locomotive-fc--game-highlights/n-6147811</v>
      </c>
      <c r="C33" s="2"/>
      <c r="D33" s="2" t="s">
        <v>24</v>
      </c>
      <c r="E33" s="5">
        <v>45549.767361111109</v>
      </c>
      <c r="F33" s="2" t="s">
        <v>343</v>
      </c>
      <c r="G33" s="2">
        <v>40402</v>
      </c>
      <c r="H33" s="2">
        <v>0</v>
      </c>
      <c r="I33" s="2">
        <v>0</v>
      </c>
      <c r="J33" s="2">
        <v>0</v>
      </c>
      <c r="K33" s="2" t="s">
        <v>25</v>
      </c>
      <c r="L33" s="4">
        <v>373.72</v>
      </c>
      <c r="M33" s="2"/>
      <c r="N33" t="s">
        <v>4457</v>
      </c>
    </row>
    <row r="34" spans="1:14" ht="277.2" x14ac:dyDescent="0.3">
      <c r="A34" s="2" t="s">
        <v>346</v>
      </c>
      <c r="B34" s="2" t="str">
        <f>HYPERLINK("https://1075thefan.com/413233/soccer-saturday-9-14-24/")</f>
        <v>https://1075thefan.com/413233/soccer-saturday-9-14-24/</v>
      </c>
      <c r="C34" s="2" t="s">
        <v>74</v>
      </c>
      <c r="D34" s="2" t="s">
        <v>75</v>
      </c>
      <c r="E34" s="5">
        <v>45549.424826388888</v>
      </c>
      <c r="F34" s="2" t="s">
        <v>347</v>
      </c>
      <c r="G34" s="2">
        <v>208881</v>
      </c>
      <c r="H34" s="2">
        <v>0</v>
      </c>
      <c r="I34" s="2">
        <v>0</v>
      </c>
      <c r="J34" s="2">
        <v>0</v>
      </c>
      <c r="K34" s="2" t="s">
        <v>31</v>
      </c>
      <c r="L34" s="4">
        <v>1932.15</v>
      </c>
      <c r="M34" s="2"/>
      <c r="N34" t="s">
        <v>4458</v>
      </c>
    </row>
    <row r="35" spans="1:14" ht="330" x14ac:dyDescent="0.3">
      <c r="A35" s="2" t="s">
        <v>34</v>
      </c>
      <c r="B35" s="2" t="str">
        <f>HYPERLINK("https://www.heraldbulletin.com/sports/coming-up/article_da69d07e-7218-11ef-9086-ab4f9861a329.html")</f>
        <v>https://www.heraldbulletin.com/sports/coming-up/article_da69d07e-7218-11ef-9086-ab4f9861a329.html</v>
      </c>
      <c r="C35" s="2"/>
      <c r="D35" s="2" t="s">
        <v>35</v>
      </c>
      <c r="E35" s="5">
        <v>45549.300613425927</v>
      </c>
      <c r="F35" s="2" t="s">
        <v>348</v>
      </c>
      <c r="G35" s="2">
        <v>50260</v>
      </c>
      <c r="H35" s="2">
        <v>0</v>
      </c>
      <c r="I35" s="2">
        <v>0</v>
      </c>
      <c r="J35" s="2">
        <v>1</v>
      </c>
      <c r="K35" s="2" t="s">
        <v>25</v>
      </c>
      <c r="L35" s="4">
        <v>464.9</v>
      </c>
      <c r="M35" s="2"/>
      <c r="N35" t="s">
        <v>4458</v>
      </c>
    </row>
    <row r="36" spans="1:14" ht="330" x14ac:dyDescent="0.3">
      <c r="A36" s="2" t="s">
        <v>34</v>
      </c>
      <c r="B36" s="2" t="str">
        <f>HYPERLINK("https://www.heraldbulletin.com/sports/coming-up/article_94ea9e36-7126-11ef-93a7-33463d3eff45.html")</f>
        <v>https://www.heraldbulletin.com/sports/coming-up/article_94ea9e36-7126-11ef-93a7-33463d3eff45.html</v>
      </c>
      <c r="C36" s="2"/>
      <c r="D36" s="2" t="s">
        <v>35</v>
      </c>
      <c r="E36" s="5">
        <v>45548.295844907407</v>
      </c>
      <c r="F36" s="2" t="s">
        <v>350</v>
      </c>
      <c r="G36" s="2">
        <v>50260</v>
      </c>
      <c r="H36" s="2">
        <v>0</v>
      </c>
      <c r="I36" s="2">
        <v>0</v>
      </c>
      <c r="J36" s="2">
        <v>1</v>
      </c>
      <c r="K36" s="2" t="s">
        <v>25</v>
      </c>
      <c r="L36" s="4">
        <v>464.9</v>
      </c>
      <c r="M36" s="2"/>
      <c r="N36" t="s">
        <v>4458</v>
      </c>
    </row>
    <row r="37" spans="1:14" ht="409.6" x14ac:dyDescent="0.3">
      <c r="A37" s="2" t="s">
        <v>351</v>
      </c>
      <c r="B37" s="2" t="str">
        <f>HYPERLINK("https://www.oursportscentral.com/services/releases/el-paso-locomotive-fc-make-first-ever-trip-to-indy-eleven/n-6147110")</f>
        <v>https://www.oursportscentral.com/services/releases/el-paso-locomotive-fc-make-first-ever-trip-to-indy-eleven/n-6147110</v>
      </c>
      <c r="C37" s="2"/>
      <c r="D37" s="2" t="s">
        <v>24</v>
      </c>
      <c r="E37" s="5">
        <v>45547.673611111109</v>
      </c>
      <c r="F37" s="2" t="s">
        <v>352</v>
      </c>
      <c r="G37" s="2">
        <v>40402</v>
      </c>
      <c r="H37" s="2">
        <v>0</v>
      </c>
      <c r="I37" s="2">
        <v>0</v>
      </c>
      <c r="J37" s="2">
        <v>0</v>
      </c>
      <c r="K37" s="2" t="s">
        <v>25</v>
      </c>
      <c r="L37" s="4">
        <v>373.72</v>
      </c>
      <c r="M37" s="2"/>
      <c r="N37" t="s">
        <v>4457</v>
      </c>
    </row>
    <row r="38" spans="1:14" ht="237.6" x14ac:dyDescent="0.3">
      <c r="A38" s="2" t="s">
        <v>355</v>
      </c>
      <c r="B38" s="2" t="str">
        <f>HYPERLINK("https://www.axios.com/local/indianapolis/2024/09/12/indianapolis-weekend-events-indiana-fever-ghost-tours")</f>
        <v>https://www.axios.com/local/indianapolis/2024/09/12/indianapolis-weekend-events-indiana-fever-ghost-tours</v>
      </c>
      <c r="C38" s="2" t="s">
        <v>356</v>
      </c>
      <c r="D38" s="2" t="s">
        <v>144</v>
      </c>
      <c r="E38" s="5">
        <v>45547.550902777781</v>
      </c>
      <c r="F38" s="2" t="s">
        <v>357</v>
      </c>
      <c r="G38" s="2">
        <v>14450483</v>
      </c>
      <c r="H38" s="2">
        <v>0</v>
      </c>
      <c r="I38" s="2">
        <v>0</v>
      </c>
      <c r="J38" s="2">
        <v>0</v>
      </c>
      <c r="K38" s="2" t="s">
        <v>47</v>
      </c>
      <c r="L38" s="4">
        <v>133666.97</v>
      </c>
      <c r="M38" s="2"/>
      <c r="N38" t="s">
        <v>4458</v>
      </c>
    </row>
    <row r="39" spans="1:14" ht="330" x14ac:dyDescent="0.3">
      <c r="A39" s="2" t="s">
        <v>34</v>
      </c>
      <c r="B39" s="2" t="str">
        <f>HYPERLINK("https://www.heraldbulletin.com/sports/coming-up/article_7070d918-7067-11ef-b980-4fee775e9722.html")</f>
        <v>https://www.heraldbulletin.com/sports/coming-up/article_7070d918-7067-11ef-b980-4fee775e9722.html</v>
      </c>
      <c r="C39" s="2"/>
      <c r="D39" s="2" t="s">
        <v>35</v>
      </c>
      <c r="E39" s="5">
        <v>45547.295798611107</v>
      </c>
      <c r="F39" s="2" t="s">
        <v>350</v>
      </c>
      <c r="G39" s="2">
        <v>50260</v>
      </c>
      <c r="H39" s="2">
        <v>0</v>
      </c>
      <c r="I39" s="2">
        <v>0</v>
      </c>
      <c r="J39" s="2">
        <v>10</v>
      </c>
      <c r="K39" s="2" t="s">
        <v>25</v>
      </c>
      <c r="L39" s="4">
        <v>464.9</v>
      </c>
      <c r="M39" s="2"/>
      <c r="N39" t="s">
        <v>4458</v>
      </c>
    </row>
    <row r="40" spans="1:14" ht="369.6" x14ac:dyDescent="0.3">
      <c r="A40" s="2" t="s">
        <v>358</v>
      </c>
      <c r="B40" s="2" t="str">
        <f>HYPERLINK("https://www.wishtv.com/podcast-episode/indy-eleven-coaches-show-episode-7/")</f>
        <v>https://www.wishtv.com/podcast-episode/indy-eleven-coaches-show-episode-7/</v>
      </c>
      <c r="C40" s="2"/>
      <c r="D40" s="2" t="s">
        <v>38</v>
      </c>
      <c r="E40" s="5">
        <v>45546.347453703696</v>
      </c>
      <c r="F40" s="2" t="s">
        <v>39</v>
      </c>
      <c r="G40" s="2">
        <v>568116</v>
      </c>
      <c r="H40" s="2">
        <v>0</v>
      </c>
      <c r="I40" s="2">
        <v>0</v>
      </c>
      <c r="J40" s="2">
        <v>0</v>
      </c>
      <c r="K40" s="2" t="s">
        <v>47</v>
      </c>
      <c r="L40" s="4">
        <v>5255.07</v>
      </c>
      <c r="M40" s="2"/>
      <c r="N40" t="s">
        <v>4458</v>
      </c>
    </row>
    <row r="41" spans="1:14" ht="118.8" x14ac:dyDescent="0.3">
      <c r="A41" s="2" t="s">
        <v>34</v>
      </c>
      <c r="B41" s="2" t="str">
        <f>HYPERLINK("https://www.heraldbulletin.com/sports/coming-up/article_b4e9880c-6fa8-11ef-a64f-5f1681897264.html")</f>
        <v>https://www.heraldbulletin.com/sports/coming-up/article_b4e9880c-6fa8-11ef-a64f-5f1681897264.html</v>
      </c>
      <c r="C41" s="2"/>
      <c r="D41" s="2" t="s">
        <v>35</v>
      </c>
      <c r="E41" s="5">
        <v>45546.299178240741</v>
      </c>
      <c r="F41" s="2" t="s">
        <v>359</v>
      </c>
      <c r="G41" s="2">
        <v>50260</v>
      </c>
      <c r="H41" s="2">
        <v>0</v>
      </c>
      <c r="I41" s="2">
        <v>0</v>
      </c>
      <c r="J41" s="2">
        <v>12</v>
      </c>
      <c r="K41" s="2" t="s">
        <v>25</v>
      </c>
      <c r="L41" s="4">
        <v>464.9</v>
      </c>
      <c r="M41" s="2"/>
      <c r="N41" t="s">
        <v>4458</v>
      </c>
    </row>
    <row r="42" spans="1:14" ht="409.6" x14ac:dyDescent="0.3">
      <c r="A42" s="2" t="s">
        <v>362</v>
      </c>
      <c r="B42" s="2" t="str">
        <f>HYPERLINK("https://collinsvillepress.com/2024/09/hartford-athletic-battles-to-scoreless-tie-with-indy-eleven/38527/")</f>
        <v>https://collinsvillepress.com/2024/09/hartford-athletic-battles-to-scoreless-tie-with-indy-eleven/38527/</v>
      </c>
      <c r="C42" s="2" t="s">
        <v>363</v>
      </c>
      <c r="D42" s="2" t="s">
        <v>363</v>
      </c>
      <c r="E42" s="5">
        <v>45542.969976851848</v>
      </c>
      <c r="F42" s="2" t="s">
        <v>364</v>
      </c>
      <c r="G42" s="2">
        <v>687</v>
      </c>
      <c r="H42" s="2">
        <v>0</v>
      </c>
      <c r="I42" s="2">
        <v>0</v>
      </c>
      <c r="J42" s="2">
        <v>0</v>
      </c>
      <c r="K42" s="2" t="s">
        <v>47</v>
      </c>
      <c r="L42" s="4">
        <v>6.35</v>
      </c>
      <c r="M42" s="2"/>
      <c r="N42" t="s">
        <v>4457</v>
      </c>
    </row>
    <row r="43" spans="1:14" ht="409.2" x14ac:dyDescent="0.3">
      <c r="A43" s="2" t="s">
        <v>365</v>
      </c>
      <c r="B43" s="2" t="str">
        <f>HYPERLINK("https://www.oursportscentral.com/services/releases/hartford-draws-indy-0-0-at-home/n-6145428")</f>
        <v>https://www.oursportscentral.com/services/releases/hartford-draws-indy-0-0-at-home/n-6145428</v>
      </c>
      <c r="C43" s="2"/>
      <c r="D43" s="2" t="s">
        <v>24</v>
      </c>
      <c r="E43" s="5">
        <v>45542.823611111111</v>
      </c>
      <c r="F43" s="2" t="s">
        <v>366</v>
      </c>
      <c r="G43" s="2">
        <v>40402</v>
      </c>
      <c r="H43" s="2">
        <v>0</v>
      </c>
      <c r="I43" s="2">
        <v>0</v>
      </c>
      <c r="J43" s="2">
        <v>0</v>
      </c>
      <c r="K43" s="2" t="s">
        <v>31</v>
      </c>
      <c r="L43" s="4">
        <v>373.72</v>
      </c>
      <c r="M43" s="2"/>
      <c r="N43" t="s">
        <v>4457</v>
      </c>
    </row>
    <row r="44" spans="1:14" ht="409.6" x14ac:dyDescent="0.3">
      <c r="A44" s="2" t="s">
        <v>367</v>
      </c>
      <c r="B44" s="2" t="str">
        <f>HYPERLINK("https://www.oursportscentral.com/services/releases/eleven-earn-road-draw-to-move-up-in-eastern-conference-table/n-6145418")</f>
        <v>https://www.oursportscentral.com/services/releases/eleven-earn-road-draw-to-move-up-in-eastern-conference-table/n-6145418</v>
      </c>
      <c r="C44" s="2"/>
      <c r="D44" s="2" t="s">
        <v>24</v>
      </c>
      <c r="E44" s="5">
        <v>45542.806944444441</v>
      </c>
      <c r="F44" s="2" t="s">
        <v>368</v>
      </c>
      <c r="G44" s="2">
        <v>40402</v>
      </c>
      <c r="H44" s="2">
        <v>0</v>
      </c>
      <c r="I44" s="2">
        <v>0</v>
      </c>
      <c r="J44" s="2">
        <v>0</v>
      </c>
      <c r="K44" s="2" t="s">
        <v>25</v>
      </c>
      <c r="L44" s="4">
        <v>373.72</v>
      </c>
      <c r="M44" s="2"/>
      <c r="N44" t="s">
        <v>4457</v>
      </c>
    </row>
    <row r="45" spans="1:14" ht="409.6" x14ac:dyDescent="0.3">
      <c r="A45" s="2" t="s">
        <v>369</v>
      </c>
      <c r="B45" s="2" t="str">
        <f>HYPERLINK("https://www.oursportscentral.com/services/releases/9-7-2024-hartford-athletic-vs-indy-eleven--game-highlights/n-6145368")</f>
        <v>https://www.oursportscentral.com/services/releases/9-7-2024-hartford-athletic-vs-indy-eleven--game-highlights/n-6145368</v>
      </c>
      <c r="C45" s="2"/>
      <c r="D45" s="2" t="s">
        <v>24</v>
      </c>
      <c r="E45" s="5">
        <v>45542.77847222222</v>
      </c>
      <c r="F45" s="2" t="s">
        <v>370</v>
      </c>
      <c r="G45" s="2">
        <v>40402</v>
      </c>
      <c r="H45" s="2">
        <v>0</v>
      </c>
      <c r="I45" s="2">
        <v>0</v>
      </c>
      <c r="J45" s="2">
        <v>0</v>
      </c>
      <c r="K45" s="2" t="s">
        <v>25</v>
      </c>
      <c r="L45" s="4">
        <v>373.72</v>
      </c>
      <c r="M45" s="2"/>
      <c r="N45" t="s">
        <v>4457</v>
      </c>
    </row>
    <row r="46" spans="1:14" ht="409.6" x14ac:dyDescent="0.3">
      <c r="A46" s="2" t="s">
        <v>372</v>
      </c>
      <c r="B46" s="2" t="str">
        <f>HYPERLINK("https://ourcommunitynow.com/P/switchbacks-aim-for-excellent-form-in-first-match-of-challenging-homestand")</f>
        <v>https://ourcommunitynow.com/P/switchbacks-aim-for-excellent-form-in-first-match-of-challenging-homestand</v>
      </c>
      <c r="C46" s="2"/>
      <c r="D46" s="2" t="s">
        <v>59</v>
      </c>
      <c r="E46" s="5">
        <v>45542.519560185188</v>
      </c>
      <c r="F46" s="2" t="s">
        <v>373</v>
      </c>
      <c r="G46" s="2">
        <v>8184</v>
      </c>
      <c r="H46" s="2">
        <v>0</v>
      </c>
      <c r="I46" s="2">
        <v>0</v>
      </c>
      <c r="J46" s="2">
        <v>0</v>
      </c>
      <c r="K46" s="2" t="s">
        <v>25</v>
      </c>
      <c r="L46" s="4">
        <v>75.7</v>
      </c>
      <c r="M46" s="2"/>
      <c r="N46" t="s">
        <v>4457</v>
      </c>
    </row>
    <row r="47" spans="1:14" ht="409.6" x14ac:dyDescent="0.3">
      <c r="A47" s="2" t="s">
        <v>374</v>
      </c>
      <c r="B47" s="2" t="str">
        <f>HYPERLINK("https://1075thefan.com/408589/soccer-saturday-9-7-24/")</f>
        <v>https://1075thefan.com/408589/soccer-saturday-9-7-24/</v>
      </c>
      <c r="C47" s="2" t="s">
        <v>74</v>
      </c>
      <c r="D47" s="2" t="s">
        <v>75</v>
      </c>
      <c r="E47" s="5">
        <v>45542.428460648152</v>
      </c>
      <c r="F47" s="2" t="s">
        <v>375</v>
      </c>
      <c r="G47" s="2">
        <v>208881</v>
      </c>
      <c r="H47" s="2">
        <v>0</v>
      </c>
      <c r="I47" s="2">
        <v>0</v>
      </c>
      <c r="J47" s="2">
        <v>0</v>
      </c>
      <c r="K47" s="2" t="s">
        <v>31</v>
      </c>
      <c r="L47" s="4">
        <v>1932.15</v>
      </c>
      <c r="M47" s="2"/>
      <c r="N47" t="s">
        <v>4458</v>
      </c>
    </row>
    <row r="48" spans="1:14" ht="382.8" x14ac:dyDescent="0.3">
      <c r="A48" s="2" t="s">
        <v>34</v>
      </c>
      <c r="B48" s="2" t="str">
        <f>HYPERLINK("https://www.heraldbulletin.com/sports/coming-up/article_bd77aa32-6c9a-11ef-81ec-0b51401b7ec5.html")</f>
        <v>https://www.heraldbulletin.com/sports/coming-up/article_bd77aa32-6c9a-11ef-81ec-0b51401b7ec5.html</v>
      </c>
      <c r="C48" s="2"/>
      <c r="D48" s="2" t="s">
        <v>35</v>
      </c>
      <c r="E48" s="5">
        <v>45542.307615740741</v>
      </c>
      <c r="F48" s="2" t="s">
        <v>376</v>
      </c>
      <c r="G48" s="2">
        <v>50260</v>
      </c>
      <c r="H48" s="2">
        <v>0</v>
      </c>
      <c r="I48" s="2">
        <v>0</v>
      </c>
      <c r="J48" s="2">
        <v>30</v>
      </c>
      <c r="K48" s="2" t="s">
        <v>25</v>
      </c>
      <c r="L48" s="4">
        <v>464.9</v>
      </c>
      <c r="M48" s="2"/>
      <c r="N48" t="s">
        <v>4458</v>
      </c>
    </row>
    <row r="49" spans="1:14" ht="290.39999999999998" x14ac:dyDescent="0.3">
      <c r="A49" s="2" t="s">
        <v>377</v>
      </c>
      <c r="B49" s="2" t="str">
        <f>HYPERLINK("https://www.theblazingmusket.com/p/hartford-athletic-host-indy-eleven")</f>
        <v>https://www.theblazingmusket.com/p/hartford-athletic-host-indy-eleven</v>
      </c>
      <c r="C49" s="2" t="s">
        <v>378</v>
      </c>
      <c r="D49" s="2" t="s">
        <v>226</v>
      </c>
      <c r="E49" s="5">
        <v>45542.120358796303</v>
      </c>
      <c r="F49" s="2" t="s">
        <v>379</v>
      </c>
      <c r="G49" s="2">
        <v>5947</v>
      </c>
      <c r="H49" s="2">
        <v>0</v>
      </c>
      <c r="I49" s="2">
        <v>0</v>
      </c>
      <c r="J49" s="2">
        <v>0</v>
      </c>
      <c r="K49" s="2" t="s">
        <v>25</v>
      </c>
      <c r="L49" s="4">
        <v>55.01</v>
      </c>
      <c r="M49" s="2"/>
      <c r="N49" t="s">
        <v>4457</v>
      </c>
    </row>
    <row r="50" spans="1:14" ht="198" x14ac:dyDescent="0.3">
      <c r="A50" s="2" t="s">
        <v>381</v>
      </c>
      <c r="B50" s="2" t="str">
        <f>HYPERLINK("https://www.oursportscentral.com/services/releases/hartford-return-home-to-face-indy-eleven/n-6144976")</f>
        <v>https://www.oursportscentral.com/services/releases/hartford-return-home-to-face-indy-eleven/n-6144976</v>
      </c>
      <c r="C50" s="2"/>
      <c r="D50" s="2" t="s">
        <v>24</v>
      </c>
      <c r="E50" s="5">
        <v>45541.581250000003</v>
      </c>
      <c r="F50" s="2" t="s">
        <v>382</v>
      </c>
      <c r="G50" s="2">
        <v>40402</v>
      </c>
      <c r="H50" s="2">
        <v>0</v>
      </c>
      <c r="I50" s="2">
        <v>0</v>
      </c>
      <c r="J50" s="2">
        <v>0</v>
      </c>
      <c r="K50" s="2" t="s">
        <v>31</v>
      </c>
      <c r="L50" s="4">
        <v>373.72</v>
      </c>
      <c r="M50" s="2"/>
      <c r="N50" t="s">
        <v>4457</v>
      </c>
    </row>
    <row r="51" spans="1:14" ht="382.8" x14ac:dyDescent="0.3">
      <c r="A51" s="2" t="s">
        <v>34</v>
      </c>
      <c r="B51" s="2" t="str">
        <f>HYPERLINK("https://www.heraldbulletin.com/sports/coming-up/article_90713ec2-6ba5-11ef-96c9-bb21547bc8e4.html")</f>
        <v>https://www.heraldbulletin.com/sports/coming-up/article_90713ec2-6ba5-11ef-96c9-bb21547bc8e4.html</v>
      </c>
      <c r="C51" s="2"/>
      <c r="D51" s="2" t="s">
        <v>35</v>
      </c>
      <c r="E51" s="5">
        <v>45541.298078703701</v>
      </c>
      <c r="F51" s="2" t="s">
        <v>376</v>
      </c>
      <c r="G51" s="2">
        <v>50260</v>
      </c>
      <c r="H51" s="2">
        <v>0</v>
      </c>
      <c r="I51" s="2">
        <v>0</v>
      </c>
      <c r="J51" s="2">
        <v>22</v>
      </c>
      <c r="K51" s="2" t="s">
        <v>25</v>
      </c>
      <c r="L51" s="4">
        <v>464.9</v>
      </c>
      <c r="M51" s="2"/>
      <c r="N51" t="s">
        <v>4458</v>
      </c>
    </row>
    <row r="52" spans="1:14" ht="382.8" x14ac:dyDescent="0.3">
      <c r="A52" s="2" t="s">
        <v>34</v>
      </c>
      <c r="B52" s="2" t="str">
        <f>HYPERLINK("https://www.heraldbulletin.com/sports/coming-up/article_cfb009bc-6adb-11ef-b360-07801b1f9fbf.html")</f>
        <v>https://www.heraldbulletin.com/sports/coming-up/article_cfb009bc-6adb-11ef-b360-07801b1f9fbf.html</v>
      </c>
      <c r="C52" s="2"/>
      <c r="D52" s="2" t="s">
        <v>35</v>
      </c>
      <c r="E52" s="5">
        <v>45540.308634259258</v>
      </c>
      <c r="F52" s="2" t="s">
        <v>376</v>
      </c>
      <c r="G52" s="2">
        <v>50260</v>
      </c>
      <c r="H52" s="2">
        <v>0</v>
      </c>
      <c r="I52" s="2">
        <v>0</v>
      </c>
      <c r="J52" s="2">
        <v>16</v>
      </c>
      <c r="K52" s="2" t="s">
        <v>25</v>
      </c>
      <c r="L52" s="4">
        <v>464.9</v>
      </c>
      <c r="M52" s="2"/>
      <c r="N52" t="s">
        <v>4458</v>
      </c>
    </row>
    <row r="53" spans="1:14" ht="264" x14ac:dyDescent="0.3">
      <c r="A53" s="2" t="s">
        <v>34</v>
      </c>
      <c r="B53" s="2" t="str">
        <f>HYPERLINK("https://www.heraldbulletin.com/sports/coming-up/article_2102a20c-6a28-11ef-971f-e704c2702875.html")</f>
        <v>https://www.heraldbulletin.com/sports/coming-up/article_2102a20c-6a28-11ef-971f-e704c2702875.html</v>
      </c>
      <c r="C53" s="2"/>
      <c r="D53" s="2" t="s">
        <v>35</v>
      </c>
      <c r="E53" s="5">
        <v>45539.303217592591</v>
      </c>
      <c r="F53" s="2" t="s">
        <v>386</v>
      </c>
      <c r="G53" s="2">
        <v>50260</v>
      </c>
      <c r="H53" s="2">
        <v>0</v>
      </c>
      <c r="I53" s="2">
        <v>0</v>
      </c>
      <c r="J53" s="2">
        <v>1</v>
      </c>
      <c r="K53" s="2" t="s">
        <v>25</v>
      </c>
      <c r="L53" s="4">
        <v>464.9</v>
      </c>
      <c r="M53" s="2"/>
      <c r="N53" t="s">
        <v>4458</v>
      </c>
    </row>
    <row r="54" spans="1:14" ht="409.2" x14ac:dyDescent="0.3">
      <c r="A54" s="2" t="s">
        <v>387</v>
      </c>
      <c r="B54" s="2" t="str">
        <f>HYPERLINK("https://www.uslchampionship.com/news_article/show/1317271")</f>
        <v>https://www.uslchampionship.com/news_article/show/1317271</v>
      </c>
      <c r="C54" s="2" t="s">
        <v>26</v>
      </c>
      <c r="D54" s="2" t="s">
        <v>28</v>
      </c>
      <c r="E54" s="5">
        <v>45538.538888888892</v>
      </c>
      <c r="F54" s="2" t="s">
        <v>388</v>
      </c>
      <c r="G54" s="2">
        <v>44392</v>
      </c>
      <c r="H54" s="2">
        <v>0</v>
      </c>
      <c r="I54" s="2">
        <v>0</v>
      </c>
      <c r="J54" s="2">
        <v>15</v>
      </c>
      <c r="K54" s="2" t="s">
        <v>25</v>
      </c>
      <c r="L54" s="4">
        <v>410.63</v>
      </c>
      <c r="M54" s="2"/>
      <c r="N54" t="s">
        <v>4457</v>
      </c>
    </row>
    <row r="55" spans="1:14" ht="409.6" x14ac:dyDescent="0.3">
      <c r="A55" s="2" t="s">
        <v>389</v>
      </c>
      <c r="B55" s="2" t="str">
        <f>HYPERLINK("https://www.wishtv.com/sports/indy-eleven/indy-eleven-vs-pittsburgh-riverhounds-sc-from-aug-31-2024/")</f>
        <v>https://www.wishtv.com/sports/indy-eleven/indy-eleven-vs-pittsburgh-riverhounds-sc-from-aug-31-2024/</v>
      </c>
      <c r="C55" s="2" t="s">
        <v>109</v>
      </c>
      <c r="D55" s="2" t="s">
        <v>38</v>
      </c>
      <c r="E55" s="5">
        <v>45538.382696759261</v>
      </c>
      <c r="F55" s="2" t="s">
        <v>390</v>
      </c>
      <c r="G55" s="2">
        <v>568116</v>
      </c>
      <c r="H55" s="2">
        <v>0</v>
      </c>
      <c r="I55" s="2">
        <v>0</v>
      </c>
      <c r="J55" s="2">
        <v>0</v>
      </c>
      <c r="K55" s="2" t="s">
        <v>47</v>
      </c>
      <c r="L55" s="4">
        <v>5255.07</v>
      </c>
      <c r="M55" s="2"/>
      <c r="N55" t="s">
        <v>4458</v>
      </c>
    </row>
    <row r="56" spans="1:14" ht="409.6" x14ac:dyDescent="0.3">
      <c r="A56" s="2" t="s">
        <v>391</v>
      </c>
      <c r="B56" s="2" t="str">
        <f>HYPERLINK("https://www.oursportscentral.com/services/releases/indy-eleven-signs-midfielder-brem-soumaoro/n-6143541")</f>
        <v>https://www.oursportscentral.com/services/releases/indy-eleven-signs-midfielder-brem-soumaoro/n-6143541</v>
      </c>
      <c r="C56" s="2"/>
      <c r="D56" s="2" t="s">
        <v>24</v>
      </c>
      <c r="E56" s="5">
        <v>45538.372916666667</v>
      </c>
      <c r="F56" s="2" t="s">
        <v>392</v>
      </c>
      <c r="G56" s="2">
        <v>40402</v>
      </c>
      <c r="H56" s="2">
        <v>0</v>
      </c>
      <c r="I56" s="2">
        <v>0</v>
      </c>
      <c r="J56" s="2">
        <v>0</v>
      </c>
      <c r="K56" s="2" t="s">
        <v>25</v>
      </c>
      <c r="L56" s="4">
        <v>373.72</v>
      </c>
      <c r="M56" s="2"/>
      <c r="N56" t="s">
        <v>4457</v>
      </c>
    </row>
    <row r="57" spans="1:14" ht="409.6" x14ac:dyDescent="0.3">
      <c r="A57" s="2" t="s">
        <v>393</v>
      </c>
      <c r="B57" s="2" t="str">
        <f>HYPERLINK("https://pod.fo/e/264c89")</f>
        <v>https://pod.fo/e/264c89</v>
      </c>
      <c r="C57" s="2"/>
      <c r="D57" s="2" t="s">
        <v>394</v>
      </c>
      <c r="E57" s="5">
        <v>45536.866354166668</v>
      </c>
      <c r="F57" s="2" t="s">
        <v>395</v>
      </c>
      <c r="G57" s="2"/>
      <c r="H57" s="2">
        <v>0</v>
      </c>
      <c r="I57" s="2">
        <v>0</v>
      </c>
      <c r="J57" s="2">
        <v>0</v>
      </c>
      <c r="K57" s="2" t="s">
        <v>31</v>
      </c>
      <c r="L57" s="2"/>
      <c r="M57" s="2"/>
      <c r="N57" t="s">
        <v>4459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94"/>
  <sheetViews>
    <sheetView tabSelected="1" topLeftCell="A93" workbookViewId="0">
      <selection activeCell="Q95" sqref="Q95"/>
    </sheetView>
  </sheetViews>
  <sheetFormatPr defaultRowHeight="14.4" x14ac:dyDescent="0.3"/>
  <cols>
    <col min="1" max="1" width="48" customWidth="1"/>
    <col min="2" max="2" width="32" customWidth="1"/>
    <col min="3" max="4" width="24" customWidth="1"/>
    <col min="5" max="5" width="19" customWidth="1"/>
    <col min="6" max="6" width="48" customWidth="1"/>
    <col min="7" max="7" width="28" customWidth="1"/>
    <col min="8" max="8" width="17" customWidth="1"/>
    <col min="9" max="10" width="16" customWidth="1"/>
    <col min="11" max="11" width="13" customWidth="1"/>
    <col min="12" max="12" width="29" customWidth="1"/>
    <col min="13" max="13" width="24" customWidth="1"/>
  </cols>
  <sheetData>
    <row r="1" spans="1:14" x14ac:dyDescent="0.3">
      <c r="A1" s="1" t="s">
        <v>13</v>
      </c>
      <c r="B1" s="1" t="s">
        <v>2</v>
      </c>
      <c r="C1" s="1" t="s">
        <v>14</v>
      </c>
      <c r="D1" s="1" t="s">
        <v>15</v>
      </c>
      <c r="E1" s="1" t="s">
        <v>16</v>
      </c>
      <c r="F1" s="1" t="s">
        <v>17</v>
      </c>
      <c r="G1" s="1" t="s">
        <v>18</v>
      </c>
      <c r="H1" s="1" t="s">
        <v>19</v>
      </c>
      <c r="I1" s="1" t="s">
        <v>20</v>
      </c>
      <c r="J1" s="1" t="s">
        <v>7</v>
      </c>
      <c r="K1" s="1" t="s">
        <v>21</v>
      </c>
      <c r="L1" s="1" t="s">
        <v>22</v>
      </c>
      <c r="M1" s="1" t="s">
        <v>23</v>
      </c>
      <c r="N1" s="1" t="s">
        <v>4456</v>
      </c>
    </row>
    <row r="2" spans="1:14" ht="66" x14ac:dyDescent="0.3">
      <c r="A2" s="2" t="s">
        <v>32</v>
      </c>
      <c r="B2" s="2" t="str">
        <f>HYPERLINK("https://www.oursportscentral.com/services/releases/match-preview-rhode-island-fc-at-indy-eleven-november-3-2024/n-6161268")</f>
        <v>https://www.oursportscentral.com/services/releases/match-preview-rhode-island-fc-at-indy-eleven-november-3-2024/n-6161268</v>
      </c>
      <c r="C2" s="2"/>
      <c r="D2" s="2" t="s">
        <v>24</v>
      </c>
      <c r="E2" s="5">
        <v>45596.565972222219</v>
      </c>
      <c r="F2" s="2" t="s">
        <v>33</v>
      </c>
      <c r="G2" s="2">
        <v>40402</v>
      </c>
      <c r="H2" s="2">
        <v>0</v>
      </c>
      <c r="I2" s="2">
        <v>0</v>
      </c>
      <c r="J2" s="2">
        <v>0</v>
      </c>
      <c r="K2" s="2" t="s">
        <v>25</v>
      </c>
      <c r="L2" s="4">
        <v>373.72</v>
      </c>
      <c r="M2" s="2"/>
      <c r="N2" t="s">
        <v>4457</v>
      </c>
    </row>
    <row r="3" spans="1:14" ht="52.8" x14ac:dyDescent="0.3">
      <c r="A3" s="2" t="s">
        <v>34</v>
      </c>
      <c r="B3" s="2" t="str">
        <f>HYPERLINK("https://www.heraldbulletin.com/coming-up/article_b018eb4a-9705-11ef-b203-e74d3f7da9eb.html")</f>
        <v>https://www.heraldbulletin.com/coming-up/article_b018eb4a-9705-11ef-b203-e74d3f7da9eb.html</v>
      </c>
      <c r="C3" s="2"/>
      <c r="D3" s="2" t="s">
        <v>35</v>
      </c>
      <c r="E3" s="5">
        <v>45596.357083333343</v>
      </c>
      <c r="F3" s="2" t="s">
        <v>36</v>
      </c>
      <c r="G3" s="2">
        <v>50260</v>
      </c>
      <c r="H3" s="2">
        <v>0</v>
      </c>
      <c r="I3" s="2">
        <v>0</v>
      </c>
      <c r="J3" s="2">
        <v>0</v>
      </c>
      <c r="K3" s="2" t="s">
        <v>25</v>
      </c>
      <c r="L3" s="4">
        <v>464.9</v>
      </c>
      <c r="M3" s="2"/>
      <c r="N3" t="s">
        <v>4458</v>
      </c>
    </row>
    <row r="4" spans="1:14" ht="303.60000000000002" x14ac:dyDescent="0.3">
      <c r="A4" s="2" t="s">
        <v>37</v>
      </c>
      <c r="B4" s="2" t="str">
        <f>HYPERLINK("https://www.wishtv.com/podcast-episode/indy-eleven-coaches-show-episode-9/")</f>
        <v>https://www.wishtv.com/podcast-episode/indy-eleven-coaches-show-episode-9/</v>
      </c>
      <c r="C4" s="2"/>
      <c r="D4" s="2" t="s">
        <v>38</v>
      </c>
      <c r="E4" s="5">
        <v>45596.250219907408</v>
      </c>
      <c r="F4" s="2" t="s">
        <v>39</v>
      </c>
      <c r="G4" s="2">
        <v>568116</v>
      </c>
      <c r="H4" s="2">
        <v>0</v>
      </c>
      <c r="I4" s="2">
        <v>0</v>
      </c>
      <c r="J4" s="2">
        <v>0</v>
      </c>
      <c r="K4" s="2" t="s">
        <v>31</v>
      </c>
      <c r="L4" s="4">
        <v>5255.07</v>
      </c>
      <c r="M4" s="2"/>
      <c r="N4" t="s">
        <v>4458</v>
      </c>
    </row>
    <row r="5" spans="1:14" ht="132" x14ac:dyDescent="0.3">
      <c r="A5" s="2" t="s">
        <v>42</v>
      </c>
      <c r="B5" s="2" t="str">
        <f>HYPERLINK("https://www.oursportscentral.com/services/releases/indy-eleven-to-host-playoff-game-sunday-at-1-pm/n-6161008")</f>
        <v>https://www.oursportscentral.com/services/releases/indy-eleven-to-host-playoff-game-sunday-at-1-pm/n-6161008</v>
      </c>
      <c r="C5" s="2"/>
      <c r="D5" s="2" t="s">
        <v>24</v>
      </c>
      <c r="E5" s="5">
        <v>45595.604166666657</v>
      </c>
      <c r="F5" s="2" t="s">
        <v>43</v>
      </c>
      <c r="G5" s="2">
        <v>40402</v>
      </c>
      <c r="H5" s="2">
        <v>0</v>
      </c>
      <c r="I5" s="2">
        <v>0</v>
      </c>
      <c r="J5" s="2">
        <v>0</v>
      </c>
      <c r="K5" s="2" t="s">
        <v>25</v>
      </c>
      <c r="L5" s="4">
        <v>373.72</v>
      </c>
      <c r="M5" s="2"/>
      <c r="N5" t="s">
        <v>4457</v>
      </c>
    </row>
    <row r="6" spans="1:14" ht="79.2" x14ac:dyDescent="0.3">
      <c r="A6" s="2" t="s">
        <v>44</v>
      </c>
      <c r="B6" s="2" t="str">
        <f>HYPERLINK("https://www.uslchampionship.com/news_article/show/1322345")</f>
        <v>https://www.uslchampionship.com/news_article/show/1322345</v>
      </c>
      <c r="C6" s="2" t="s">
        <v>45</v>
      </c>
      <c r="D6" s="2" t="s">
        <v>28</v>
      </c>
      <c r="E6" s="5">
        <v>45595.427083333343</v>
      </c>
      <c r="F6" s="2" t="s">
        <v>46</v>
      </c>
      <c r="G6" s="2">
        <v>44392</v>
      </c>
      <c r="H6" s="2">
        <v>0</v>
      </c>
      <c r="I6" s="2">
        <v>0</v>
      </c>
      <c r="J6" s="2">
        <v>28</v>
      </c>
      <c r="K6" s="2" t="s">
        <v>25</v>
      </c>
      <c r="L6" s="4">
        <v>410.63</v>
      </c>
      <c r="M6" s="2"/>
      <c r="N6" t="s">
        <v>4457</v>
      </c>
    </row>
    <row r="7" spans="1:14" ht="118.8" x14ac:dyDescent="0.3">
      <c r="A7" s="2" t="s">
        <v>48</v>
      </c>
      <c r="B7" s="2" t="str">
        <f>HYPERLINK("https://www.timbers.com/news/loan-watch-hunter-sulte-and-indy-eleven-prepare-for-usl-championship-playoffs")</f>
        <v>https://www.timbers.com/news/loan-watch-hunter-sulte-and-indy-eleven-prepare-for-usl-championship-playoffs</v>
      </c>
      <c r="C7" s="2" t="s">
        <v>49</v>
      </c>
      <c r="D7" s="2" t="s">
        <v>49</v>
      </c>
      <c r="E7" s="5">
        <v>45593.796273148153</v>
      </c>
      <c r="F7" s="2" t="s">
        <v>51</v>
      </c>
      <c r="G7" s="2">
        <v>63318</v>
      </c>
      <c r="H7" s="2">
        <v>0</v>
      </c>
      <c r="I7" s="2">
        <v>0</v>
      </c>
      <c r="J7" s="2">
        <v>0</v>
      </c>
      <c r="K7" s="2" t="s">
        <v>25</v>
      </c>
      <c r="L7" s="4">
        <v>585.69000000000005</v>
      </c>
      <c r="M7" s="2"/>
      <c r="N7" t="s">
        <v>4457</v>
      </c>
    </row>
    <row r="8" spans="1:14" ht="409.6" x14ac:dyDescent="0.3">
      <c r="A8" s="2" t="s">
        <v>52</v>
      </c>
      <c r="B8" s="2" t="str">
        <f>HYPERLINK("https://www.uslchampionship.com/news_article/show/1322080")</f>
        <v>https://www.uslchampionship.com/news_article/show/1322080</v>
      </c>
      <c r="C8" s="2" t="s">
        <v>45</v>
      </c>
      <c r="D8" s="2" t="s">
        <v>28</v>
      </c>
      <c r="E8" s="5">
        <v>45593.6875</v>
      </c>
      <c r="F8" s="2" t="s">
        <v>53</v>
      </c>
      <c r="G8" s="2">
        <v>44392</v>
      </c>
      <c r="H8" s="2">
        <v>0</v>
      </c>
      <c r="I8" s="2">
        <v>0</v>
      </c>
      <c r="J8" s="2">
        <v>55</v>
      </c>
      <c r="K8" s="2" t="s">
        <v>25</v>
      </c>
      <c r="L8" s="4">
        <v>410.63</v>
      </c>
      <c r="M8" s="2"/>
      <c r="N8" t="s">
        <v>4457</v>
      </c>
    </row>
    <row r="9" spans="1:14" ht="26.4" x14ac:dyDescent="0.3">
      <c r="A9" s="2" t="s">
        <v>54</v>
      </c>
      <c r="B9" s="2" t="str">
        <f>HYPERLINK("https://www.wishtv.com/contests/indy-eleven-playoff-ticket-giveaway/")</f>
        <v>https://www.wishtv.com/contests/indy-eleven-playoff-ticket-giveaway/</v>
      </c>
      <c r="C9" s="2" t="s">
        <v>55</v>
      </c>
      <c r="D9" s="2" t="s">
        <v>38</v>
      </c>
      <c r="E9" s="5">
        <v>45593.541666666657</v>
      </c>
      <c r="F9" s="2"/>
      <c r="G9" s="2">
        <v>568116</v>
      </c>
      <c r="H9" s="2">
        <v>0</v>
      </c>
      <c r="I9" s="2">
        <v>0</v>
      </c>
      <c r="J9" s="2">
        <v>0</v>
      </c>
      <c r="K9" s="2"/>
      <c r="L9" s="4">
        <v>5255.07</v>
      </c>
      <c r="M9" s="2"/>
      <c r="N9" t="s">
        <v>4458</v>
      </c>
    </row>
    <row r="10" spans="1:14" ht="79.2" x14ac:dyDescent="0.3">
      <c r="A10" s="2" t="s">
        <v>63</v>
      </c>
      <c r="B10" s="2" t="str">
        <f>HYPERLINK("https://www.uslchampionship.com/news_article/show/1322010")</f>
        <v>https://www.uslchampionship.com/news_article/show/1322010</v>
      </c>
      <c r="C10" s="2" t="s">
        <v>26</v>
      </c>
      <c r="D10" s="2" t="s">
        <v>28</v>
      </c>
      <c r="E10" s="5">
        <v>45592.375</v>
      </c>
      <c r="F10" s="2" t="s">
        <v>62</v>
      </c>
      <c r="G10" s="2">
        <v>44392</v>
      </c>
      <c r="H10" s="2">
        <v>0</v>
      </c>
      <c r="I10" s="2">
        <v>0</v>
      </c>
      <c r="J10" s="2">
        <v>86</v>
      </c>
      <c r="K10" s="2" t="s">
        <v>25</v>
      </c>
      <c r="L10" s="4">
        <v>410.63</v>
      </c>
      <c r="M10" s="2"/>
      <c r="N10" t="s">
        <v>4457</v>
      </c>
    </row>
    <row r="11" spans="1:14" ht="356.4" x14ac:dyDescent="0.3">
      <c r="A11" s="2" t="s">
        <v>65</v>
      </c>
      <c r="B11" s="2" t="str">
        <f>HYPERLINK("https://www.uslchampionship.com/tampabayrowdies-indyeleven-2416600")</f>
        <v>https://www.uslchampionship.com/tampabayrowdies-indyeleven-2416600</v>
      </c>
      <c r="C11" s="2"/>
      <c r="D11" s="2" t="s">
        <v>28</v>
      </c>
      <c r="E11" s="5">
        <v>45591.911678240736</v>
      </c>
      <c r="F11" s="2" t="s">
        <v>66</v>
      </c>
      <c r="G11" s="2">
        <v>44392</v>
      </c>
      <c r="H11" s="2">
        <v>0</v>
      </c>
      <c r="I11" s="2">
        <v>0</v>
      </c>
      <c r="J11" s="2">
        <v>0</v>
      </c>
      <c r="K11" s="2" t="s">
        <v>47</v>
      </c>
      <c r="L11" s="4">
        <v>410.63</v>
      </c>
      <c r="M11" s="2"/>
      <c r="N11" t="s">
        <v>4457</v>
      </c>
    </row>
    <row r="12" spans="1:14" ht="105.6" x14ac:dyDescent="0.3">
      <c r="A12" s="2" t="s">
        <v>67</v>
      </c>
      <c r="B12" s="2" t="str">
        <f>HYPERLINK("https://www.oursportscentral.com/services/releases/rowdies-close-regular-season-with-3-0-win-over-indy/n-6160121")</f>
        <v>https://www.oursportscentral.com/services/releases/rowdies-close-regular-season-with-3-0-win-over-indy/n-6160121</v>
      </c>
      <c r="C12" s="2"/>
      <c r="D12" s="2" t="s">
        <v>24</v>
      </c>
      <c r="E12" s="5">
        <v>45591.868750000001</v>
      </c>
      <c r="F12" s="2" t="s">
        <v>68</v>
      </c>
      <c r="G12" s="2">
        <v>40402</v>
      </c>
      <c r="H12" s="2">
        <v>0</v>
      </c>
      <c r="I12" s="2">
        <v>0</v>
      </c>
      <c r="J12" s="2">
        <v>0</v>
      </c>
      <c r="K12" s="2" t="s">
        <v>25</v>
      </c>
      <c r="L12" s="4">
        <v>373.72</v>
      </c>
      <c r="M12" s="2"/>
      <c r="N12" t="s">
        <v>4457</v>
      </c>
    </row>
    <row r="13" spans="1:14" ht="118.8" x14ac:dyDescent="0.3">
      <c r="A13" s="2" t="s">
        <v>69</v>
      </c>
      <c r="B13" s="2" t="str">
        <f>HYPERLINK("https://www.oursportscentral.com/services/releases/indy-eleven-earns-4-seed-will-host-rhode-island-in-uslc-playoffs/n-6160061")</f>
        <v>https://www.oursportscentral.com/services/releases/indy-eleven-earns-4-seed-will-host-rhode-island-in-uslc-playoffs/n-6160061</v>
      </c>
      <c r="C13" s="2"/>
      <c r="D13" s="2" t="s">
        <v>24</v>
      </c>
      <c r="E13" s="5">
        <v>45591.821527777778</v>
      </c>
      <c r="F13" s="2" t="s">
        <v>70</v>
      </c>
      <c r="G13" s="2">
        <v>40402</v>
      </c>
      <c r="H13" s="2">
        <v>0</v>
      </c>
      <c r="I13" s="2">
        <v>0</v>
      </c>
      <c r="J13" s="2">
        <v>0</v>
      </c>
      <c r="K13" s="2" t="s">
        <v>31</v>
      </c>
      <c r="L13" s="4">
        <v>373.72</v>
      </c>
      <c r="M13" s="2"/>
      <c r="N13" t="s">
        <v>4457</v>
      </c>
    </row>
    <row r="14" spans="1:14" ht="145.19999999999999" x14ac:dyDescent="0.3">
      <c r="A14" s="2" t="s">
        <v>71</v>
      </c>
      <c r="B14" s="2" t="str">
        <f>HYPERLINK("https://www.oursportscentral.com/services/releases/10-26-2024-tampa-bay-rowdies-vs-indy-eleven--game-highlights/n-6160022")</f>
        <v>https://www.oursportscentral.com/services/releases/10-26-2024-tampa-bay-rowdies-vs-indy-eleven--game-highlights/n-6160022</v>
      </c>
      <c r="C14" s="2"/>
      <c r="D14" s="2" t="s">
        <v>24</v>
      </c>
      <c r="E14" s="5">
        <v>45591.793055555558</v>
      </c>
      <c r="F14" s="2" t="s">
        <v>72</v>
      </c>
      <c r="G14" s="2">
        <v>40402</v>
      </c>
      <c r="H14" s="2">
        <v>0</v>
      </c>
      <c r="I14" s="2">
        <v>0</v>
      </c>
      <c r="J14" s="2">
        <v>0</v>
      </c>
      <c r="K14" s="2" t="s">
        <v>25</v>
      </c>
      <c r="L14" s="4">
        <v>373.72</v>
      </c>
      <c r="M14" s="2"/>
      <c r="N14" t="s">
        <v>4457</v>
      </c>
    </row>
    <row r="15" spans="1:14" ht="132" x14ac:dyDescent="0.3">
      <c r="A15" s="2" t="s">
        <v>73</v>
      </c>
      <c r="B15" s="2" t="str">
        <f>HYPERLINK("https://1075thefan.com/439159/soccer-saturday-10-26-24/")</f>
        <v>https://1075thefan.com/439159/soccer-saturday-10-26-24/</v>
      </c>
      <c r="C15" s="2" t="s">
        <v>74</v>
      </c>
      <c r="D15" s="2" t="s">
        <v>75</v>
      </c>
      <c r="E15" s="5">
        <v>45591.443622685183</v>
      </c>
      <c r="F15" s="2" t="s">
        <v>76</v>
      </c>
      <c r="G15" s="2">
        <v>208881</v>
      </c>
      <c r="H15" s="2">
        <v>0</v>
      </c>
      <c r="I15" s="2">
        <v>0</v>
      </c>
      <c r="J15" s="2">
        <v>0</v>
      </c>
      <c r="K15" s="2" t="s">
        <v>31</v>
      </c>
      <c r="L15" s="4">
        <v>1932.15</v>
      </c>
      <c r="M15" s="2"/>
      <c r="N15" t="s">
        <v>4458</v>
      </c>
    </row>
    <row r="16" spans="1:14" ht="79.2" x14ac:dyDescent="0.3">
      <c r="A16" s="2" t="s">
        <v>78</v>
      </c>
      <c r="B16" s="2" t="str">
        <f>HYPERLINK("https://www.youarecurrent.com/2024/10/26/camel-resident-enjoying-second-stint-with-indy-eleven/")</f>
        <v>https://www.youarecurrent.com/2024/10/26/camel-resident-enjoying-second-stint-with-indy-eleven/</v>
      </c>
      <c r="C16" s="2" t="s">
        <v>79</v>
      </c>
      <c r="D16" s="2" t="s">
        <v>80</v>
      </c>
      <c r="E16" s="5">
        <v>45591.387858796297</v>
      </c>
      <c r="F16" s="2" t="s">
        <v>81</v>
      </c>
      <c r="G16" s="2">
        <v>42505</v>
      </c>
      <c r="H16" s="2">
        <v>0</v>
      </c>
      <c r="I16" s="2">
        <v>0</v>
      </c>
      <c r="J16" s="2">
        <v>8</v>
      </c>
      <c r="K16" s="2" t="s">
        <v>25</v>
      </c>
      <c r="L16" s="4">
        <v>393.17</v>
      </c>
      <c r="M16" s="2"/>
      <c r="N16" t="s">
        <v>4458</v>
      </c>
    </row>
    <row r="17" spans="1:14" ht="105.6" x14ac:dyDescent="0.3">
      <c r="A17" s="2" t="s">
        <v>34</v>
      </c>
      <c r="B17" s="2" t="str">
        <f>HYPERLINK("https://www.heraldbulletin.com/sports/coming-up/article_0398ce62-9313-11ef-9719-4b3956f7843f.html")</f>
        <v>https://www.heraldbulletin.com/sports/coming-up/article_0398ce62-9313-11ef-9719-4b3956f7843f.html</v>
      </c>
      <c r="C17" s="2"/>
      <c r="D17" s="2" t="s">
        <v>35</v>
      </c>
      <c r="E17" s="5">
        <v>45591.296689814822</v>
      </c>
      <c r="F17" s="2" t="s">
        <v>82</v>
      </c>
      <c r="G17" s="2">
        <v>50260</v>
      </c>
      <c r="H17" s="2">
        <v>0</v>
      </c>
      <c r="I17" s="2">
        <v>0</v>
      </c>
      <c r="J17" s="2">
        <v>0</v>
      </c>
      <c r="K17" s="2" t="s">
        <v>25</v>
      </c>
      <c r="L17" s="4">
        <v>464.9</v>
      </c>
      <c r="M17" s="2"/>
      <c r="N17" t="s">
        <v>4458</v>
      </c>
    </row>
    <row r="18" spans="1:14" ht="66" x14ac:dyDescent="0.3">
      <c r="A18" s="2" t="s">
        <v>86</v>
      </c>
      <c r="B18" s="2" t="str">
        <f>HYPERLINK("https://www.uslchampionship.com/news_article/show/1321912")</f>
        <v>https://www.uslchampionship.com/news_article/show/1321912</v>
      </c>
      <c r="C18" s="2" t="s">
        <v>45</v>
      </c>
      <c r="D18" s="2" t="s">
        <v>28</v>
      </c>
      <c r="E18" s="5">
        <v>45590.506944444453</v>
      </c>
      <c r="F18" s="2" t="s">
        <v>87</v>
      </c>
      <c r="G18" s="2">
        <v>44392</v>
      </c>
      <c r="H18" s="2">
        <v>0</v>
      </c>
      <c r="I18" s="2">
        <v>0</v>
      </c>
      <c r="J18" s="2">
        <v>68</v>
      </c>
      <c r="K18" s="2" t="s">
        <v>25</v>
      </c>
      <c r="L18" s="4">
        <v>410.63</v>
      </c>
      <c r="M18" s="2"/>
      <c r="N18" t="s">
        <v>4457</v>
      </c>
    </row>
    <row r="19" spans="1:14" ht="105.6" x14ac:dyDescent="0.3">
      <c r="A19" s="2" t="s">
        <v>34</v>
      </c>
      <c r="B19" s="2" t="str">
        <f>HYPERLINK("https://www.heraldbulletin.com/sports/coming-up/article_ea57045a-9259-11ef-9979-5ba70e4acccf.html")</f>
        <v>https://www.heraldbulletin.com/sports/coming-up/article_ea57045a-9259-11ef-9979-5ba70e4acccf.html</v>
      </c>
      <c r="C19" s="2"/>
      <c r="D19" s="2" t="s">
        <v>35</v>
      </c>
      <c r="E19" s="5">
        <v>45590.305902777778</v>
      </c>
      <c r="F19" s="2" t="s">
        <v>82</v>
      </c>
      <c r="G19" s="2">
        <v>50260</v>
      </c>
      <c r="H19" s="2">
        <v>0</v>
      </c>
      <c r="I19" s="2">
        <v>0</v>
      </c>
      <c r="J19" s="2">
        <v>0</v>
      </c>
      <c r="K19" s="2" t="s">
        <v>25</v>
      </c>
      <c r="L19" s="4">
        <v>464.9</v>
      </c>
      <c r="M19" s="2"/>
      <c r="N19" t="s">
        <v>4458</v>
      </c>
    </row>
    <row r="20" spans="1:14" ht="132" x14ac:dyDescent="0.3">
      <c r="A20" s="2" t="s">
        <v>88</v>
      </c>
      <c r="B20" s="2" t="str">
        <f>HYPERLINK("https://www.oursportscentral.com/services/releases/preview-rowdies-vs-indy-eleven/n-6159511")</f>
        <v>https://www.oursportscentral.com/services/releases/preview-rowdies-vs-indy-eleven/n-6159511</v>
      </c>
      <c r="C20" s="2"/>
      <c r="D20" s="2" t="s">
        <v>24</v>
      </c>
      <c r="E20" s="5">
        <v>45590.275694444441</v>
      </c>
      <c r="F20" s="2" t="s">
        <v>89</v>
      </c>
      <c r="G20" s="2">
        <v>40402</v>
      </c>
      <c r="H20" s="2">
        <v>0</v>
      </c>
      <c r="I20" s="2">
        <v>0</v>
      </c>
      <c r="J20" s="2">
        <v>0</v>
      </c>
      <c r="K20" s="2" t="s">
        <v>25</v>
      </c>
      <c r="L20" s="4">
        <v>373.72</v>
      </c>
      <c r="M20" s="2"/>
      <c r="N20" t="s">
        <v>4457</v>
      </c>
    </row>
    <row r="21" spans="1:14" ht="92.4" x14ac:dyDescent="0.3">
      <c r="A21" s="2" t="s">
        <v>90</v>
      </c>
      <c r="B21" s="2" t="str">
        <f>HYPERLINK("https://www.wishtv.com/sports/indy-eleven/indy-eleven-home-playoff/")</f>
        <v>https://www.wishtv.com/sports/indy-eleven/indy-eleven-home-playoff/</v>
      </c>
      <c r="C21" s="2" t="s">
        <v>91</v>
      </c>
      <c r="D21" s="2" t="s">
        <v>38</v>
      </c>
      <c r="E21" s="5">
        <v>45589.53193287037</v>
      </c>
      <c r="F21" s="2" t="s">
        <v>92</v>
      </c>
      <c r="G21" s="2">
        <v>568116</v>
      </c>
      <c r="H21" s="2">
        <v>0</v>
      </c>
      <c r="I21" s="2">
        <v>0</v>
      </c>
      <c r="J21" s="2">
        <v>48</v>
      </c>
      <c r="K21" s="2" t="s">
        <v>31</v>
      </c>
      <c r="L21" s="4">
        <v>5255.07</v>
      </c>
      <c r="M21" s="2"/>
      <c r="N21" t="s">
        <v>4458</v>
      </c>
    </row>
    <row r="22" spans="1:14" ht="79.2" x14ac:dyDescent="0.3">
      <c r="A22" s="2" t="s">
        <v>34</v>
      </c>
      <c r="B22" s="2" t="str">
        <f>HYPERLINK("https://www.heraldbulletin.com/sports/coming-up/article_03215956-9159-11ef-9822-fb9a38acb01c.html")</f>
        <v>https://www.heraldbulletin.com/sports/coming-up/article_03215956-9159-11ef-9822-fb9a38acb01c.html</v>
      </c>
      <c r="C22" s="2"/>
      <c r="D22" s="2" t="s">
        <v>35</v>
      </c>
      <c r="E22" s="5">
        <v>45589.297662037039</v>
      </c>
      <c r="F22" s="2" t="s">
        <v>93</v>
      </c>
      <c r="G22" s="2">
        <v>50260</v>
      </c>
      <c r="H22" s="2">
        <v>0</v>
      </c>
      <c r="I22" s="2">
        <v>0</v>
      </c>
      <c r="J22" s="2">
        <v>1</v>
      </c>
      <c r="K22" s="2" t="s">
        <v>25</v>
      </c>
      <c r="L22" s="4">
        <v>464.9</v>
      </c>
      <c r="M22" s="2"/>
      <c r="N22" t="s">
        <v>4458</v>
      </c>
    </row>
    <row r="23" spans="1:14" ht="118.8" x14ac:dyDescent="0.3">
      <c r="A23" s="2" t="s">
        <v>94</v>
      </c>
      <c r="B23" s="2" t="str">
        <f>HYPERLINK("https://www.oursportscentral.com/services/releases/indy-eleven-to-host-home-playoff-game-on-sunday-november-3/n-6159144")</f>
        <v>https://www.oursportscentral.com/services/releases/indy-eleven-to-host-home-playoff-game-on-sunday-november-3/n-6159144</v>
      </c>
      <c r="C23" s="2"/>
      <c r="D23" s="2" t="s">
        <v>24</v>
      </c>
      <c r="E23" s="5">
        <v>45588.818055555559</v>
      </c>
      <c r="F23" s="2" t="s">
        <v>95</v>
      </c>
      <c r="G23" s="2">
        <v>40402</v>
      </c>
      <c r="H23" s="2">
        <v>0</v>
      </c>
      <c r="I23" s="2">
        <v>0</v>
      </c>
      <c r="J23" s="2">
        <v>0</v>
      </c>
      <c r="K23" s="2" t="s">
        <v>25</v>
      </c>
      <c r="L23" s="4">
        <v>373.72</v>
      </c>
      <c r="M23" s="2"/>
      <c r="N23" t="s">
        <v>4457</v>
      </c>
    </row>
    <row r="24" spans="1:14" ht="39.6" x14ac:dyDescent="0.3">
      <c r="A24" s="2" t="s">
        <v>34</v>
      </c>
      <c r="B24" s="2" t="str">
        <f>HYPERLINK("https://www.heraldbulletin.com/sports/coming-up/article_da59ad20-90c2-11ef-befa-7be374b38309.html")</f>
        <v>https://www.heraldbulletin.com/sports/coming-up/article_da59ad20-90c2-11ef-befa-7be374b38309.html</v>
      </c>
      <c r="C24" s="2"/>
      <c r="D24" s="2" t="s">
        <v>35</v>
      </c>
      <c r="E24" s="5">
        <v>45588.298043981478</v>
      </c>
      <c r="F24" s="2" t="s">
        <v>98</v>
      </c>
      <c r="G24" s="2">
        <v>50260</v>
      </c>
      <c r="H24" s="2">
        <v>0</v>
      </c>
      <c r="I24" s="2">
        <v>0</v>
      </c>
      <c r="J24" s="2">
        <v>5</v>
      </c>
      <c r="K24" s="2" t="s">
        <v>25</v>
      </c>
      <c r="L24" s="4">
        <v>464.9</v>
      </c>
      <c r="M24" s="2"/>
      <c r="N24" t="s">
        <v>4458</v>
      </c>
    </row>
    <row r="25" spans="1:14" ht="132" x14ac:dyDescent="0.3">
      <c r="A25" s="2" t="s">
        <v>99</v>
      </c>
      <c r="B25" s="2" t="str">
        <f>HYPERLINK("https://www.uslchampionship.com/news_article/show/1321556")</f>
        <v>https://www.uslchampionship.com/news_article/show/1321556</v>
      </c>
      <c r="C25" s="2" t="s">
        <v>26</v>
      </c>
      <c r="D25" s="2" t="s">
        <v>28</v>
      </c>
      <c r="E25" s="5">
        <v>45587.604166666657</v>
      </c>
      <c r="F25" s="2" t="s">
        <v>100</v>
      </c>
      <c r="G25" s="2">
        <v>44392</v>
      </c>
      <c r="H25" s="2">
        <v>0</v>
      </c>
      <c r="I25" s="2">
        <v>0</v>
      </c>
      <c r="J25" s="2">
        <v>0</v>
      </c>
      <c r="K25" s="2" t="s">
        <v>25</v>
      </c>
      <c r="L25" s="4">
        <v>410.63</v>
      </c>
      <c r="M25" s="2"/>
      <c r="N25" t="s">
        <v>4457</v>
      </c>
    </row>
    <row r="26" spans="1:14" ht="66" x14ac:dyDescent="0.3">
      <c r="A26" s="2" t="s">
        <v>101</v>
      </c>
      <c r="B26" s="2" t="str">
        <f>HYPERLINK("https://www.uslleagueone.com/news_article/show/1321430")</f>
        <v>https://www.uslleagueone.com/news_article/show/1321430</v>
      </c>
      <c r="C26" s="2" t="s">
        <v>102</v>
      </c>
      <c r="D26" s="2" t="s">
        <v>27</v>
      </c>
      <c r="E26" s="5">
        <v>45587.604166666657</v>
      </c>
      <c r="F26" s="2" t="s">
        <v>103</v>
      </c>
      <c r="G26" s="2">
        <v>20277</v>
      </c>
      <c r="H26" s="2">
        <v>0</v>
      </c>
      <c r="I26" s="2">
        <v>0</v>
      </c>
      <c r="J26" s="2">
        <v>0</v>
      </c>
      <c r="K26" s="2" t="s">
        <v>25</v>
      </c>
      <c r="L26" s="4">
        <v>187.56</v>
      </c>
      <c r="M26" s="2"/>
      <c r="N26" t="s">
        <v>4457</v>
      </c>
    </row>
    <row r="27" spans="1:14" ht="105.6" x14ac:dyDescent="0.3">
      <c r="A27" s="2" t="s">
        <v>108</v>
      </c>
      <c r="B27" s="2" t="str">
        <f>HYPERLINK("https://www.wishtv.com/sports/indy-eleven/indy-eleven-vs-birmingham-legion-fc-from-oct-19-2024/")</f>
        <v>https://www.wishtv.com/sports/indy-eleven/indy-eleven-vs-birmingham-legion-fc-from-oct-19-2024/</v>
      </c>
      <c r="C27" s="2" t="s">
        <v>109</v>
      </c>
      <c r="D27" s="2" t="s">
        <v>38</v>
      </c>
      <c r="E27" s="5">
        <v>45586.336122685178</v>
      </c>
      <c r="F27" s="2" t="s">
        <v>110</v>
      </c>
      <c r="G27" s="2">
        <v>568116</v>
      </c>
      <c r="H27" s="2">
        <v>0</v>
      </c>
      <c r="I27" s="2">
        <v>0</v>
      </c>
      <c r="J27" s="2">
        <v>0</v>
      </c>
      <c r="K27" s="2" t="s">
        <v>31</v>
      </c>
      <c r="L27" s="4">
        <v>5255.07</v>
      </c>
      <c r="M27" s="2"/>
      <c r="N27" t="s">
        <v>4458</v>
      </c>
    </row>
    <row r="28" spans="1:14" ht="171.6" x14ac:dyDescent="0.3">
      <c r="A28" s="2" t="s">
        <v>111</v>
      </c>
      <c r="B28" s="2" t="str">
        <f>HYPERLINK("https://www.nuvo.net/sports/slideshow-indy-eleven-clinch-play-off-spot/collection_e6ef12d4-8f26-11ef-92ab-fbd165e83fb4.html")</f>
        <v>https://www.nuvo.net/sports/slideshow-indy-eleven-clinch-play-off-spot/collection_e6ef12d4-8f26-11ef-92ab-fbd165e83fb4.html</v>
      </c>
      <c r="C28" s="2" t="s">
        <v>112</v>
      </c>
      <c r="D28" s="2" t="s">
        <v>113</v>
      </c>
      <c r="E28" s="5">
        <v>45585</v>
      </c>
      <c r="F28" s="2" t="s">
        <v>114</v>
      </c>
      <c r="G28" s="2">
        <v>8756</v>
      </c>
      <c r="H28" s="2">
        <v>0</v>
      </c>
      <c r="I28" s="2">
        <v>0</v>
      </c>
      <c r="J28" s="2">
        <v>0</v>
      </c>
      <c r="K28" s="2" t="s">
        <v>25</v>
      </c>
      <c r="L28" s="4">
        <v>80.989999999999995</v>
      </c>
      <c r="M28" s="2"/>
      <c r="N28" t="s">
        <v>4458</v>
      </c>
    </row>
    <row r="29" spans="1:14" ht="356.4" x14ac:dyDescent="0.3">
      <c r="A29" s="2" t="s">
        <v>115</v>
      </c>
      <c r="B29" s="2" t="str">
        <f>HYPERLINK("https://www.uslchampionship.com/indyeleven-birminghamlegionfc-2416584")</f>
        <v>https://www.uslchampionship.com/indyeleven-birminghamlegionfc-2416584</v>
      </c>
      <c r="C29" s="2"/>
      <c r="D29" s="2" t="s">
        <v>28</v>
      </c>
      <c r="E29" s="5">
        <v>45584.885289351849</v>
      </c>
      <c r="F29" s="2" t="s">
        <v>116</v>
      </c>
      <c r="G29" s="2">
        <v>44392</v>
      </c>
      <c r="H29" s="2">
        <v>0</v>
      </c>
      <c r="I29" s="2">
        <v>0</v>
      </c>
      <c r="J29" s="2">
        <v>0</v>
      </c>
      <c r="K29" s="2" t="s">
        <v>47</v>
      </c>
      <c r="L29" s="4">
        <v>410.63</v>
      </c>
      <c r="M29" s="2"/>
      <c r="N29" t="s">
        <v>4457</v>
      </c>
    </row>
    <row r="30" spans="1:14" ht="39.6" x14ac:dyDescent="0.3">
      <c r="A30" s="2" t="s">
        <v>117</v>
      </c>
      <c r="B30" s="2" t="str">
        <f>HYPERLINK("https://www.oursportscentral.com/services/releases/legion-fc-fights-to-the-end-in-3-2-loss-at-indy/n-6158105")</f>
        <v>https://www.oursportscentral.com/services/releases/legion-fc-fights-to-the-end-in-3-2-loss-at-indy/n-6158105</v>
      </c>
      <c r="C30" s="2"/>
      <c r="D30" s="2" t="s">
        <v>24</v>
      </c>
      <c r="E30" s="5">
        <v>45584.843055555553</v>
      </c>
      <c r="F30" s="2" t="s">
        <v>118</v>
      </c>
      <c r="G30" s="2">
        <v>40402</v>
      </c>
      <c r="H30" s="2">
        <v>0</v>
      </c>
      <c r="I30" s="2">
        <v>0</v>
      </c>
      <c r="J30" s="2">
        <v>0</v>
      </c>
      <c r="K30" s="2" t="s">
        <v>47</v>
      </c>
      <c r="L30" s="4">
        <v>373.72</v>
      </c>
      <c r="M30" s="2"/>
      <c r="N30" t="s">
        <v>4457</v>
      </c>
    </row>
    <row r="31" spans="1:14" ht="118.8" x14ac:dyDescent="0.3">
      <c r="A31" s="2" t="s">
        <v>119</v>
      </c>
      <c r="B31" s="2" t="str">
        <f>HYPERLINK("https://www.oursportscentral.com/services/releases/indy-eleven-clinch-playoff-berth-with-3-2-victory/n-6158029")</f>
        <v>https://www.oursportscentral.com/services/releases/indy-eleven-clinch-playoff-berth-with-3-2-victory/n-6158029</v>
      </c>
      <c r="C31" s="2"/>
      <c r="D31" s="2" t="s">
        <v>24</v>
      </c>
      <c r="E31" s="5">
        <v>45584.816666666673</v>
      </c>
      <c r="F31" s="2" t="s">
        <v>120</v>
      </c>
      <c r="G31" s="2">
        <v>40402</v>
      </c>
      <c r="H31" s="2">
        <v>0</v>
      </c>
      <c r="I31" s="2">
        <v>0</v>
      </c>
      <c r="J31" s="2">
        <v>0</v>
      </c>
      <c r="K31" s="2" t="s">
        <v>25</v>
      </c>
      <c r="L31" s="4">
        <v>373.72</v>
      </c>
      <c r="M31" s="2"/>
      <c r="N31" t="s">
        <v>4457</v>
      </c>
    </row>
    <row r="32" spans="1:14" ht="52.8" x14ac:dyDescent="0.3">
      <c r="A32" s="2" t="s">
        <v>121</v>
      </c>
      <c r="B32" s="2" t="str">
        <f>HYPERLINK("https://www.oursportscentral.com/services/releases/indy-eleven-vs-birmingham-legion-fc--game-highlights/n-6157960")</f>
        <v>https://www.oursportscentral.com/services/releases/indy-eleven-vs-birmingham-legion-fc--game-highlights/n-6157960</v>
      </c>
      <c r="C32" s="2"/>
      <c r="D32" s="2" t="s">
        <v>24</v>
      </c>
      <c r="E32" s="5">
        <v>45584.786805555559</v>
      </c>
      <c r="F32" s="2" t="s">
        <v>122</v>
      </c>
      <c r="G32" s="2">
        <v>40402</v>
      </c>
      <c r="H32" s="2">
        <v>0</v>
      </c>
      <c r="I32" s="2">
        <v>0</v>
      </c>
      <c r="J32" s="2">
        <v>0</v>
      </c>
      <c r="K32" s="2" t="s">
        <v>25</v>
      </c>
      <c r="L32" s="4">
        <v>373.72</v>
      </c>
      <c r="M32" s="2"/>
      <c r="N32" t="s">
        <v>4457</v>
      </c>
    </row>
    <row r="33" spans="1:14" ht="92.4" x14ac:dyDescent="0.3">
      <c r="A33" s="2" t="s">
        <v>124</v>
      </c>
      <c r="B33" s="2" t="str">
        <f>HYPERLINK("https://1075thefan.com/433313/soccer-saturday-10-19-24/")</f>
        <v>https://1075thefan.com/433313/soccer-saturday-10-19-24/</v>
      </c>
      <c r="C33" s="2" t="s">
        <v>74</v>
      </c>
      <c r="D33" s="2" t="s">
        <v>75</v>
      </c>
      <c r="E33" s="5">
        <v>45584.442337962973</v>
      </c>
      <c r="F33" s="2" t="s">
        <v>125</v>
      </c>
      <c r="G33" s="2">
        <v>208881</v>
      </c>
      <c r="H33" s="2">
        <v>0</v>
      </c>
      <c r="I33" s="2">
        <v>0</v>
      </c>
      <c r="J33" s="2">
        <v>0</v>
      </c>
      <c r="K33" s="2" t="s">
        <v>47</v>
      </c>
      <c r="L33" s="4">
        <v>1932.15</v>
      </c>
      <c r="M33" s="2"/>
      <c r="N33" t="s">
        <v>4458</v>
      </c>
    </row>
    <row r="34" spans="1:14" ht="92.4" x14ac:dyDescent="0.3">
      <c r="A34" s="2" t="s">
        <v>126</v>
      </c>
      <c r="B34" s="2" t="str">
        <f>HYPERLINK("https://www.youarecurrent.com/2024/10/19/carmel-teen-gets-invaluable-training-as-member-of-indy-eleven/")</f>
        <v>https://www.youarecurrent.com/2024/10/19/carmel-teen-gets-invaluable-training-as-member-of-indy-eleven/</v>
      </c>
      <c r="C34" s="2" t="s">
        <v>79</v>
      </c>
      <c r="D34" s="2" t="s">
        <v>80</v>
      </c>
      <c r="E34" s="5">
        <v>45584.353530092587</v>
      </c>
      <c r="F34" s="2" t="s">
        <v>127</v>
      </c>
      <c r="G34" s="2">
        <v>42505</v>
      </c>
      <c r="H34" s="2">
        <v>0</v>
      </c>
      <c r="I34" s="2">
        <v>0</v>
      </c>
      <c r="J34" s="2">
        <v>244</v>
      </c>
      <c r="K34" s="2" t="s">
        <v>31</v>
      </c>
      <c r="L34" s="4">
        <v>393.17</v>
      </c>
      <c r="M34" s="2"/>
      <c r="N34" t="s">
        <v>4458</v>
      </c>
    </row>
    <row r="35" spans="1:14" ht="211.2" x14ac:dyDescent="0.3">
      <c r="A35" s="2" t="s">
        <v>34</v>
      </c>
      <c r="B35" s="2" t="str">
        <f>HYPERLINK("https://www.heraldbulletin.com/sports/coming-up/article_d8095aae-8d91-11ef-a714-6bb3e12a60e0.html")</f>
        <v>https://www.heraldbulletin.com/sports/coming-up/article_d8095aae-8d91-11ef-a714-6bb3e12a60e0.html</v>
      </c>
      <c r="C35" s="2"/>
      <c r="D35" s="2" t="s">
        <v>35</v>
      </c>
      <c r="E35" s="5">
        <v>45584.298888888887</v>
      </c>
      <c r="F35" s="2" t="s">
        <v>128</v>
      </c>
      <c r="G35" s="2">
        <v>50260</v>
      </c>
      <c r="H35" s="2">
        <v>0</v>
      </c>
      <c r="I35" s="2">
        <v>0</v>
      </c>
      <c r="J35" s="2">
        <v>13</v>
      </c>
      <c r="K35" s="2" t="s">
        <v>25</v>
      </c>
      <c r="L35" s="4">
        <v>464.9</v>
      </c>
      <c r="M35" s="2"/>
      <c r="N35" t="s">
        <v>4458</v>
      </c>
    </row>
    <row r="36" spans="1:14" ht="79.2" x14ac:dyDescent="0.3">
      <c r="A36" s="2" t="s">
        <v>129</v>
      </c>
      <c r="B36" s="2" t="str">
        <f>HYPERLINK("https://www.wthr.com/article/weather/weather-blog/warmer-forecast-weekend-events-central-indiana-live-doppler-13-weather-blog-wthr-lindsey-monroe/531-d47672f8-30fb-4905-b4ee-4483715910d7")</f>
        <v>https://www.wthr.com/article/weather/weather-blog/warmer-forecast-weekend-events-central-indiana-live-doppler-13-weather-blog-wthr-lindsey-monroe/531-d47672f8-30fb-4905-b4ee-4483715910d7</v>
      </c>
      <c r="C36" s="2"/>
      <c r="D36" s="2" t="s">
        <v>130</v>
      </c>
      <c r="E36" s="5">
        <v>45584.175381944442</v>
      </c>
      <c r="F36" s="2" t="s">
        <v>131</v>
      </c>
      <c r="G36" s="2">
        <v>1222012</v>
      </c>
      <c r="H36" s="2">
        <v>0</v>
      </c>
      <c r="I36" s="2">
        <v>0</v>
      </c>
      <c r="J36" s="2">
        <v>11</v>
      </c>
      <c r="K36" s="2" t="s">
        <v>25</v>
      </c>
      <c r="L36" s="4">
        <v>11303.61</v>
      </c>
      <c r="M36" s="2"/>
      <c r="N36" t="s">
        <v>4458</v>
      </c>
    </row>
    <row r="37" spans="1:14" ht="52.8" x14ac:dyDescent="0.3">
      <c r="A37" s="2" t="s">
        <v>133</v>
      </c>
      <c r="B37" s="2" t="str">
        <f>HYPERLINK("https://www.wishtv.com/lifestylelive/indy-eleven-fan-appreciation/")</f>
        <v>https://www.wishtv.com/lifestylelive/indy-eleven-fan-appreciation/</v>
      </c>
      <c r="C37" s="2" t="s">
        <v>134</v>
      </c>
      <c r="D37" s="2" t="s">
        <v>135</v>
      </c>
      <c r="E37" s="5">
        <v>45583.606516203698</v>
      </c>
      <c r="F37" s="2" t="s">
        <v>136</v>
      </c>
      <c r="G37" s="2">
        <v>568116</v>
      </c>
      <c r="H37" s="2">
        <v>0</v>
      </c>
      <c r="I37" s="2">
        <v>0</v>
      </c>
      <c r="J37" s="2">
        <v>9</v>
      </c>
      <c r="K37" s="2" t="s">
        <v>25</v>
      </c>
      <c r="L37" s="4">
        <v>5255.07</v>
      </c>
      <c r="M37" s="2"/>
      <c r="N37" t="s">
        <v>4458</v>
      </c>
    </row>
    <row r="38" spans="1:14" ht="79.2" x14ac:dyDescent="0.3">
      <c r="A38" s="2" t="s">
        <v>34</v>
      </c>
      <c r="B38" s="2" t="str">
        <f>HYPERLINK("https://www.heraldbulletin.com/sports/coming-up/article_7a121faa-8cc2-11ef-92f6-232044c14b41.html")</f>
        <v>https://www.heraldbulletin.com/sports/coming-up/article_7a121faa-8cc2-11ef-92f6-232044c14b41.html</v>
      </c>
      <c r="C38" s="2"/>
      <c r="D38" s="2" t="s">
        <v>35</v>
      </c>
      <c r="E38" s="5">
        <v>45583.296932870369</v>
      </c>
      <c r="F38" s="2" t="s">
        <v>141</v>
      </c>
      <c r="G38" s="2">
        <v>50260</v>
      </c>
      <c r="H38" s="2">
        <v>0</v>
      </c>
      <c r="I38" s="2">
        <v>0</v>
      </c>
      <c r="J38" s="2">
        <v>0</v>
      </c>
      <c r="K38" s="2" t="s">
        <v>25</v>
      </c>
      <c r="L38" s="4">
        <v>464.9</v>
      </c>
      <c r="M38" s="2"/>
      <c r="N38" t="s">
        <v>4458</v>
      </c>
    </row>
    <row r="39" spans="1:14" ht="92.4" x14ac:dyDescent="0.3">
      <c r="A39" s="2" t="s">
        <v>142</v>
      </c>
      <c r="B39" s="2" t="str">
        <f>HYPERLINK("https://www.axios.com/local/indianapolis/2024/10/18/indianapolis-weekend-events-rocky-horror-picture-show-bands-america-dane-cook")</f>
        <v>https://www.axios.com/local/indianapolis/2024/10/18/indianapolis-weekend-events-rocky-horror-picture-show-bands-america-dane-cook</v>
      </c>
      <c r="C39" s="2" t="s">
        <v>143</v>
      </c>
      <c r="D39" s="2" t="s">
        <v>144</v>
      </c>
      <c r="E39" s="5">
        <v>45583.284398148149</v>
      </c>
      <c r="F39" s="2" t="s">
        <v>145</v>
      </c>
      <c r="G39" s="2">
        <v>14450483</v>
      </c>
      <c r="H39" s="2">
        <v>0</v>
      </c>
      <c r="I39" s="2">
        <v>0</v>
      </c>
      <c r="J39" s="2">
        <v>0</v>
      </c>
      <c r="K39" s="2" t="s">
        <v>47</v>
      </c>
      <c r="L39" s="4">
        <v>133666.97</v>
      </c>
      <c r="M39" s="2"/>
      <c r="N39" t="s">
        <v>4458</v>
      </c>
    </row>
    <row r="40" spans="1:14" ht="79.2" x14ac:dyDescent="0.3">
      <c r="A40" s="2" t="s">
        <v>34</v>
      </c>
      <c r="B40" s="2" t="str">
        <f>HYPERLINK("https://www.heraldbulletin.com/sports/coming-up/article_0cacda26-8bd8-11ef-8c80-cb42ce42cd57.html")</f>
        <v>https://www.heraldbulletin.com/sports/coming-up/article_0cacda26-8bd8-11ef-8c80-cb42ce42cd57.html</v>
      </c>
      <c r="C40" s="2"/>
      <c r="D40" s="2" t="s">
        <v>35</v>
      </c>
      <c r="E40" s="5">
        <v>45582.300069444442</v>
      </c>
      <c r="F40" s="2" t="s">
        <v>141</v>
      </c>
      <c r="G40" s="2">
        <v>50260</v>
      </c>
      <c r="H40" s="2">
        <v>0</v>
      </c>
      <c r="I40" s="2">
        <v>0</v>
      </c>
      <c r="J40" s="2">
        <v>16</v>
      </c>
      <c r="K40" s="2" t="s">
        <v>25</v>
      </c>
      <c r="L40" s="4">
        <v>464.9</v>
      </c>
      <c r="M40" s="2"/>
      <c r="N40" t="s">
        <v>4458</v>
      </c>
    </row>
    <row r="41" spans="1:14" ht="303.60000000000002" x14ac:dyDescent="0.3">
      <c r="A41" s="2" t="s">
        <v>148</v>
      </c>
      <c r="B41" s="2" t="str">
        <f>HYPERLINK("https://www.wishtv.com/podcast-episode/howl-wine-and-more-from-the-wish-tv-community-calendar/")</f>
        <v>https://www.wishtv.com/podcast-episode/howl-wine-and-more-from-the-wish-tv-community-calendar/</v>
      </c>
      <c r="C41" s="2"/>
      <c r="D41" s="2" t="s">
        <v>38</v>
      </c>
      <c r="E41" s="5">
        <v>45581.593888888892</v>
      </c>
      <c r="F41" s="2" t="s">
        <v>149</v>
      </c>
      <c r="G41" s="2">
        <v>568116</v>
      </c>
      <c r="H41" s="2">
        <v>0</v>
      </c>
      <c r="I41" s="2">
        <v>0</v>
      </c>
      <c r="J41" s="2">
        <v>0</v>
      </c>
      <c r="K41" s="2" t="s">
        <v>25</v>
      </c>
      <c r="L41" s="4">
        <v>5255.07</v>
      </c>
      <c r="M41" s="2"/>
      <c r="N41" t="s">
        <v>4458</v>
      </c>
    </row>
    <row r="42" spans="1:14" ht="39.6" x14ac:dyDescent="0.3">
      <c r="A42" s="2" t="s">
        <v>34</v>
      </c>
      <c r="B42" s="2" t="str">
        <f>HYPERLINK("https://www.heraldbulletin.com/sports/coming-up/article_c54a084e-8b2c-11ef-a1ad-1f83e9f8686e.html")</f>
        <v>https://www.heraldbulletin.com/sports/coming-up/article_c54a084e-8b2c-11ef-a1ad-1f83e9f8686e.html</v>
      </c>
      <c r="C42" s="2"/>
      <c r="D42" s="2" t="s">
        <v>35</v>
      </c>
      <c r="E42" s="5">
        <v>45581.311284722222</v>
      </c>
      <c r="F42" s="2" t="s">
        <v>150</v>
      </c>
      <c r="G42" s="2">
        <v>50260</v>
      </c>
      <c r="H42" s="2">
        <v>0</v>
      </c>
      <c r="I42" s="2">
        <v>0</v>
      </c>
      <c r="J42" s="2">
        <v>10</v>
      </c>
      <c r="K42" s="2" t="s">
        <v>25</v>
      </c>
      <c r="L42" s="4">
        <v>464.9</v>
      </c>
      <c r="M42" s="2"/>
      <c r="N42" t="s">
        <v>4458</v>
      </c>
    </row>
    <row r="43" spans="1:14" ht="66" x14ac:dyDescent="0.3">
      <c r="A43" s="2" t="s">
        <v>151</v>
      </c>
      <c r="B43" s="2" t="str">
        <f>HYPERLINK("https://www.uslchampionship.com/news_article/show/1320914")</f>
        <v>https://www.uslchampionship.com/news_article/show/1320914</v>
      </c>
      <c r="C43" s="2" t="s">
        <v>26</v>
      </c>
      <c r="D43" s="2" t="s">
        <v>28</v>
      </c>
      <c r="E43" s="5">
        <v>45580.604166666657</v>
      </c>
      <c r="F43" s="2" t="s">
        <v>152</v>
      </c>
      <c r="G43" s="2">
        <v>44392</v>
      </c>
      <c r="H43" s="2">
        <v>0</v>
      </c>
      <c r="I43" s="2">
        <v>0</v>
      </c>
      <c r="J43" s="2">
        <v>0</v>
      </c>
      <c r="K43" s="2" t="s">
        <v>25</v>
      </c>
      <c r="L43" s="4">
        <v>410.63</v>
      </c>
      <c r="M43" s="2"/>
      <c r="N43" t="s">
        <v>4457</v>
      </c>
    </row>
    <row r="44" spans="1:14" ht="118.8" x14ac:dyDescent="0.3">
      <c r="A44" s="2" t="s">
        <v>153</v>
      </c>
      <c r="B44" s="2" t="str">
        <f>HYPERLINK("https://www.oursportscentral.com/services/releases/ofeimu--sulte-on-usl-championship-team-of-the-week/n-6156774")</f>
        <v>https://www.oursportscentral.com/services/releases/ofeimu--sulte-on-usl-championship-team-of-the-week/n-6156774</v>
      </c>
      <c r="C44" s="2"/>
      <c r="D44" s="2" t="s">
        <v>24</v>
      </c>
      <c r="E44" s="5">
        <v>45580.486805555563</v>
      </c>
      <c r="F44" s="2" t="s">
        <v>154</v>
      </c>
      <c r="G44" s="2">
        <v>40402</v>
      </c>
      <c r="H44" s="2">
        <v>0</v>
      </c>
      <c r="I44" s="2">
        <v>0</v>
      </c>
      <c r="J44" s="2">
        <v>0</v>
      </c>
      <c r="K44" s="2" t="s">
        <v>25</v>
      </c>
      <c r="L44" s="4">
        <v>373.72</v>
      </c>
      <c r="M44" s="2"/>
      <c r="N44" t="s">
        <v>4457</v>
      </c>
    </row>
    <row r="45" spans="1:14" ht="171.6" x14ac:dyDescent="0.3">
      <c r="A45" s="2" t="s">
        <v>155</v>
      </c>
      <c r="B45" s="2" t="str">
        <f>HYPERLINK("https://do317.com/events/2024/10/19/indy-eleven-vs-birmingham-legion-fc-tickets")</f>
        <v>https://do317.com/events/2024/10/19/indy-eleven-vs-birmingham-legion-fc-tickets</v>
      </c>
      <c r="C45" s="2"/>
      <c r="D45" s="2" t="s">
        <v>156</v>
      </c>
      <c r="E45" s="5">
        <v>45580.36822916667</v>
      </c>
      <c r="F45" s="2" t="s">
        <v>157</v>
      </c>
      <c r="G45" s="2">
        <v>50131</v>
      </c>
      <c r="H45" s="2">
        <v>0</v>
      </c>
      <c r="I45" s="2">
        <v>0</v>
      </c>
      <c r="J45" s="2">
        <v>97</v>
      </c>
      <c r="K45" s="2" t="s">
        <v>47</v>
      </c>
      <c r="L45" s="4">
        <v>463.71</v>
      </c>
      <c r="M45" s="2"/>
      <c r="N45" t="s">
        <v>4458</v>
      </c>
    </row>
    <row r="46" spans="1:14" ht="66" x14ac:dyDescent="0.3">
      <c r="A46" s="2" t="s">
        <v>158</v>
      </c>
      <c r="B46" s="2" t="str">
        <f>HYPERLINK("https://detroitcitywire.com/stories/665093758-detroit-city-fc-secures-playoff-spot-after-draw-against-indy-eleven")</f>
        <v>https://detroitcitywire.com/stories/665093758-detroit-city-fc-secures-playoff-spot-after-draw-against-indy-eleven</v>
      </c>
      <c r="C46" s="2"/>
      <c r="D46" s="2" t="s">
        <v>85</v>
      </c>
      <c r="E46" s="5">
        <v>45579.059965277767</v>
      </c>
      <c r="F46" s="2" t="s">
        <v>159</v>
      </c>
      <c r="G46" s="2">
        <v>1913</v>
      </c>
      <c r="H46" s="2">
        <v>0</v>
      </c>
      <c r="I46" s="2">
        <v>0</v>
      </c>
      <c r="J46" s="2">
        <v>0</v>
      </c>
      <c r="K46" s="2" t="s">
        <v>25</v>
      </c>
      <c r="L46" s="4">
        <v>17.7</v>
      </c>
      <c r="M46" s="2"/>
      <c r="N46" t="s">
        <v>4457</v>
      </c>
    </row>
    <row r="47" spans="1:14" ht="66" x14ac:dyDescent="0.3">
      <c r="A47" s="2" t="s">
        <v>160</v>
      </c>
      <c r="B47" s="2" t="str">
        <f>HYPERLINK("https://detroitcitywire.com/stories/665067674-detroit-city-fc-aims-to-secure-playoff-spot-against-indy-eleven")</f>
        <v>https://detroitcitywire.com/stories/665067674-detroit-city-fc-aims-to-secure-playoff-spot-against-indy-eleven</v>
      </c>
      <c r="C47" s="2"/>
      <c r="D47" s="2" t="s">
        <v>85</v>
      </c>
      <c r="E47" s="5">
        <v>45578.053113425929</v>
      </c>
      <c r="F47" s="2" t="s">
        <v>161</v>
      </c>
      <c r="G47" s="2">
        <v>1913</v>
      </c>
      <c r="H47" s="2">
        <v>0</v>
      </c>
      <c r="I47" s="2">
        <v>0</v>
      </c>
      <c r="J47" s="2">
        <v>0</v>
      </c>
      <c r="K47" s="2" t="s">
        <v>25</v>
      </c>
      <c r="L47" s="4">
        <v>17.7</v>
      </c>
      <c r="M47" s="2"/>
      <c r="N47" t="s">
        <v>4457</v>
      </c>
    </row>
    <row r="48" spans="1:14" ht="66" x14ac:dyDescent="0.3">
      <c r="A48" s="2" t="s">
        <v>162</v>
      </c>
      <c r="B48" s="2" t="str">
        <f>HYPERLINK("https://www.detroitnews.com/story/sports/soccer/2024/10/12/detroit-city-fc-plays-indy-eleven-to-scoreless-draw-clinches-playoff-spot/75650862007/")</f>
        <v>https://www.detroitnews.com/story/sports/soccer/2024/10/12/detroit-city-fc-plays-indy-eleven-to-scoreless-draw-clinches-playoff-spot/75650862007/</v>
      </c>
      <c r="C48" s="2"/>
      <c r="D48" s="2" t="s">
        <v>64</v>
      </c>
      <c r="E48" s="5">
        <v>45577.801076388889</v>
      </c>
      <c r="F48" s="2" t="s">
        <v>163</v>
      </c>
      <c r="G48" s="2">
        <v>1963432</v>
      </c>
      <c r="H48" s="2">
        <v>1</v>
      </c>
      <c r="I48" s="2">
        <v>14606</v>
      </c>
      <c r="J48" s="2">
        <v>265</v>
      </c>
      <c r="K48" s="2" t="s">
        <v>25</v>
      </c>
      <c r="L48" s="4">
        <v>18161.75</v>
      </c>
      <c r="M48" s="2"/>
      <c r="N48" t="s">
        <v>4457</v>
      </c>
    </row>
    <row r="49" spans="1:14" ht="118.8" x14ac:dyDescent="0.3">
      <c r="A49" s="2" t="s">
        <v>164</v>
      </c>
      <c r="B49" s="2" t="str">
        <f>HYPERLINK("https://www.oursportscentral.com/services/releases/sulte-second-straight-shutout-earns-key-road-point/n-6156120")</f>
        <v>https://www.oursportscentral.com/services/releases/sulte-second-straight-shutout-earns-key-road-point/n-6156120</v>
      </c>
      <c r="C49" s="2"/>
      <c r="D49" s="2" t="s">
        <v>24</v>
      </c>
      <c r="E49" s="5">
        <v>45577.79583333333</v>
      </c>
      <c r="F49" s="2" t="s">
        <v>165</v>
      </c>
      <c r="G49" s="2">
        <v>40402</v>
      </c>
      <c r="H49" s="2">
        <v>0</v>
      </c>
      <c r="I49" s="2">
        <v>0</v>
      </c>
      <c r="J49" s="2">
        <v>0</v>
      </c>
      <c r="K49" s="2" t="s">
        <v>25</v>
      </c>
      <c r="L49" s="4">
        <v>373.72</v>
      </c>
      <c r="M49" s="2"/>
      <c r="N49" t="s">
        <v>4457</v>
      </c>
    </row>
    <row r="50" spans="1:14" ht="132" x14ac:dyDescent="0.3">
      <c r="A50" s="2" t="s">
        <v>166</v>
      </c>
      <c r="B50" s="2" t="str">
        <f>HYPERLINK("https://www.oursportscentral.com/services/releases/detroit-city-fc-vs-indy-eleven--game-highlights/n-6156084")</f>
        <v>https://www.oursportscentral.com/services/releases/detroit-city-fc-vs-indy-eleven--game-highlights/n-6156084</v>
      </c>
      <c r="C50" s="2"/>
      <c r="D50" s="2" t="s">
        <v>24</v>
      </c>
      <c r="E50" s="5">
        <v>45577.78402777778</v>
      </c>
      <c r="F50" s="2" t="s">
        <v>167</v>
      </c>
      <c r="G50" s="2">
        <v>40402</v>
      </c>
      <c r="H50" s="2">
        <v>0</v>
      </c>
      <c r="I50" s="2">
        <v>0</v>
      </c>
      <c r="J50" s="2">
        <v>0</v>
      </c>
      <c r="K50" s="2" t="s">
        <v>25</v>
      </c>
      <c r="L50" s="4">
        <v>373.72</v>
      </c>
      <c r="M50" s="2"/>
      <c r="N50" t="s">
        <v>4457</v>
      </c>
    </row>
    <row r="51" spans="1:14" ht="52.8" x14ac:dyDescent="0.3">
      <c r="A51" s="2" t="s">
        <v>168</v>
      </c>
      <c r="B51" s="2" t="str">
        <f>HYPERLINK("https://www.cbsnews.com/detroit/news/detroit-city-fc-vs-indy-eleven/")</f>
        <v>https://www.cbsnews.com/detroit/news/detroit-city-fc-vs-indy-eleven/</v>
      </c>
      <c r="C51" s="2"/>
      <c r="D51" s="2" t="s">
        <v>77</v>
      </c>
      <c r="E51" s="5">
        <v>45577.464108796303</v>
      </c>
      <c r="F51" s="2" t="s">
        <v>169</v>
      </c>
      <c r="G51" s="2">
        <v>43927397</v>
      </c>
      <c r="H51" s="2">
        <v>0</v>
      </c>
      <c r="I51" s="2">
        <v>0</v>
      </c>
      <c r="J51" s="2">
        <v>24</v>
      </c>
      <c r="K51" s="2" t="s">
        <v>25</v>
      </c>
      <c r="L51" s="4">
        <v>406328.42</v>
      </c>
      <c r="M51" s="2"/>
      <c r="N51" t="s">
        <v>4457</v>
      </c>
    </row>
    <row r="52" spans="1:14" ht="92.4" x14ac:dyDescent="0.3">
      <c r="A52" s="2" t="s">
        <v>170</v>
      </c>
      <c r="B52" s="2" t="str">
        <f>HYPERLINK("https://1075thefan.com/428952/soccer-saturday-10-12-2024/")</f>
        <v>https://1075thefan.com/428952/soccer-saturday-10-12-2024/</v>
      </c>
      <c r="C52" s="2" t="s">
        <v>74</v>
      </c>
      <c r="D52" s="2" t="s">
        <v>75</v>
      </c>
      <c r="E52" s="5">
        <v>45577.436099537037</v>
      </c>
      <c r="F52" s="2" t="s">
        <v>171</v>
      </c>
      <c r="G52" s="2">
        <v>208881</v>
      </c>
      <c r="H52" s="2">
        <v>0</v>
      </c>
      <c r="I52" s="2">
        <v>0</v>
      </c>
      <c r="J52" s="2">
        <v>0</v>
      </c>
      <c r="K52" s="2" t="s">
        <v>31</v>
      </c>
      <c r="L52" s="4">
        <v>1932.15</v>
      </c>
      <c r="M52" s="2"/>
      <c r="N52" t="s">
        <v>4458</v>
      </c>
    </row>
    <row r="53" spans="1:14" ht="118.8" x14ac:dyDescent="0.3">
      <c r="A53" s="2" t="s">
        <v>34</v>
      </c>
      <c r="B53" s="2" t="str">
        <f>HYPERLINK("https://www.heraldbulletin.com/sports/coming-up/article_35eb93a0-8818-11ef-b133-47dc2237c88b.html")</f>
        <v>https://www.heraldbulletin.com/sports/coming-up/article_35eb93a0-8818-11ef-b133-47dc2237c88b.html</v>
      </c>
      <c r="C53" s="2"/>
      <c r="D53" s="2" t="s">
        <v>35</v>
      </c>
      <c r="E53" s="5">
        <v>45577.297268518523</v>
      </c>
      <c r="F53" s="2" t="s">
        <v>172</v>
      </c>
      <c r="G53" s="2">
        <v>50260</v>
      </c>
      <c r="H53" s="2">
        <v>0</v>
      </c>
      <c r="I53" s="2">
        <v>0</v>
      </c>
      <c r="J53" s="2">
        <v>2</v>
      </c>
      <c r="K53" s="2" t="s">
        <v>25</v>
      </c>
      <c r="L53" s="4">
        <v>464.9</v>
      </c>
      <c r="M53" s="2"/>
      <c r="N53" t="s">
        <v>4458</v>
      </c>
    </row>
    <row r="54" spans="1:14" ht="79.2" x14ac:dyDescent="0.3">
      <c r="A54" s="2" t="s">
        <v>173</v>
      </c>
      <c r="B54" s="2" t="str">
        <f>HYPERLINK("https://www.oursportscentral.com/services/releases/le-rouge-can-clinch-a-playoff-spot-today-against-indy-eleven/n-6156015")</f>
        <v>https://www.oursportscentral.com/services/releases/le-rouge-can-clinch-a-playoff-spot-today-against-indy-eleven/n-6156015</v>
      </c>
      <c r="C54" s="2"/>
      <c r="D54" s="2" t="s">
        <v>24</v>
      </c>
      <c r="E54" s="5">
        <v>45577.265277777777</v>
      </c>
      <c r="F54" s="2" t="s">
        <v>174</v>
      </c>
      <c r="G54" s="2">
        <v>40402</v>
      </c>
      <c r="H54" s="2">
        <v>0</v>
      </c>
      <c r="I54" s="2">
        <v>0</v>
      </c>
      <c r="J54" s="2">
        <v>0</v>
      </c>
      <c r="K54" s="2" t="s">
        <v>25</v>
      </c>
      <c r="L54" s="4">
        <v>373.72</v>
      </c>
      <c r="M54" s="2"/>
      <c r="N54" t="s">
        <v>4457</v>
      </c>
    </row>
    <row r="55" spans="1:14" ht="132" x14ac:dyDescent="0.3">
      <c r="A55" s="2" t="s">
        <v>176</v>
      </c>
      <c r="B55" s="2" t="str">
        <f>HYPERLINK("https://www.oursportscentral.com/services/releases/indy-eleven-named-to-the-ibj-most-popular-attractions-list/n-6155760")</f>
        <v>https://www.oursportscentral.com/services/releases/indy-eleven-named-to-the-ibj-most-popular-attractions-list/n-6155760</v>
      </c>
      <c r="C55" s="2"/>
      <c r="D55" s="2" t="s">
        <v>24</v>
      </c>
      <c r="E55" s="5">
        <v>45576.477777777778</v>
      </c>
      <c r="F55" s="2" t="s">
        <v>177</v>
      </c>
      <c r="G55" s="2">
        <v>40402</v>
      </c>
      <c r="H55" s="2">
        <v>0</v>
      </c>
      <c r="I55" s="2">
        <v>0</v>
      </c>
      <c r="J55" s="2">
        <v>0</v>
      </c>
      <c r="K55" s="2" t="s">
        <v>25</v>
      </c>
      <c r="L55" s="4">
        <v>373.72</v>
      </c>
      <c r="M55" s="2"/>
      <c r="N55" t="s">
        <v>4457</v>
      </c>
    </row>
    <row r="56" spans="1:14" ht="118.8" x14ac:dyDescent="0.3">
      <c r="A56" s="2" t="s">
        <v>34</v>
      </c>
      <c r="B56" s="2" t="str">
        <f>HYPERLINK("https://www.heraldbulletin.com/sports/coming-up/article_e8902362-8756-11ef-8cf5-6b48f3ec5529.html")</f>
        <v>https://www.heraldbulletin.com/sports/coming-up/article_e8902362-8756-11ef-8cf5-6b48f3ec5529.html</v>
      </c>
      <c r="C56" s="2"/>
      <c r="D56" s="2" t="s">
        <v>35</v>
      </c>
      <c r="E56" s="5">
        <v>45576.293310185189</v>
      </c>
      <c r="F56" s="2" t="s">
        <v>172</v>
      </c>
      <c r="G56" s="2">
        <v>50260</v>
      </c>
      <c r="H56" s="2">
        <v>0</v>
      </c>
      <c r="I56" s="2">
        <v>0</v>
      </c>
      <c r="J56" s="2">
        <v>5</v>
      </c>
      <c r="K56" s="2" t="s">
        <v>25</v>
      </c>
      <c r="L56" s="4">
        <v>464.9</v>
      </c>
      <c r="M56" s="2"/>
      <c r="N56" t="s">
        <v>4458</v>
      </c>
    </row>
    <row r="57" spans="1:14" ht="79.2" x14ac:dyDescent="0.3">
      <c r="A57" s="2" t="s">
        <v>34</v>
      </c>
      <c r="B57" s="2" t="str">
        <f>HYPERLINK("https://www.heraldbulletin.com/sports/coming-up/article_afb49854-865a-11ef-9504-431b60bda48f.html")</f>
        <v>https://www.heraldbulletin.com/sports/coming-up/article_afb49854-865a-11ef-9504-431b60bda48f.html</v>
      </c>
      <c r="C57" s="2"/>
      <c r="D57" s="2" t="s">
        <v>35</v>
      </c>
      <c r="E57" s="5">
        <v>45575.305613425917</v>
      </c>
      <c r="F57" s="2" t="s">
        <v>179</v>
      </c>
      <c r="G57" s="2">
        <v>50260</v>
      </c>
      <c r="H57" s="2">
        <v>0</v>
      </c>
      <c r="I57" s="2">
        <v>0</v>
      </c>
      <c r="J57" s="2">
        <v>4</v>
      </c>
      <c r="K57" s="2" t="s">
        <v>25</v>
      </c>
      <c r="L57" s="4">
        <v>464.9</v>
      </c>
      <c r="M57" s="2"/>
      <c r="N57" t="s">
        <v>4458</v>
      </c>
    </row>
    <row r="58" spans="1:14" ht="409.6" x14ac:dyDescent="0.3">
      <c r="A58" s="2" t="s">
        <v>180</v>
      </c>
      <c r="B58" s="2" t="str">
        <f>HYPERLINK("https://www.uslleagueone.com/news_article/show/1320431")</f>
        <v>https://www.uslleagueone.com/news_article/show/1320431</v>
      </c>
      <c r="C58" s="2" t="s">
        <v>45</v>
      </c>
      <c r="D58" s="2" t="s">
        <v>27</v>
      </c>
      <c r="E58" s="5">
        <v>45574.576388888891</v>
      </c>
      <c r="F58" s="2" t="s">
        <v>181</v>
      </c>
      <c r="G58" s="2">
        <v>20277</v>
      </c>
      <c r="H58" s="2">
        <v>0</v>
      </c>
      <c r="I58" s="2">
        <v>0</v>
      </c>
      <c r="J58" s="2">
        <v>0</v>
      </c>
      <c r="K58" s="2" t="s">
        <v>25</v>
      </c>
      <c r="L58" s="4">
        <v>187.56</v>
      </c>
      <c r="M58" s="2"/>
      <c r="N58" t="s">
        <v>4457</v>
      </c>
    </row>
    <row r="59" spans="1:14" ht="66" x14ac:dyDescent="0.3">
      <c r="A59" s="2" t="s">
        <v>182</v>
      </c>
      <c r="B59" s="2" t="str">
        <f>HYPERLINK("https://www.uslchampionship.com/news_article/show/1320379")</f>
        <v>https://www.uslchampionship.com/news_article/show/1320379</v>
      </c>
      <c r="C59" s="2" t="s">
        <v>26</v>
      </c>
      <c r="D59" s="2" t="s">
        <v>28</v>
      </c>
      <c r="E59" s="5">
        <v>45574.458333333343</v>
      </c>
      <c r="F59" s="2" t="s">
        <v>183</v>
      </c>
      <c r="G59" s="2">
        <v>44392</v>
      </c>
      <c r="H59" s="2">
        <v>0</v>
      </c>
      <c r="I59" s="2">
        <v>0</v>
      </c>
      <c r="J59" s="2">
        <v>82</v>
      </c>
      <c r="K59" s="2" t="s">
        <v>25</v>
      </c>
      <c r="L59" s="4">
        <v>410.63</v>
      </c>
      <c r="M59" s="2"/>
      <c r="N59" t="s">
        <v>4457</v>
      </c>
    </row>
    <row r="60" spans="1:14" ht="118.8" x14ac:dyDescent="0.3">
      <c r="A60" s="2" t="s">
        <v>184</v>
      </c>
      <c r="B60" s="2" t="str">
        <f>HYPERLINK("https://www.oursportscentral.com/services/releases/logan-neidlinger-third-indy-eleven-academy-player-to-sign-a-professional-contract/n-6155162")</f>
        <v>https://www.oursportscentral.com/services/releases/logan-neidlinger-third-indy-eleven-academy-player-to-sign-a-professional-contract/n-6155162</v>
      </c>
      <c r="C60" s="2"/>
      <c r="D60" s="2" t="s">
        <v>24</v>
      </c>
      <c r="E60" s="5">
        <v>45574.34097222222</v>
      </c>
      <c r="F60" s="2" t="s">
        <v>185</v>
      </c>
      <c r="G60" s="2">
        <v>40402</v>
      </c>
      <c r="H60" s="2">
        <v>0</v>
      </c>
      <c r="I60" s="2">
        <v>0</v>
      </c>
      <c r="J60" s="2">
        <v>0</v>
      </c>
      <c r="K60" s="2" t="s">
        <v>25</v>
      </c>
      <c r="L60" s="4">
        <v>373.72</v>
      </c>
      <c r="M60" s="2"/>
      <c r="N60" t="s">
        <v>4457</v>
      </c>
    </row>
    <row r="61" spans="1:14" ht="52.8" x14ac:dyDescent="0.3">
      <c r="A61" s="2" t="s">
        <v>34</v>
      </c>
      <c r="B61" s="2" t="str">
        <f>HYPERLINK("https://www.heraldbulletin.com/sports/coming-up/article_37805fda-85a6-11ef-aa4c-7f46236f1afb.html")</f>
        <v>https://www.heraldbulletin.com/sports/coming-up/article_37805fda-85a6-11ef-aa4c-7f46236f1afb.html</v>
      </c>
      <c r="C61" s="2"/>
      <c r="D61" s="2" t="s">
        <v>35</v>
      </c>
      <c r="E61" s="5">
        <v>45574.304178240738</v>
      </c>
      <c r="F61" s="2" t="s">
        <v>186</v>
      </c>
      <c r="G61" s="2">
        <v>50260</v>
      </c>
      <c r="H61" s="2">
        <v>0</v>
      </c>
      <c r="I61" s="2">
        <v>0</v>
      </c>
      <c r="J61" s="2">
        <v>5</v>
      </c>
      <c r="K61" s="2" t="s">
        <v>25</v>
      </c>
      <c r="L61" s="4">
        <v>464.9</v>
      </c>
      <c r="M61" s="2"/>
      <c r="N61" t="s">
        <v>4458</v>
      </c>
    </row>
    <row r="62" spans="1:14" ht="105.6" x14ac:dyDescent="0.3">
      <c r="A62" s="2" t="s">
        <v>187</v>
      </c>
      <c r="B62" s="2" t="str">
        <f>HYPERLINK("https://pittsburghsoccernow.com/2024/10/09/usl-championship-playoff-race-update-riverhounds-get-some-help-from-indy-eleven/")</f>
        <v>https://pittsburghsoccernow.com/2024/10/09/usl-championship-playoff-race-update-riverhounds-get-some-help-from-indy-eleven/</v>
      </c>
      <c r="C62" s="2" t="s">
        <v>104</v>
      </c>
      <c r="D62" s="2" t="s">
        <v>105</v>
      </c>
      <c r="E62" s="5">
        <v>45574.284872685188</v>
      </c>
      <c r="F62" s="2" t="s">
        <v>178</v>
      </c>
      <c r="G62" s="2">
        <v>3863</v>
      </c>
      <c r="H62" s="2">
        <v>0</v>
      </c>
      <c r="I62" s="2">
        <v>0</v>
      </c>
      <c r="J62" s="2">
        <v>70</v>
      </c>
      <c r="K62" s="2" t="s">
        <v>25</v>
      </c>
      <c r="L62" s="4">
        <v>35.729999999999997</v>
      </c>
      <c r="M62" s="2"/>
      <c r="N62" t="s">
        <v>4457</v>
      </c>
    </row>
    <row r="63" spans="1:14" ht="39.6" x14ac:dyDescent="0.3">
      <c r="A63" s="2" t="s">
        <v>188</v>
      </c>
      <c r="B63" s="2" t="str">
        <f>HYPERLINK("https://footballsierraleone.net/2024/10/09/striker-augustine-williams-named-in-usl-team-of-the-week/")</f>
        <v>https://footballsierraleone.net/2024/10/09/striker-augustine-williams-named-in-usl-team-of-the-week/</v>
      </c>
      <c r="C63" s="2" t="s">
        <v>189</v>
      </c>
      <c r="D63" s="2" t="s">
        <v>190</v>
      </c>
      <c r="E63" s="5">
        <v>45574.18949074074</v>
      </c>
      <c r="F63" s="2" t="s">
        <v>191</v>
      </c>
      <c r="G63" s="2">
        <v>991</v>
      </c>
      <c r="H63" s="2">
        <v>0</v>
      </c>
      <c r="I63" s="2">
        <v>0</v>
      </c>
      <c r="J63" s="2">
        <v>0</v>
      </c>
      <c r="K63" s="2" t="s">
        <v>25</v>
      </c>
      <c r="L63" s="4">
        <v>9.17</v>
      </c>
      <c r="M63" s="2"/>
      <c r="N63" t="s">
        <v>4459</v>
      </c>
    </row>
    <row r="64" spans="1:14" ht="79.2" x14ac:dyDescent="0.3">
      <c r="A64" s="2" t="s">
        <v>192</v>
      </c>
      <c r="B64" s="2" t="str">
        <f>HYPERLINK("https://www.dcnewsnow.com/sports/loudoun-united/loudoun-united-fc-falls-to-indy-eleven-1-0-with-three-matches-remaining/")</f>
        <v>https://www.dcnewsnow.com/sports/loudoun-united/loudoun-united-fc-falls-to-indy-eleven-1-0-with-three-matches-remaining/</v>
      </c>
      <c r="C64" s="2" t="s">
        <v>193</v>
      </c>
      <c r="D64" s="2" t="s">
        <v>123</v>
      </c>
      <c r="E64" s="5">
        <v>45573.995775462958</v>
      </c>
      <c r="F64" s="2" t="s">
        <v>194</v>
      </c>
      <c r="G64" s="2">
        <v>769264</v>
      </c>
      <c r="H64" s="2">
        <v>0</v>
      </c>
      <c r="I64" s="2">
        <v>0</v>
      </c>
      <c r="J64" s="2">
        <v>12</v>
      </c>
      <c r="K64" s="2" t="s">
        <v>25</v>
      </c>
      <c r="L64" s="4">
        <v>7115.69</v>
      </c>
      <c r="M64" s="2"/>
      <c r="N64" t="s">
        <v>4457</v>
      </c>
    </row>
    <row r="65" spans="1:14" ht="79.2" x14ac:dyDescent="0.3">
      <c r="A65" s="2" t="s">
        <v>192</v>
      </c>
      <c r="B65" s="2" t="str">
        <f>HYPERLINK("https://sports.yahoo.com/loudoun-united-fc-falls-indy-035355893.html")</f>
        <v>https://sports.yahoo.com/loudoun-united-fc-falls-indy-035355893.html</v>
      </c>
      <c r="C65" s="2" t="s">
        <v>193</v>
      </c>
      <c r="D65" s="2" t="s">
        <v>137</v>
      </c>
      <c r="E65" s="5">
        <v>45573.995775462958</v>
      </c>
      <c r="F65" s="2" t="s">
        <v>194</v>
      </c>
      <c r="G65" s="2">
        <v>23172409</v>
      </c>
      <c r="H65" s="2">
        <v>0</v>
      </c>
      <c r="I65" s="2">
        <v>0</v>
      </c>
      <c r="J65" s="2">
        <v>0</v>
      </c>
      <c r="K65" s="2" t="s">
        <v>25</v>
      </c>
      <c r="L65" s="4">
        <v>214344.78</v>
      </c>
      <c r="M65" s="2"/>
      <c r="N65" t="s">
        <v>4457</v>
      </c>
    </row>
    <row r="66" spans="1:14" ht="66" x14ac:dyDescent="0.3">
      <c r="A66" s="2" t="s">
        <v>195</v>
      </c>
      <c r="B66" s="2" t="str">
        <f>HYPERLINK("https://www.oursportscentral.com/services/releases/loudoun-united-fc-unable-to-secure-points-at-home-following-a-0-1-loss-to-indy-eleven-at-segra-field/n-6155109")</f>
        <v>https://www.oursportscentral.com/services/releases/loudoun-united-fc-unable-to-secure-points-at-home-following-a-0-1-loss-to-indy-eleven-at-segra-field/n-6155109</v>
      </c>
      <c r="C66" s="2"/>
      <c r="D66" s="2" t="s">
        <v>24</v>
      </c>
      <c r="E66" s="5">
        <v>45573.823611111111</v>
      </c>
      <c r="F66" s="2" t="s">
        <v>196</v>
      </c>
      <c r="G66" s="2">
        <v>40402</v>
      </c>
      <c r="H66" s="2">
        <v>0</v>
      </c>
      <c r="I66" s="2">
        <v>0</v>
      </c>
      <c r="J66" s="2">
        <v>0</v>
      </c>
      <c r="K66" s="2" t="s">
        <v>25</v>
      </c>
      <c r="L66" s="4">
        <v>373.72</v>
      </c>
      <c r="M66" s="2"/>
      <c r="N66" t="s">
        <v>4457</v>
      </c>
    </row>
    <row r="67" spans="1:14" ht="145.19999999999999" x14ac:dyDescent="0.3">
      <c r="A67" s="2" t="s">
        <v>197</v>
      </c>
      <c r="B67" s="2" t="str">
        <f>HYPERLINK("https://www.oursportscentral.com/services/releases/10-8-2024-loudoun-united-fc-vs-indy-eleven--game-highlights/n-6155080")</f>
        <v>https://www.oursportscentral.com/services/releases/10-8-2024-loudoun-united-fc-vs-indy-eleven--game-highlights/n-6155080</v>
      </c>
      <c r="C67" s="2"/>
      <c r="D67" s="2" t="s">
        <v>24</v>
      </c>
      <c r="E67" s="5">
        <v>45573.816666666673</v>
      </c>
      <c r="F67" s="2" t="s">
        <v>198</v>
      </c>
      <c r="G67" s="2">
        <v>40402</v>
      </c>
      <c r="H67" s="2">
        <v>0</v>
      </c>
      <c r="I67" s="2">
        <v>0</v>
      </c>
      <c r="J67" s="2">
        <v>0</v>
      </c>
      <c r="K67" s="2" t="s">
        <v>25</v>
      </c>
      <c r="L67" s="4">
        <v>373.72</v>
      </c>
      <c r="M67" s="2"/>
      <c r="N67" t="s">
        <v>4457</v>
      </c>
    </row>
    <row r="68" spans="1:14" ht="118.8" x14ac:dyDescent="0.3">
      <c r="A68" s="2" t="s">
        <v>199</v>
      </c>
      <c r="B68" s="2" t="str">
        <f>HYPERLINK("https://www.oursportscentral.com/services/releases/indy-eleven-4th-in-eastern-conference-after-critical-1-0-road-win/n-6155079")</f>
        <v>https://www.oursportscentral.com/services/releases/indy-eleven-4th-in-eastern-conference-after-critical-1-0-road-win/n-6155079</v>
      </c>
      <c r="C68" s="2"/>
      <c r="D68" s="2" t="s">
        <v>24</v>
      </c>
      <c r="E68" s="5">
        <v>45573.816666666673</v>
      </c>
      <c r="F68" s="2" t="s">
        <v>200</v>
      </c>
      <c r="G68" s="2">
        <v>40402</v>
      </c>
      <c r="H68" s="2">
        <v>0</v>
      </c>
      <c r="I68" s="2">
        <v>0</v>
      </c>
      <c r="J68" s="2">
        <v>0</v>
      </c>
      <c r="K68" s="2" t="s">
        <v>25</v>
      </c>
      <c r="L68" s="4">
        <v>373.72</v>
      </c>
      <c r="M68" s="2"/>
      <c r="N68" t="s">
        <v>4457</v>
      </c>
    </row>
    <row r="69" spans="1:14" ht="105.6" x14ac:dyDescent="0.3">
      <c r="A69" s="2" t="s">
        <v>201</v>
      </c>
      <c r="B69" s="2" t="str">
        <f>HYPERLINK("https://sports.yahoo.com/watch-live-loudoun-united-fc-230000507.html")</f>
        <v>https://sports.yahoo.com/watch-live-loudoun-united-fc-230000507.html</v>
      </c>
      <c r="C69" s="2"/>
      <c r="D69" s="2" t="s">
        <v>137</v>
      </c>
      <c r="E69" s="5">
        <v>45573.791666666657</v>
      </c>
      <c r="F69" s="2" t="s">
        <v>202</v>
      </c>
      <c r="G69" s="2">
        <v>23172409</v>
      </c>
      <c r="H69" s="2">
        <v>0</v>
      </c>
      <c r="I69" s="2">
        <v>0</v>
      </c>
      <c r="J69" s="2">
        <v>0</v>
      </c>
      <c r="K69" s="2" t="s">
        <v>25</v>
      </c>
      <c r="L69" s="4">
        <v>214344.78</v>
      </c>
      <c r="M69" s="2"/>
      <c r="N69" t="s">
        <v>4457</v>
      </c>
    </row>
    <row r="70" spans="1:14" ht="105.6" x14ac:dyDescent="0.3">
      <c r="A70" s="2" t="s">
        <v>201</v>
      </c>
      <c r="B70" s="2" t="str">
        <f>HYPERLINK("https://www.dcnewsnow.com/sports/loudoun-united/watch-live-loudoun-united-fc-vs-indy-eleven-fc/")</f>
        <v>https://www.dcnewsnow.com/sports/loudoun-united/watch-live-loudoun-united-fc-vs-indy-eleven-fc/</v>
      </c>
      <c r="C70" s="2"/>
      <c r="D70" s="2" t="s">
        <v>123</v>
      </c>
      <c r="E70" s="5">
        <v>45573.791666666657</v>
      </c>
      <c r="F70" s="2" t="s">
        <v>202</v>
      </c>
      <c r="G70" s="2">
        <v>769264</v>
      </c>
      <c r="H70" s="2">
        <v>0</v>
      </c>
      <c r="I70" s="2">
        <v>0</v>
      </c>
      <c r="J70" s="2">
        <v>0</v>
      </c>
      <c r="K70" s="2" t="s">
        <v>25</v>
      </c>
      <c r="L70" s="4">
        <v>7115.69</v>
      </c>
      <c r="M70" s="2"/>
      <c r="N70" t="s">
        <v>4457</v>
      </c>
    </row>
    <row r="71" spans="1:14" ht="92.4" x14ac:dyDescent="0.3">
      <c r="A71" s="2" t="s">
        <v>203</v>
      </c>
      <c r="B71" s="2" t="str">
        <f>HYPERLINK("https://www.dcnewsnow.com/sports/loudoun-united/loudoun-united-fc-vs-indy-eleven-fc-pre-match-show/")</f>
        <v>https://www.dcnewsnow.com/sports/loudoun-united/loudoun-united-fc-vs-indy-eleven-fc-pre-match-show/</v>
      </c>
      <c r="C71" s="2" t="s">
        <v>193</v>
      </c>
      <c r="D71" s="2" t="s">
        <v>123</v>
      </c>
      <c r="E71" s="5">
        <v>45573.770833333343</v>
      </c>
      <c r="F71" s="2" t="s">
        <v>204</v>
      </c>
      <c r="G71" s="2">
        <v>769264</v>
      </c>
      <c r="H71" s="2">
        <v>0</v>
      </c>
      <c r="I71" s="2">
        <v>0</v>
      </c>
      <c r="J71" s="2">
        <v>0</v>
      </c>
      <c r="K71" s="2" t="s">
        <v>25</v>
      </c>
      <c r="L71" s="4">
        <v>7115.69</v>
      </c>
      <c r="M71" s="2"/>
      <c r="N71" t="s">
        <v>4457</v>
      </c>
    </row>
    <row r="72" spans="1:14" ht="92.4" x14ac:dyDescent="0.3">
      <c r="A72" s="2" t="s">
        <v>203</v>
      </c>
      <c r="B72" s="2" t="str">
        <f>HYPERLINK("https://sports.yahoo.com/loudoun-united-fc-vs-indy-223000788.html")</f>
        <v>https://sports.yahoo.com/loudoun-united-fc-vs-indy-223000788.html</v>
      </c>
      <c r="C72" s="2" t="s">
        <v>193</v>
      </c>
      <c r="D72" s="2" t="s">
        <v>137</v>
      </c>
      <c r="E72" s="5">
        <v>45573.770833333343</v>
      </c>
      <c r="F72" s="2" t="s">
        <v>205</v>
      </c>
      <c r="G72" s="2">
        <v>23172409</v>
      </c>
      <c r="H72" s="2">
        <v>0</v>
      </c>
      <c r="I72" s="2">
        <v>0</v>
      </c>
      <c r="J72" s="2">
        <v>0</v>
      </c>
      <c r="K72" s="2" t="s">
        <v>25</v>
      </c>
      <c r="L72" s="4">
        <v>214344.78</v>
      </c>
      <c r="M72" s="2"/>
      <c r="N72" t="s">
        <v>4457</v>
      </c>
    </row>
    <row r="73" spans="1:14" ht="79.2" x14ac:dyDescent="0.3">
      <c r="A73" s="2" t="s">
        <v>206</v>
      </c>
      <c r="B73" s="2" t="str">
        <f>HYPERLINK("https://www.uslchampionship.com/news_article/show/1320274")</f>
        <v>https://www.uslchampionship.com/news_article/show/1320274</v>
      </c>
      <c r="C73" s="2" t="s">
        <v>26</v>
      </c>
      <c r="D73" s="2" t="s">
        <v>28</v>
      </c>
      <c r="E73" s="5">
        <v>45573.604166666657</v>
      </c>
      <c r="F73" s="2" t="s">
        <v>207</v>
      </c>
      <c r="G73" s="2">
        <v>44392</v>
      </c>
      <c r="H73" s="2">
        <v>0</v>
      </c>
      <c r="I73" s="2">
        <v>0</v>
      </c>
      <c r="J73" s="2">
        <v>0</v>
      </c>
      <c r="K73" s="2" t="s">
        <v>25</v>
      </c>
      <c r="L73" s="4">
        <v>410.63</v>
      </c>
      <c r="M73" s="2"/>
      <c r="N73" t="s">
        <v>4457</v>
      </c>
    </row>
    <row r="74" spans="1:14" ht="105.6" x14ac:dyDescent="0.3">
      <c r="A74" s="2" t="s">
        <v>34</v>
      </c>
      <c r="B74" s="2" t="str">
        <f>HYPERLINK("https://www.heraldbulletin.com/sports/coming-up/article_42043410-84f5-11ef-a4be-535717a22cdb.html")</f>
        <v>https://www.heraldbulletin.com/sports/coming-up/article_42043410-84f5-11ef-a4be-535717a22cdb.html</v>
      </c>
      <c r="C74" s="2"/>
      <c r="D74" s="2" t="s">
        <v>35</v>
      </c>
      <c r="E74" s="5">
        <v>45573.298831018517</v>
      </c>
      <c r="F74" s="2" t="s">
        <v>211</v>
      </c>
      <c r="G74" s="2">
        <v>50260</v>
      </c>
      <c r="H74" s="2">
        <v>0</v>
      </c>
      <c r="I74" s="2">
        <v>0</v>
      </c>
      <c r="J74" s="2">
        <v>49</v>
      </c>
      <c r="K74" s="2" t="s">
        <v>25</v>
      </c>
      <c r="L74" s="4">
        <v>464.9</v>
      </c>
      <c r="M74" s="2"/>
      <c r="N74" t="s">
        <v>4458</v>
      </c>
    </row>
    <row r="75" spans="1:14" ht="52.8" x14ac:dyDescent="0.3">
      <c r="A75" s="2" t="s">
        <v>212</v>
      </c>
      <c r="B75" s="2" t="str">
        <f>HYPERLINK("https://www.oursportscentral.com/services/releases/loudoun-united-fc-vs-indy-eleven-october-8-2024/n-6154789")</f>
        <v>https://www.oursportscentral.com/services/releases/loudoun-united-fc-vs-indy-eleven-october-8-2024/n-6154789</v>
      </c>
      <c r="C75" s="2"/>
      <c r="D75" s="2" t="s">
        <v>24</v>
      </c>
      <c r="E75" s="5">
        <v>45572.606249999997</v>
      </c>
      <c r="F75" s="2" t="s">
        <v>213</v>
      </c>
      <c r="G75" s="2">
        <v>40402</v>
      </c>
      <c r="H75" s="2">
        <v>0</v>
      </c>
      <c r="I75" s="2">
        <v>0</v>
      </c>
      <c r="J75" s="2">
        <v>0</v>
      </c>
      <c r="K75" s="2" t="s">
        <v>25</v>
      </c>
      <c r="L75" s="4">
        <v>373.72</v>
      </c>
      <c r="M75" s="2"/>
      <c r="N75" t="s">
        <v>4457</v>
      </c>
    </row>
    <row r="76" spans="1:14" ht="92.4" x14ac:dyDescent="0.3">
      <c r="A76" s="2" t="s">
        <v>214</v>
      </c>
      <c r="B76" s="2" t="str">
        <f>HYPERLINK("https://footballsierraleone.net/2024/10/07/sierra-leones-augustine-williams-nets-brace-in-indys-draw/")</f>
        <v>https://footballsierraleone.net/2024/10/07/sierra-leones-augustine-williams-nets-brace-in-indys-draw/</v>
      </c>
      <c r="C76" s="2" t="s">
        <v>189</v>
      </c>
      <c r="D76" s="2" t="s">
        <v>190</v>
      </c>
      <c r="E76" s="5">
        <v>45572.314629629633</v>
      </c>
      <c r="F76" s="2" t="s">
        <v>215</v>
      </c>
      <c r="G76" s="2">
        <v>991</v>
      </c>
      <c r="H76" s="2">
        <v>0</v>
      </c>
      <c r="I76" s="2">
        <v>0</v>
      </c>
      <c r="J76" s="2">
        <v>23</v>
      </c>
      <c r="K76" s="2" t="s">
        <v>31</v>
      </c>
      <c r="L76" s="4">
        <v>9.17</v>
      </c>
      <c r="M76" s="2"/>
      <c r="N76" t="s">
        <v>4459</v>
      </c>
    </row>
    <row r="77" spans="1:14" ht="105.6" x14ac:dyDescent="0.3">
      <c r="A77" s="2" t="s">
        <v>34</v>
      </c>
      <c r="B77" s="2" t="str">
        <f>HYPERLINK("https://www.heraldbulletin.com/sports/coming-up/article_c6b8850a-8462-11ef-b45f-ef9e713b1b87.html")</f>
        <v>https://www.heraldbulletin.com/sports/coming-up/article_c6b8850a-8462-11ef-b45f-ef9e713b1b87.html</v>
      </c>
      <c r="C77" s="2"/>
      <c r="D77" s="2" t="s">
        <v>35</v>
      </c>
      <c r="E77" s="5">
        <v>45572.294398148151</v>
      </c>
      <c r="F77" s="2" t="s">
        <v>211</v>
      </c>
      <c r="G77" s="2">
        <v>50260</v>
      </c>
      <c r="H77" s="2">
        <v>0</v>
      </c>
      <c r="I77" s="2">
        <v>0</v>
      </c>
      <c r="J77" s="2">
        <v>3</v>
      </c>
      <c r="K77" s="2" t="s">
        <v>25</v>
      </c>
      <c r="L77" s="4">
        <v>464.9</v>
      </c>
      <c r="M77" s="2"/>
      <c r="N77" t="s">
        <v>4458</v>
      </c>
    </row>
    <row r="78" spans="1:14" ht="105.6" x14ac:dyDescent="0.3">
      <c r="A78" s="2" t="s">
        <v>216</v>
      </c>
      <c r="B78" s="2" t="str">
        <f>HYPERLINK("https://www.wishtv.com/sports/indy-eleven/indy-eleven-vs-louisville-fc-from-oct-5-2024/")</f>
        <v>https://www.wishtv.com/sports/indy-eleven/indy-eleven-vs-louisville-fc-from-oct-5-2024/</v>
      </c>
      <c r="C78" s="2" t="s">
        <v>109</v>
      </c>
      <c r="D78" s="2" t="s">
        <v>38</v>
      </c>
      <c r="E78" s="5">
        <v>45572.25</v>
      </c>
      <c r="F78" s="2" t="s">
        <v>217</v>
      </c>
      <c r="G78" s="2">
        <v>568116</v>
      </c>
      <c r="H78" s="2">
        <v>0</v>
      </c>
      <c r="I78" s="2">
        <v>0</v>
      </c>
      <c r="J78" s="2">
        <v>0</v>
      </c>
      <c r="K78" s="2" t="s">
        <v>47</v>
      </c>
      <c r="L78" s="4">
        <v>5255.07</v>
      </c>
      <c r="M78" s="2"/>
      <c r="N78" t="s">
        <v>4458</v>
      </c>
    </row>
    <row r="79" spans="1:14" ht="66" x14ac:dyDescent="0.3">
      <c r="A79" s="2" t="s">
        <v>34</v>
      </c>
      <c r="B79" s="2" t="str">
        <f>HYPERLINK("https://www.heraldbulletin.com/sports/coming-up/article_ca1976ba-838a-11ef-9b06-bbce159c79d8.html")</f>
        <v>https://www.heraldbulletin.com/sports/coming-up/article_ca1976ba-838a-11ef-9b06-bbce159c79d8.html</v>
      </c>
      <c r="C79" s="2"/>
      <c r="D79" s="2" t="s">
        <v>35</v>
      </c>
      <c r="E79" s="5">
        <v>45571.300949074073</v>
      </c>
      <c r="F79" s="2" t="s">
        <v>218</v>
      </c>
      <c r="G79" s="2">
        <v>50260</v>
      </c>
      <c r="H79" s="2">
        <v>0</v>
      </c>
      <c r="I79" s="2">
        <v>0</v>
      </c>
      <c r="J79" s="2">
        <v>20</v>
      </c>
      <c r="K79" s="2" t="s">
        <v>25</v>
      </c>
      <c r="L79" s="4">
        <v>464.9</v>
      </c>
      <c r="M79" s="2"/>
      <c r="N79" t="s">
        <v>4458</v>
      </c>
    </row>
    <row r="80" spans="1:14" ht="105.6" x14ac:dyDescent="0.3">
      <c r="A80" s="2" t="s">
        <v>219</v>
      </c>
      <c r="B80" s="2" t="str">
        <f>HYPERLINK("https://www.oursportscentral.com/services/releases/augi-williams-makes-more-history-in-2-2-draw/n-6154357")</f>
        <v>https://www.oursportscentral.com/services/releases/augi-williams-makes-more-history-in-2-2-draw/n-6154357</v>
      </c>
      <c r="C80" s="2"/>
      <c r="D80" s="2" t="s">
        <v>24</v>
      </c>
      <c r="E80" s="5">
        <v>45571.095833333333</v>
      </c>
      <c r="F80" s="2" t="s">
        <v>220</v>
      </c>
      <c r="G80" s="2">
        <v>40402</v>
      </c>
      <c r="H80" s="2">
        <v>0</v>
      </c>
      <c r="I80" s="2">
        <v>0</v>
      </c>
      <c r="J80" s="2">
        <v>0</v>
      </c>
      <c r="K80" s="2" t="s">
        <v>25</v>
      </c>
      <c r="L80" s="4">
        <v>373.72</v>
      </c>
      <c r="M80" s="2"/>
      <c r="N80" t="s">
        <v>4457</v>
      </c>
    </row>
    <row r="81" spans="1:14" ht="79.2" x14ac:dyDescent="0.3">
      <c r="A81" s="2" t="s">
        <v>221</v>
      </c>
      <c r="B81" s="2" t="str">
        <f>HYPERLINK("https://www.wdrb.com/sports/louisville-city-fc/louisville-city-clinches-regular-season-title-with-2-2-draw-against-indy-eleven/article_aa9cd7aa-8376-11ef-888a-d39a9ccd8fda.html")</f>
        <v>https://www.wdrb.com/sports/louisville-city-fc/louisville-city-clinches-regular-season-title-with-2-2-draw-against-indy-eleven/article_aa9cd7aa-8376-11ef-888a-d39a9ccd8fda.html</v>
      </c>
      <c r="C81" s="2"/>
      <c r="D81" s="2" t="s">
        <v>222</v>
      </c>
      <c r="E81" s="5">
        <v>45570.97446759259</v>
      </c>
      <c r="F81" s="2"/>
      <c r="G81" s="2">
        <v>888525</v>
      </c>
      <c r="H81" s="2">
        <v>0</v>
      </c>
      <c r="I81" s="2">
        <v>0</v>
      </c>
      <c r="J81" s="2">
        <v>9</v>
      </c>
      <c r="K81" s="2"/>
      <c r="L81" s="4">
        <v>8218.86</v>
      </c>
      <c r="M81" s="2"/>
      <c r="N81" t="s">
        <v>4457</v>
      </c>
    </row>
    <row r="82" spans="1:14" ht="92.4" x14ac:dyDescent="0.3">
      <c r="A82" s="2" t="s">
        <v>223</v>
      </c>
      <c r="B82" s="2" t="str">
        <f>HYPERLINK("https://www.oursportscentral.com/services/releases/loucity-clinches-players-shield-on-late-equalizer-at-indy-eleven/n-6154280")</f>
        <v>https://www.oursportscentral.com/services/releases/loucity-clinches-players-shield-on-late-equalizer-at-indy-eleven/n-6154280</v>
      </c>
      <c r="C82" s="2"/>
      <c r="D82" s="2" t="s">
        <v>24</v>
      </c>
      <c r="E82" s="5">
        <v>45570.822222222218</v>
      </c>
      <c r="F82" s="2" t="s">
        <v>224</v>
      </c>
      <c r="G82" s="2">
        <v>40402</v>
      </c>
      <c r="H82" s="2">
        <v>0</v>
      </c>
      <c r="I82" s="2">
        <v>0</v>
      </c>
      <c r="J82" s="2">
        <v>0</v>
      </c>
      <c r="K82" s="2" t="s">
        <v>31</v>
      </c>
      <c r="L82" s="4">
        <v>373.72</v>
      </c>
      <c r="M82" s="2"/>
      <c r="N82" t="s">
        <v>4457</v>
      </c>
    </row>
    <row r="83" spans="1:14" ht="52.8" x14ac:dyDescent="0.3">
      <c r="A83" s="2" t="s">
        <v>225</v>
      </c>
      <c r="B83" s="2" t="str">
        <f>HYPERLINK("https://www.oursportscentral.com/services/releases/indy-eleven-vs-louisville-city-fc--game-highlights/n-6154229")</f>
        <v>https://www.oursportscentral.com/services/releases/indy-eleven-vs-louisville-city-fc--game-highlights/n-6154229</v>
      </c>
      <c r="C83" s="2"/>
      <c r="D83" s="2" t="s">
        <v>24</v>
      </c>
      <c r="E83" s="5">
        <v>45570.80972222222</v>
      </c>
      <c r="F83" s="2" t="s">
        <v>122</v>
      </c>
      <c r="G83" s="2">
        <v>40402</v>
      </c>
      <c r="H83" s="2">
        <v>0</v>
      </c>
      <c r="I83" s="2">
        <v>0</v>
      </c>
      <c r="J83" s="2">
        <v>0</v>
      </c>
      <c r="K83" s="2" t="s">
        <v>25</v>
      </c>
      <c r="L83" s="4">
        <v>373.72</v>
      </c>
      <c r="M83" s="2"/>
      <c r="N83" t="s">
        <v>4457</v>
      </c>
    </row>
    <row r="84" spans="1:14" ht="66" x14ac:dyDescent="0.3">
      <c r="A84" s="2" t="s">
        <v>227</v>
      </c>
      <c r="B84" s="2" t="str">
        <f>HYPERLINK("https://1075thefan.com/425169/soccer-saturday-10-5-24/")</f>
        <v>https://1075thefan.com/425169/soccer-saturday-10-5-24/</v>
      </c>
      <c r="C84" s="2" t="s">
        <v>228</v>
      </c>
      <c r="D84" s="2" t="s">
        <v>75</v>
      </c>
      <c r="E84" s="5">
        <v>45570.423101851848</v>
      </c>
      <c r="F84" s="2" t="s">
        <v>229</v>
      </c>
      <c r="G84" s="2">
        <v>208881</v>
      </c>
      <c r="H84" s="2">
        <v>0</v>
      </c>
      <c r="I84" s="2">
        <v>0</v>
      </c>
      <c r="J84" s="2">
        <v>0</v>
      </c>
      <c r="K84" s="2" t="s">
        <v>25</v>
      </c>
      <c r="L84" s="4">
        <v>1932.15</v>
      </c>
      <c r="M84" s="2"/>
      <c r="N84" t="s">
        <v>4458</v>
      </c>
    </row>
    <row r="85" spans="1:14" ht="132" x14ac:dyDescent="0.3">
      <c r="A85" s="2" t="s">
        <v>34</v>
      </c>
      <c r="B85" s="2" t="str">
        <f>HYPERLINK("https://www.heraldbulletin.com/sports/coming-up/article_d79562ea-82a4-11ef-875f-eb3b13a0b70e.html")</f>
        <v>https://www.heraldbulletin.com/sports/coming-up/article_d79562ea-82a4-11ef-875f-eb3b13a0b70e.html</v>
      </c>
      <c r="C85" s="2"/>
      <c r="D85" s="2" t="s">
        <v>35</v>
      </c>
      <c r="E85" s="5">
        <v>45570.317037037043</v>
      </c>
      <c r="F85" s="2" t="s">
        <v>230</v>
      </c>
      <c r="G85" s="2">
        <v>50260</v>
      </c>
      <c r="H85" s="2">
        <v>0</v>
      </c>
      <c r="I85" s="2">
        <v>0</v>
      </c>
      <c r="J85" s="2">
        <v>1</v>
      </c>
      <c r="K85" s="2" t="s">
        <v>25</v>
      </c>
      <c r="L85" s="4">
        <v>464.9</v>
      </c>
      <c r="M85" s="2"/>
      <c r="N85" t="s">
        <v>4458</v>
      </c>
    </row>
    <row r="86" spans="1:14" ht="26.4" x14ac:dyDescent="0.3">
      <c r="A86" s="2" t="s">
        <v>232</v>
      </c>
      <c r="B86" s="2" t="str">
        <f>HYPERLINK("https://www.uslchampionship.com/news_article/show/1319980")</f>
        <v>https://www.uslchampionship.com/news_article/show/1319980</v>
      </c>
      <c r="C86" s="2" t="s">
        <v>45</v>
      </c>
      <c r="D86" s="2" t="s">
        <v>28</v>
      </c>
      <c r="E86" s="5">
        <v>45569.4375</v>
      </c>
      <c r="F86" s="2" t="s">
        <v>233</v>
      </c>
      <c r="G86" s="2">
        <v>44392</v>
      </c>
      <c r="H86" s="2">
        <v>0</v>
      </c>
      <c r="I86" s="2">
        <v>0</v>
      </c>
      <c r="J86" s="2">
        <v>58</v>
      </c>
      <c r="K86" s="2" t="s">
        <v>31</v>
      </c>
      <c r="L86" s="4">
        <v>410.63</v>
      </c>
      <c r="M86" s="2"/>
      <c r="N86" t="s">
        <v>4457</v>
      </c>
    </row>
    <row r="87" spans="1:14" ht="52.8" x14ac:dyDescent="0.3">
      <c r="A87" s="2" t="s">
        <v>34</v>
      </c>
      <c r="B87" s="2" t="str">
        <f>HYPERLINK("https://www.heraldbulletin.com/sports/coming-up/article_87e9fa3e-81ce-11ef-85c6-d737f08229d7.html")</f>
        <v>https://www.heraldbulletin.com/sports/coming-up/article_87e9fa3e-81ce-11ef-85c6-d737f08229d7.html</v>
      </c>
      <c r="C87" s="2"/>
      <c r="D87" s="2" t="s">
        <v>35</v>
      </c>
      <c r="E87" s="5">
        <v>45569.347025462957</v>
      </c>
      <c r="F87" s="2" t="s">
        <v>234</v>
      </c>
      <c r="G87" s="2">
        <v>50260</v>
      </c>
      <c r="H87" s="2">
        <v>0</v>
      </c>
      <c r="I87" s="2">
        <v>0</v>
      </c>
      <c r="J87" s="2">
        <v>1</v>
      </c>
      <c r="K87" s="2" t="s">
        <v>25</v>
      </c>
      <c r="L87" s="4">
        <v>464.9</v>
      </c>
      <c r="M87" s="2"/>
      <c r="N87" t="s">
        <v>4458</v>
      </c>
    </row>
    <row r="88" spans="1:14" ht="158.4" x14ac:dyDescent="0.3">
      <c r="A88" s="2" t="s">
        <v>235</v>
      </c>
      <c r="B88" s="2" t="str">
        <f>HYPERLINK("https://allevents.in/leesburg/loudoun-united-fc-vs-indy-eleven/2300027176831515")</f>
        <v>https://allevents.in/leesburg/loudoun-united-fc-vs-indy-eleven/2300027176831515</v>
      </c>
      <c r="C88" s="2"/>
      <c r="D88" s="2" t="s">
        <v>236</v>
      </c>
      <c r="E88" s="5">
        <v>45569.29042824074</v>
      </c>
      <c r="F88" s="2" t="s">
        <v>237</v>
      </c>
      <c r="G88" s="2">
        <v>3933130</v>
      </c>
      <c r="H88" s="2">
        <v>0</v>
      </c>
      <c r="I88" s="2">
        <v>0</v>
      </c>
      <c r="J88" s="2">
        <v>0</v>
      </c>
      <c r="K88" s="2" t="s">
        <v>25</v>
      </c>
      <c r="L88" s="4">
        <v>36381.449999999997</v>
      </c>
      <c r="M88" s="2"/>
      <c r="N88" t="s">
        <v>4459</v>
      </c>
    </row>
    <row r="89" spans="1:14" ht="79.2" x14ac:dyDescent="0.3">
      <c r="A89" s="2" t="s">
        <v>238</v>
      </c>
      <c r="B89" s="2" t="str">
        <f>HYPERLINK("https://www.oursportscentral.com/services/releases/what-to-watch-for-with-loucity-at-indy-eleven/n-6153694")</f>
        <v>https://www.oursportscentral.com/services/releases/what-to-watch-for-with-loucity-at-indy-eleven/n-6153694</v>
      </c>
      <c r="C89" s="2"/>
      <c r="D89" s="2" t="s">
        <v>24</v>
      </c>
      <c r="E89" s="5">
        <v>45569.256249999999</v>
      </c>
      <c r="F89" s="2" t="s">
        <v>239</v>
      </c>
      <c r="G89" s="2">
        <v>40402</v>
      </c>
      <c r="H89" s="2">
        <v>0</v>
      </c>
      <c r="I89" s="2">
        <v>0</v>
      </c>
      <c r="J89" s="2">
        <v>0</v>
      </c>
      <c r="K89" s="2" t="s">
        <v>25</v>
      </c>
      <c r="L89" s="4">
        <v>373.72</v>
      </c>
      <c r="M89" s="2"/>
      <c r="N89" t="s">
        <v>4457</v>
      </c>
    </row>
    <row r="90" spans="1:14" ht="409.6" x14ac:dyDescent="0.3">
      <c r="A90" s="2" t="s">
        <v>240</v>
      </c>
      <c r="B90" s="2" t="str">
        <f>HYPERLINK("https://www.wishtv.com/podcast-episode/indy-eleven-coaches-show-episode-8/")</f>
        <v>https://www.wishtv.com/podcast-episode/indy-eleven-coaches-show-episode-8/</v>
      </c>
      <c r="C90" s="2"/>
      <c r="D90" s="2" t="s">
        <v>38</v>
      </c>
      <c r="E90" s="5">
        <v>45568.698067129633</v>
      </c>
      <c r="F90" s="2" t="s">
        <v>241</v>
      </c>
      <c r="G90" s="2">
        <v>568116</v>
      </c>
      <c r="H90" s="2">
        <v>0</v>
      </c>
      <c r="I90" s="2">
        <v>0</v>
      </c>
      <c r="J90" s="2">
        <v>0</v>
      </c>
      <c r="K90" s="2" t="s">
        <v>31</v>
      </c>
      <c r="L90" s="4">
        <v>5255.07</v>
      </c>
      <c r="M90" s="2"/>
      <c r="N90" t="s">
        <v>4458</v>
      </c>
    </row>
    <row r="91" spans="1:14" ht="52.8" x14ac:dyDescent="0.3">
      <c r="A91" s="2" t="s">
        <v>34</v>
      </c>
      <c r="B91" s="2" t="str">
        <f>HYPERLINK("https://www.heraldbulletin.com/sports/coming-up/article_8e007f26-810e-11ef-a487-0f5680757431.html")</f>
        <v>https://www.heraldbulletin.com/sports/coming-up/article_8e007f26-810e-11ef-a487-0f5680757431.html</v>
      </c>
      <c r="C91" s="2"/>
      <c r="D91" s="2" t="s">
        <v>35</v>
      </c>
      <c r="E91" s="5">
        <v>45568.303310185183</v>
      </c>
      <c r="F91" s="2" t="s">
        <v>234</v>
      </c>
      <c r="G91" s="2">
        <v>50260</v>
      </c>
      <c r="H91" s="2">
        <v>0</v>
      </c>
      <c r="I91" s="2">
        <v>0</v>
      </c>
      <c r="J91" s="2">
        <v>1</v>
      </c>
      <c r="K91" s="2" t="s">
        <v>25</v>
      </c>
      <c r="L91" s="4">
        <v>464.9</v>
      </c>
      <c r="M91" s="2"/>
      <c r="N91" t="s">
        <v>4458</v>
      </c>
    </row>
    <row r="92" spans="1:14" ht="39.6" x14ac:dyDescent="0.3">
      <c r="A92" s="2" t="s">
        <v>34</v>
      </c>
      <c r="B92" s="2" t="str">
        <f>HYPERLINK("https://www.heraldbulletin.com/sports/coming-up/article_859d1fa4-8025-11ef-9315-e7b9b3bbe664.html")</f>
        <v>https://www.heraldbulletin.com/sports/coming-up/article_859d1fa4-8025-11ef-9315-e7b9b3bbe664.html</v>
      </c>
      <c r="C92" s="2"/>
      <c r="D92" s="2" t="s">
        <v>35</v>
      </c>
      <c r="E92" s="5">
        <v>45567.317395833343</v>
      </c>
      <c r="F92" s="2" t="s">
        <v>243</v>
      </c>
      <c r="G92" s="2">
        <v>50260</v>
      </c>
      <c r="H92" s="2">
        <v>0</v>
      </c>
      <c r="I92" s="2">
        <v>0</v>
      </c>
      <c r="J92" s="2">
        <v>5</v>
      </c>
      <c r="K92" s="2" t="s">
        <v>25</v>
      </c>
      <c r="L92" s="4">
        <v>464.9</v>
      </c>
      <c r="M92" s="2"/>
      <c r="N92" t="s">
        <v>4458</v>
      </c>
    </row>
    <row r="93" spans="1:14" ht="145.19999999999999" x14ac:dyDescent="0.3">
      <c r="A93" s="2" t="s">
        <v>244</v>
      </c>
      <c r="B93" s="2" t="str">
        <f>HYPERLINK("https://www.oursportscentral.com/services/releases/hats-off-to-augi-indy-elevens-augustine-williams-is-usl-championship-player-of-the-week/n-6152824")</f>
        <v>https://www.oursportscentral.com/services/releases/hats-off-to-augi-indy-elevens-augustine-williams-is-usl-championship-player-of-the-week/n-6152824</v>
      </c>
      <c r="C93" s="2"/>
      <c r="D93" s="2" t="s">
        <v>24</v>
      </c>
      <c r="E93" s="5">
        <v>45566.48541666667</v>
      </c>
      <c r="F93" s="2" t="s">
        <v>245</v>
      </c>
      <c r="G93" s="2">
        <v>40402</v>
      </c>
      <c r="H93" s="2">
        <v>0</v>
      </c>
      <c r="I93" s="2">
        <v>0</v>
      </c>
      <c r="J93" s="2">
        <v>0</v>
      </c>
      <c r="K93" s="2" t="s">
        <v>25</v>
      </c>
      <c r="L93" s="4">
        <v>373.72</v>
      </c>
      <c r="M93" s="2"/>
      <c r="N93" t="s">
        <v>4457</v>
      </c>
    </row>
    <row r="94" spans="1:14" ht="132" x14ac:dyDescent="0.3">
      <c r="A94" s="2" t="s">
        <v>246</v>
      </c>
      <c r="B94" s="2" t="str">
        <f>HYPERLINK("https://www.oursportscentral.com/services/releases/augi-williams-usl-championship-player-of-the-week/n-6152799")</f>
        <v>https://www.oursportscentral.com/services/releases/augi-williams-usl-championship-player-of-the-week/n-6152799</v>
      </c>
      <c r="C94" s="2"/>
      <c r="D94" s="2" t="s">
        <v>24</v>
      </c>
      <c r="E94" s="5">
        <v>45566.477777777778</v>
      </c>
      <c r="F94" s="2" t="s">
        <v>247</v>
      </c>
      <c r="G94" s="2">
        <v>40402</v>
      </c>
      <c r="H94" s="2">
        <v>0</v>
      </c>
      <c r="I94" s="2">
        <v>0</v>
      </c>
      <c r="J94" s="2">
        <v>0</v>
      </c>
      <c r="K94" s="2" t="s">
        <v>25</v>
      </c>
      <c r="L94" s="4">
        <v>373.72</v>
      </c>
      <c r="M94" s="2"/>
      <c r="N94" t="s">
        <v>4457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055"/>
  <sheetViews>
    <sheetView workbookViewId="0"/>
  </sheetViews>
  <sheetFormatPr defaultRowHeight="14.4" x14ac:dyDescent="0.3"/>
  <cols>
    <col min="1" max="3" width="24" customWidth="1"/>
    <col min="4" max="4" width="16" customWidth="1"/>
    <col min="5" max="6" width="32" customWidth="1"/>
    <col min="7" max="7" width="21" customWidth="1"/>
    <col min="8" max="8" width="24" customWidth="1"/>
    <col min="9" max="9" width="48" customWidth="1"/>
    <col min="10" max="11" width="24" customWidth="1"/>
    <col min="12" max="12" width="48" customWidth="1"/>
    <col min="13" max="13" width="19" customWidth="1"/>
    <col min="14" max="15" width="32" customWidth="1"/>
  </cols>
  <sheetData>
    <row r="1" spans="1:15" x14ac:dyDescent="0.3">
      <c r="A1" s="1" t="s">
        <v>1895</v>
      </c>
      <c r="B1" s="1" t="s">
        <v>1896</v>
      </c>
      <c r="C1" s="1" t="s">
        <v>1897</v>
      </c>
      <c r="D1" s="1" t="s">
        <v>1898</v>
      </c>
      <c r="E1" s="1" t="s">
        <v>1899</v>
      </c>
      <c r="F1" s="1" t="s">
        <v>1900</v>
      </c>
      <c r="G1" s="1" t="s">
        <v>1901</v>
      </c>
      <c r="H1" s="1" t="s">
        <v>1902</v>
      </c>
      <c r="I1" s="1" t="s">
        <v>1903</v>
      </c>
      <c r="J1" s="1" t="s">
        <v>1904</v>
      </c>
      <c r="K1" s="1" t="s">
        <v>1905</v>
      </c>
      <c r="L1" s="1" t="s">
        <v>1906</v>
      </c>
      <c r="M1" s="1" t="s">
        <v>1907</v>
      </c>
      <c r="N1" s="1" t="s">
        <v>1908</v>
      </c>
      <c r="O1" s="1" t="s">
        <v>1909</v>
      </c>
    </row>
    <row r="2" spans="1:15" ht="79.2" x14ac:dyDescent="0.3">
      <c r="A2" s="2" t="s">
        <v>29</v>
      </c>
      <c r="B2" s="2" t="s">
        <v>1910</v>
      </c>
      <c r="C2" s="2" t="s">
        <v>1911</v>
      </c>
      <c r="D2" s="2" t="s">
        <v>1912</v>
      </c>
      <c r="E2" s="2" t="str">
        <f t="shared" ref="E2:E10" si="0">HYPERLINK("http://twitter.com/DougRobersonAJC")</f>
        <v>http://twitter.com/DougRobersonAJC</v>
      </c>
      <c r="F2" s="2" t="str">
        <f t="shared" ref="F2:F10" si="1">HYPERLINK("https://muckrack.com/doug-roberson")</f>
        <v>https://muckrack.com/doug-roberson</v>
      </c>
      <c r="G2" s="2">
        <v>16740</v>
      </c>
      <c r="H2" s="2" t="s">
        <v>1913</v>
      </c>
      <c r="I2" s="2" t="s">
        <v>1914</v>
      </c>
      <c r="J2" s="2" t="s">
        <v>1915</v>
      </c>
      <c r="K2" s="2" t="s">
        <v>30</v>
      </c>
      <c r="L2" s="2" t="s">
        <v>1916</v>
      </c>
      <c r="M2" s="5">
        <v>45596.666168981479</v>
      </c>
      <c r="N2" s="2" t="str">
        <f>HYPERLINK("http://twitter.com/DougRobersonAJC/status/1852077906350215414")</f>
        <v>http://twitter.com/DougRobersonAJC/status/1852077906350215414</v>
      </c>
      <c r="O2" s="2" t="str">
        <f>HYPERLINK("https://www.ajc.com/sports/atlanta-united/southern-fried-soccer-previewing-atlanta-united-vs-miami-game-2/WCINVHKWXJDINEK6LXK5R5WDBE/")</f>
        <v>https://www.ajc.com/sports/atlanta-united/southern-fried-soccer-previewing-atlanta-united-vs-miami-game-2/WCINVHKWXJDINEK6LXK5R5WDBE/</v>
      </c>
    </row>
    <row r="3" spans="1:15" ht="79.2" x14ac:dyDescent="0.3">
      <c r="A3" s="2" t="s">
        <v>29</v>
      </c>
      <c r="B3" s="2" t="s">
        <v>1910</v>
      </c>
      <c r="C3" s="2" t="s">
        <v>1911</v>
      </c>
      <c r="D3" s="2" t="s">
        <v>1912</v>
      </c>
      <c r="E3" s="2" t="str">
        <f t="shared" si="0"/>
        <v>http://twitter.com/DougRobersonAJC</v>
      </c>
      <c r="F3" s="2" t="str">
        <f t="shared" si="1"/>
        <v>https://muckrack.com/doug-roberson</v>
      </c>
      <c r="G3" s="2">
        <v>16740</v>
      </c>
      <c r="H3" s="2" t="s">
        <v>1913</v>
      </c>
      <c r="I3" s="2" t="s">
        <v>1914</v>
      </c>
      <c r="J3" s="2" t="s">
        <v>1915</v>
      </c>
      <c r="K3" s="2" t="s">
        <v>30</v>
      </c>
      <c r="L3" s="2" t="s">
        <v>1917</v>
      </c>
      <c r="M3" s="5">
        <v>45596.574143518519</v>
      </c>
      <c r="N3" s="2" t="str">
        <f>HYPERLINK("http://twitter.com/DougRobersonAJC/status/1852044557715665337")</f>
        <v>http://twitter.com/DougRobersonAJC/status/1852044557715665337</v>
      </c>
      <c r="O3" s="2" t="str">
        <f>HYPERLINK("https://www.ajc.com/sports/atlanta-united/atlanta-united-may-be-missing-two-starters-against-miami-what-will-they-do/GULYZFZKAZF2JNKYM6YJ2LFCAE/")</f>
        <v>https://www.ajc.com/sports/atlanta-united/atlanta-united-may-be-missing-two-starters-against-miami-what-will-they-do/GULYZFZKAZF2JNKYM6YJ2LFCAE/</v>
      </c>
    </row>
    <row r="4" spans="1:15" ht="79.2" x14ac:dyDescent="0.3">
      <c r="A4" s="2" t="s">
        <v>29</v>
      </c>
      <c r="B4" s="2" t="s">
        <v>1910</v>
      </c>
      <c r="C4" s="2" t="s">
        <v>1911</v>
      </c>
      <c r="D4" s="2" t="s">
        <v>1912</v>
      </c>
      <c r="E4" s="2" t="str">
        <f t="shared" si="0"/>
        <v>http://twitter.com/DougRobersonAJC</v>
      </c>
      <c r="F4" s="2" t="str">
        <f t="shared" si="1"/>
        <v>https://muckrack.com/doug-roberson</v>
      </c>
      <c r="G4" s="2">
        <v>16740</v>
      </c>
      <c r="H4" s="2" t="s">
        <v>1913</v>
      </c>
      <c r="I4" s="2" t="s">
        <v>1914</v>
      </c>
      <c r="J4" s="2" t="s">
        <v>1915</v>
      </c>
      <c r="K4" s="2" t="s">
        <v>30</v>
      </c>
      <c r="L4" s="2" t="s">
        <v>1918</v>
      </c>
      <c r="M4" s="5">
        <v>45596.667199074072</v>
      </c>
      <c r="N4" s="2" t="str">
        <f>HYPERLINK("http://twitter.com/DougRobersonAJC/status/1852078280217694529")</f>
        <v>http://twitter.com/DougRobersonAJC/status/1852078280217694529</v>
      </c>
      <c r="O4" s="2" t="str">
        <f>HYPERLINK("https://www.ajc.com/sports/atlanta-united/atlanta-united-may-be-missing-two-starters-against-miami-what-will-they-do/GULYZFZKAZF2JNKYM6YJ2LFCAE/")</f>
        <v>https://www.ajc.com/sports/atlanta-united/atlanta-united-may-be-missing-two-starters-against-miami-what-will-they-do/GULYZFZKAZF2JNKYM6YJ2LFCAE/</v>
      </c>
    </row>
    <row r="5" spans="1:15" ht="79.2" x14ac:dyDescent="0.3">
      <c r="A5" s="2" t="s">
        <v>29</v>
      </c>
      <c r="B5" s="2" t="s">
        <v>1910</v>
      </c>
      <c r="C5" s="2" t="s">
        <v>1911</v>
      </c>
      <c r="D5" s="2" t="s">
        <v>1912</v>
      </c>
      <c r="E5" s="2" t="str">
        <f t="shared" si="0"/>
        <v>http://twitter.com/DougRobersonAJC</v>
      </c>
      <c r="F5" s="2" t="str">
        <f t="shared" si="1"/>
        <v>https://muckrack.com/doug-roberson</v>
      </c>
      <c r="G5" s="2">
        <v>16740</v>
      </c>
      <c r="H5" s="2" t="s">
        <v>1913</v>
      </c>
      <c r="I5" s="2" t="s">
        <v>1914</v>
      </c>
      <c r="J5" s="2" t="s">
        <v>1915</v>
      </c>
      <c r="K5" s="2" t="s">
        <v>30</v>
      </c>
      <c r="L5" s="2" t="s">
        <v>1919</v>
      </c>
      <c r="M5" s="5">
        <v>45596.787974537037</v>
      </c>
      <c r="N5" s="2" t="str">
        <f>HYPERLINK("http://twitter.com/DougRobersonAJC/status/1852122046614192539")</f>
        <v>http://twitter.com/DougRobersonAJC/status/1852122046614192539</v>
      </c>
      <c r="O5" s="2" t="str">
        <f>HYPERLINK("https://www.ajc.com/sports/atlanta-united/atlanta-united-may-be-missing-two-starters-against-miami-what-will-they-do/GULYZFZKAZF2JNKYM6YJ2LFCAE/")</f>
        <v>https://www.ajc.com/sports/atlanta-united/atlanta-united-may-be-missing-two-starters-against-miami-what-will-they-do/GULYZFZKAZF2JNKYM6YJ2LFCAE/</v>
      </c>
    </row>
    <row r="6" spans="1:15" ht="79.2" x14ac:dyDescent="0.3">
      <c r="A6" s="2" t="s">
        <v>29</v>
      </c>
      <c r="B6" s="2" t="s">
        <v>1910</v>
      </c>
      <c r="C6" s="2" t="s">
        <v>1911</v>
      </c>
      <c r="D6" s="2" t="s">
        <v>1912</v>
      </c>
      <c r="E6" s="2" t="str">
        <f t="shared" si="0"/>
        <v>http://twitter.com/DougRobersonAJC</v>
      </c>
      <c r="F6" s="2" t="str">
        <f t="shared" si="1"/>
        <v>https://muckrack.com/doug-roberson</v>
      </c>
      <c r="G6" s="2">
        <v>16740</v>
      </c>
      <c r="H6" s="2" t="s">
        <v>1913</v>
      </c>
      <c r="I6" s="2" t="s">
        <v>1914</v>
      </c>
      <c r="J6" s="2" t="s">
        <v>1915</v>
      </c>
      <c r="K6" s="2" t="s">
        <v>30</v>
      </c>
      <c r="L6" s="2" t="s">
        <v>1920</v>
      </c>
      <c r="M6" s="5">
        <v>45597.816111111111</v>
      </c>
      <c r="N6" s="2" t="str">
        <f>HYPERLINK("http://twitter.com/DougRobersonAJC/status/1852494632648659296")</f>
        <v>http://twitter.com/DougRobersonAJC/status/1852494632648659296</v>
      </c>
      <c r="O6" s="2" t="str">
        <f>HYPERLINK("https://www.ajc.com/sports/atlanta-united/atlanta-united-may-be-missing-two-starters-against-miami-what-will-they-do/GULYZFZKAZF2JNKYM6YJ2LFCAE/")</f>
        <v>https://www.ajc.com/sports/atlanta-united/atlanta-united-may-be-missing-two-starters-against-miami-what-will-they-do/GULYZFZKAZF2JNKYM6YJ2LFCAE/</v>
      </c>
    </row>
    <row r="7" spans="1:15" ht="66" x14ac:dyDescent="0.3">
      <c r="A7" s="2" t="s">
        <v>29</v>
      </c>
      <c r="B7" s="2" t="s">
        <v>1910</v>
      </c>
      <c r="C7" s="2" t="s">
        <v>1911</v>
      </c>
      <c r="D7" s="2" t="s">
        <v>1912</v>
      </c>
      <c r="E7" s="2" t="str">
        <f t="shared" si="0"/>
        <v>http://twitter.com/DougRobersonAJC</v>
      </c>
      <c r="F7" s="2" t="str">
        <f t="shared" si="1"/>
        <v>https://muckrack.com/doug-roberson</v>
      </c>
      <c r="G7" s="2">
        <v>16740</v>
      </c>
      <c r="H7" s="2" t="s">
        <v>1913</v>
      </c>
      <c r="I7" s="2" t="s">
        <v>1914</v>
      </c>
      <c r="J7" s="2" t="s">
        <v>1915</v>
      </c>
      <c r="K7" s="2" t="s">
        <v>30</v>
      </c>
      <c r="L7" s="2" t="s">
        <v>1921</v>
      </c>
      <c r="M7" s="5">
        <v>45596.560231481482</v>
      </c>
      <c r="N7" s="2" t="str">
        <f>HYPERLINK("http://twitter.com/DougRobersonAJC/status/1852039517651210506")</f>
        <v>http://twitter.com/DougRobersonAJC/status/1852039517651210506</v>
      </c>
      <c r="O7" s="2" t="str">
        <f>HYPERLINK("https://www.ajc.com/sports/atlanta-united/what-brooks-lennons-injury-could-mean-for-atlanta-united/NJ46I4LB5VDGNDGDNODNQEYB2A/")</f>
        <v>https://www.ajc.com/sports/atlanta-united/what-brooks-lennons-injury-could-mean-for-atlanta-united/NJ46I4LB5VDGNDGDNODNQEYB2A/</v>
      </c>
    </row>
    <row r="8" spans="1:15" ht="66" x14ac:dyDescent="0.3">
      <c r="A8" s="2" t="s">
        <v>29</v>
      </c>
      <c r="B8" s="2" t="s">
        <v>1910</v>
      </c>
      <c r="C8" s="2" t="s">
        <v>1911</v>
      </c>
      <c r="D8" s="2" t="s">
        <v>1912</v>
      </c>
      <c r="E8" s="2" t="str">
        <f t="shared" si="0"/>
        <v>http://twitter.com/DougRobersonAJC</v>
      </c>
      <c r="F8" s="2" t="str">
        <f t="shared" si="1"/>
        <v>https://muckrack.com/doug-roberson</v>
      </c>
      <c r="G8" s="2">
        <v>16740</v>
      </c>
      <c r="H8" s="2" t="s">
        <v>1913</v>
      </c>
      <c r="I8" s="2" t="s">
        <v>1914</v>
      </c>
      <c r="J8" s="2" t="s">
        <v>1915</v>
      </c>
      <c r="K8" s="2" t="s">
        <v>30</v>
      </c>
      <c r="L8" s="2" t="str">
        <f>HYPERLINK("https://t.co/3iEQi6aSIR")</f>
        <v>https://t.co/3iEQi6aSIR</v>
      </c>
      <c r="M8" s="5">
        <v>45596.788935185177</v>
      </c>
      <c r="N8" s="2" t="str">
        <f>HYPERLINK("http://twitter.com/DougRobersonAJC/status/1852122394065829932")</f>
        <v>http://twitter.com/DougRobersonAJC/status/1852122394065829932</v>
      </c>
      <c r="O8" s="2" t="str">
        <f>HYPERLINK("https://www.ajc.com/sports/atlanta-united/what-brooks-lennons-injury-could-mean-for-atlanta-united/NJ46I4LB5VDGNDGDNODNQEYB2A/")</f>
        <v>https://www.ajc.com/sports/atlanta-united/what-brooks-lennons-injury-could-mean-for-atlanta-united/NJ46I4LB5VDGNDGDNODNQEYB2A/</v>
      </c>
    </row>
    <row r="9" spans="1:15" ht="66" x14ac:dyDescent="0.3">
      <c r="A9" s="2" t="s">
        <v>29</v>
      </c>
      <c r="B9" s="2" t="s">
        <v>1910</v>
      </c>
      <c r="C9" s="2" t="s">
        <v>1911</v>
      </c>
      <c r="D9" s="2" t="s">
        <v>1912</v>
      </c>
      <c r="E9" s="2" t="str">
        <f t="shared" si="0"/>
        <v>http://twitter.com/DougRobersonAJC</v>
      </c>
      <c r="F9" s="2" t="str">
        <f t="shared" si="1"/>
        <v>https://muckrack.com/doug-roberson</v>
      </c>
      <c r="G9" s="2">
        <v>16740</v>
      </c>
      <c r="H9" s="2" t="s">
        <v>1913</v>
      </c>
      <c r="I9" s="2" t="s">
        <v>1914</v>
      </c>
      <c r="J9" s="2" t="s">
        <v>1915</v>
      </c>
      <c r="K9" s="2" t="s">
        <v>30</v>
      </c>
      <c r="L9" s="2" t="s">
        <v>1922</v>
      </c>
      <c r="M9" s="5">
        <v>45597.816238425927</v>
      </c>
      <c r="N9" s="2" t="str">
        <f>HYPERLINK("http://twitter.com/DougRobersonAJC/status/1852494679415071065")</f>
        <v>http://twitter.com/DougRobersonAJC/status/1852494679415071065</v>
      </c>
      <c r="O9" s="2" t="str">
        <f>HYPERLINK("https://www.ajc.com/sports/atlanta-united/what-brooks-lennons-injury-could-mean-for-atlanta-united/NJ46I4LB5VDGNDGDNODNQEYB2A/")</f>
        <v>https://www.ajc.com/sports/atlanta-united/what-brooks-lennons-injury-could-mean-for-atlanta-united/NJ46I4LB5VDGNDGDNODNQEYB2A/</v>
      </c>
    </row>
    <row r="10" spans="1:15" ht="79.2" x14ac:dyDescent="0.3">
      <c r="A10" s="2" t="s">
        <v>29</v>
      </c>
      <c r="B10" s="2" t="s">
        <v>1910</v>
      </c>
      <c r="C10" s="2" t="s">
        <v>1911</v>
      </c>
      <c r="D10" s="2" t="s">
        <v>1912</v>
      </c>
      <c r="E10" s="2" t="str">
        <f t="shared" si="0"/>
        <v>http://twitter.com/DougRobersonAJC</v>
      </c>
      <c r="F10" s="2" t="str">
        <f t="shared" si="1"/>
        <v>https://muckrack.com/doug-roberson</v>
      </c>
      <c r="G10" s="2">
        <v>16740</v>
      </c>
      <c r="H10" s="2" t="s">
        <v>1913</v>
      </c>
      <c r="I10" s="2" t="s">
        <v>1914</v>
      </c>
      <c r="J10" s="2" t="s">
        <v>1915</v>
      </c>
      <c r="K10" s="2" t="s">
        <v>30</v>
      </c>
      <c r="L10" s="2" t="s">
        <v>1923</v>
      </c>
      <c r="M10" s="5">
        <v>45593.417453703703</v>
      </c>
      <c r="N10" s="2" t="str">
        <f>HYPERLINK("http://twitter.com/DougRobersonAJC/status/1850900612801503586")</f>
        <v>http://twitter.com/DougRobersonAJC/status/1850900612801503586</v>
      </c>
      <c r="O10" s="2" t="str">
        <f>HYPERLINK("https://www.ajc.com/sports/atlanta-united/atlanta-united-will-open-mercedes-benz-stadium-to-full-capacity-for-miami/7YPR2PJIFBFLLMZQTUFUGUPQCQ/")</f>
        <v>https://www.ajc.com/sports/atlanta-united/atlanta-united-will-open-mercedes-benz-stadium-to-full-capacity-for-miami/7YPR2PJIFBFLLMZQTUFUGUPQCQ/</v>
      </c>
    </row>
    <row r="11" spans="1:15" ht="39.6" x14ac:dyDescent="0.3">
      <c r="A11" s="2" t="s">
        <v>60</v>
      </c>
      <c r="B11" s="2" t="s">
        <v>1924</v>
      </c>
      <c r="C11" s="2" t="s">
        <v>1925</v>
      </c>
      <c r="D11" s="2" t="s">
        <v>1926</v>
      </c>
      <c r="E11" s="2" t="str">
        <f>HYPERLINK("http://twitter.com/Soccerwriter")</f>
        <v>http://twitter.com/Soccerwriter</v>
      </c>
      <c r="F11" s="2" t="str">
        <f>HYPERLINK("https://muckrack.com/michael-lewis-4")</f>
        <v>https://muckrack.com/michael-lewis-4</v>
      </c>
      <c r="G11" s="2">
        <v>9867</v>
      </c>
      <c r="H11" s="2" t="s">
        <v>1927</v>
      </c>
      <c r="I11" s="2" t="s">
        <v>1928</v>
      </c>
      <c r="J11" s="2" t="s">
        <v>1929</v>
      </c>
      <c r="K11" s="2" t="s">
        <v>1930</v>
      </c>
      <c r="L11" s="2" t="s">
        <v>1931</v>
      </c>
      <c r="M11" s="5">
        <v>45592.484780092593</v>
      </c>
      <c r="N11" s="2" t="str">
        <f>HYPERLINK("http://twitter.com/Soccerwriter/status/1850562622539579610")</f>
        <v>http://twitter.com/Soccerwriter/status/1850562622539579610</v>
      </c>
      <c r="O11" s="2" t="str">
        <f>HYPERLINK("https://www.frontrowsoccer.com/2024/10/27/the-field-is-set-for-usl-championship-playoffs/")</f>
        <v>https://www.frontrowsoccer.com/2024/10/27/the-field-is-set-for-usl-championship-playoffs/</v>
      </c>
    </row>
    <row r="12" spans="1:15" ht="39.6" x14ac:dyDescent="0.3">
      <c r="A12" s="2" t="s">
        <v>60</v>
      </c>
      <c r="B12" s="2" t="s">
        <v>1924</v>
      </c>
      <c r="C12" s="2" t="s">
        <v>1925</v>
      </c>
      <c r="D12" s="2" t="s">
        <v>1926</v>
      </c>
      <c r="E12" s="2" t="str">
        <f>HYPERLINK("http://twitter.com/Soccerwriter")</f>
        <v>http://twitter.com/Soccerwriter</v>
      </c>
      <c r="F12" s="2" t="str">
        <f>HYPERLINK("https://muckrack.com/michael-lewis-4")</f>
        <v>https://muckrack.com/michael-lewis-4</v>
      </c>
      <c r="G12" s="2">
        <v>9867</v>
      </c>
      <c r="H12" s="2" t="s">
        <v>1927</v>
      </c>
      <c r="I12" s="2" t="s">
        <v>1928</v>
      </c>
      <c r="J12" s="2" t="s">
        <v>1929</v>
      </c>
      <c r="K12" s="2" t="s">
        <v>1930</v>
      </c>
      <c r="L12" s="2" t="s">
        <v>1932</v>
      </c>
      <c r="M12" s="5">
        <v>45594.287743055553</v>
      </c>
      <c r="N12" s="2" t="str">
        <f>HYPERLINK("http://twitter.com/Soccerwriter/status/1851215995752337682")</f>
        <v>http://twitter.com/Soccerwriter/status/1851215995752337682</v>
      </c>
      <c r="O12" s="2" t="str">
        <f>HYPERLINK("https://www.frontrowsoccer.com/2024/10/27/the-field-is-set-for-usl-championship-playoffs/")</f>
        <v>https://www.frontrowsoccer.com/2024/10/27/the-field-is-set-for-usl-championship-playoffs/</v>
      </c>
    </row>
    <row r="13" spans="1:15" ht="39.6" x14ac:dyDescent="0.3">
      <c r="A13" s="2" t="s">
        <v>1933</v>
      </c>
      <c r="B13" s="2" t="s">
        <v>1934</v>
      </c>
      <c r="C13" s="2" t="s">
        <v>1935</v>
      </c>
      <c r="D13" s="2" t="s">
        <v>1936</v>
      </c>
      <c r="E13" s="2" t="str">
        <f>HYPERLINK("http://twitter.com/tsnmike")</f>
        <v>http://twitter.com/tsnmike</v>
      </c>
      <c r="F13" s="2" t="str">
        <f>HYPERLINK("https://muckrack.com/mike-decourcy")</f>
        <v>https://muckrack.com/mike-decourcy</v>
      </c>
      <c r="G13" s="2">
        <v>54347</v>
      </c>
      <c r="H13" s="2" t="s">
        <v>1937</v>
      </c>
      <c r="I13" s="2" t="s">
        <v>1938</v>
      </c>
      <c r="J13" s="2" t="s">
        <v>1929</v>
      </c>
      <c r="K13" s="2" t="s">
        <v>1939</v>
      </c>
      <c r="L13" s="2" t="s">
        <v>1932</v>
      </c>
      <c r="M13" s="5">
        <v>45594.295011574082</v>
      </c>
      <c r="N13" s="2" t="str">
        <f>HYPERLINK("http://twitter.com/tsnmike/status/1851218627116064948")</f>
        <v>http://twitter.com/tsnmike/status/1851218627116064948</v>
      </c>
      <c r="O13" s="2" t="str">
        <f>HYPERLINK("https://www.frontrowsoccer.com/2024/10/27/the-field-is-set-for-usl-championship-playoffs/")</f>
        <v>https://www.frontrowsoccer.com/2024/10/27/the-field-is-set-for-usl-championship-playoffs/</v>
      </c>
    </row>
    <row r="14" spans="1:15" ht="66" x14ac:dyDescent="0.3">
      <c r="A14" s="2" t="s">
        <v>29</v>
      </c>
      <c r="B14" s="2" t="s">
        <v>1910</v>
      </c>
      <c r="C14" s="2" t="s">
        <v>1911</v>
      </c>
      <c r="D14" s="2" t="s">
        <v>1912</v>
      </c>
      <c r="E14" s="2" t="str">
        <f t="shared" ref="E14:E21" si="2">HYPERLINK("http://twitter.com/DougRobersonAJC")</f>
        <v>http://twitter.com/DougRobersonAJC</v>
      </c>
      <c r="F14" s="2" t="str">
        <f t="shared" ref="F14:F21" si="3">HYPERLINK("https://muckrack.com/doug-roberson")</f>
        <v>https://muckrack.com/doug-roberson</v>
      </c>
      <c r="G14" s="2">
        <v>16740</v>
      </c>
      <c r="H14" s="2" t="s">
        <v>1913</v>
      </c>
      <c r="I14" s="2" t="s">
        <v>1914</v>
      </c>
      <c r="J14" s="2" t="s">
        <v>1915</v>
      </c>
      <c r="K14" s="2" t="s">
        <v>30</v>
      </c>
      <c r="L14" s="2" t="s">
        <v>1940</v>
      </c>
      <c r="M14" s="5">
        <v>45591.465416666673</v>
      </c>
      <c r="N14" s="2" t="str">
        <f>HYPERLINK("http://twitter.com/DougRobersonAJC/status/1850193215737188491")</f>
        <v>http://twitter.com/DougRobersonAJC/status/1850193215737188491</v>
      </c>
      <c r="O14" s="2" t="str">
        <f>HYPERLINK("https://www.ajc.com/sports/atlanta-united/atlanta-united-manager-rob-valentino-these-boys-arent-done-yet/LRD6KBQC5NEMBIQDNP4YCSCC5I/")</f>
        <v>https://www.ajc.com/sports/atlanta-united/atlanta-united-manager-rob-valentino-these-boys-arent-done-yet/LRD6KBQC5NEMBIQDNP4YCSCC5I/</v>
      </c>
    </row>
    <row r="15" spans="1:15" ht="66" x14ac:dyDescent="0.3">
      <c r="A15" s="2" t="s">
        <v>29</v>
      </c>
      <c r="B15" s="2" t="s">
        <v>1910</v>
      </c>
      <c r="C15" s="2" t="s">
        <v>1911</v>
      </c>
      <c r="D15" s="2" t="s">
        <v>1912</v>
      </c>
      <c r="E15" s="2" t="str">
        <f t="shared" si="2"/>
        <v>http://twitter.com/DougRobersonAJC</v>
      </c>
      <c r="F15" s="2" t="str">
        <f t="shared" si="3"/>
        <v>https://muckrack.com/doug-roberson</v>
      </c>
      <c r="G15" s="2">
        <v>16740</v>
      </c>
      <c r="H15" s="2" t="s">
        <v>1913</v>
      </c>
      <c r="I15" s="2" t="s">
        <v>1914</v>
      </c>
      <c r="J15" s="2" t="s">
        <v>1915</v>
      </c>
      <c r="K15" s="2" t="s">
        <v>30</v>
      </c>
      <c r="L15" s="2" t="s">
        <v>1941</v>
      </c>
      <c r="M15" s="5">
        <v>45590.956099537027</v>
      </c>
      <c r="N15" s="2" t="str">
        <f>HYPERLINK("http://twitter.com/DougRobersonAJC/status/1850008648203849762")</f>
        <v>http://twitter.com/DougRobersonAJC/status/1850008648203849762</v>
      </c>
      <c r="O15" s="2" t="str">
        <f>HYPERLINK("https://www.ajc.com/sports/atlanta-united/atlanta-united-drops-game-1-to-inter-miami/JHZ3PZGCNZC7VAFL5GFSNTE57Q/")</f>
        <v>https://www.ajc.com/sports/atlanta-united/atlanta-united-drops-game-1-to-inter-miami/JHZ3PZGCNZC7VAFL5GFSNTE57Q/</v>
      </c>
    </row>
    <row r="16" spans="1:15" ht="66" x14ac:dyDescent="0.3">
      <c r="A16" s="2" t="s">
        <v>29</v>
      </c>
      <c r="B16" s="2" t="s">
        <v>1910</v>
      </c>
      <c r="C16" s="2" t="s">
        <v>1911</v>
      </c>
      <c r="D16" s="2" t="s">
        <v>1912</v>
      </c>
      <c r="E16" s="2" t="str">
        <f t="shared" si="2"/>
        <v>http://twitter.com/DougRobersonAJC</v>
      </c>
      <c r="F16" s="2" t="str">
        <f t="shared" si="3"/>
        <v>https://muckrack.com/doug-roberson</v>
      </c>
      <c r="G16" s="2">
        <v>16740</v>
      </c>
      <c r="H16" s="2" t="s">
        <v>1913</v>
      </c>
      <c r="I16" s="2" t="s">
        <v>1914</v>
      </c>
      <c r="J16" s="2" t="s">
        <v>1915</v>
      </c>
      <c r="K16" s="2" t="s">
        <v>30</v>
      </c>
      <c r="L16" s="2" t="s">
        <v>1942</v>
      </c>
      <c r="M16" s="5">
        <v>45590.99114583333</v>
      </c>
      <c r="N16" s="2" t="str">
        <f>HYPERLINK("http://twitter.com/DougRobersonAJC/status/1850021347834929258")</f>
        <v>http://twitter.com/DougRobersonAJC/status/1850021347834929258</v>
      </c>
      <c r="O16" s="2" t="str">
        <f>HYPERLINK("https://www.ajc.com/sports/atlanta-united/atlanta-united-drops-game-1-to-inter-miami/JHZ3PZGCNZC7VAFL5GFSNTE57Q/")</f>
        <v>https://www.ajc.com/sports/atlanta-united/atlanta-united-drops-game-1-to-inter-miami/JHZ3PZGCNZC7VAFL5GFSNTE57Q/</v>
      </c>
    </row>
    <row r="17" spans="1:15" ht="66" x14ac:dyDescent="0.3">
      <c r="A17" s="2" t="s">
        <v>29</v>
      </c>
      <c r="B17" s="2" t="s">
        <v>1910</v>
      </c>
      <c r="C17" s="2" t="s">
        <v>1911</v>
      </c>
      <c r="D17" s="2" t="s">
        <v>1912</v>
      </c>
      <c r="E17" s="2" t="str">
        <f t="shared" si="2"/>
        <v>http://twitter.com/DougRobersonAJC</v>
      </c>
      <c r="F17" s="2" t="str">
        <f t="shared" si="3"/>
        <v>https://muckrack.com/doug-roberson</v>
      </c>
      <c r="G17" s="2">
        <v>16740</v>
      </c>
      <c r="H17" s="2" t="s">
        <v>1913</v>
      </c>
      <c r="I17" s="2" t="s">
        <v>1914</v>
      </c>
      <c r="J17" s="2" t="s">
        <v>1915</v>
      </c>
      <c r="K17" s="2" t="s">
        <v>30</v>
      </c>
      <c r="L17" s="2" t="s">
        <v>1943</v>
      </c>
      <c r="M17" s="5">
        <v>45589.677465277768</v>
      </c>
      <c r="N17" s="2" t="str">
        <f>HYPERLINK("http://twitter.com/DougRobersonAJC/status/1849545283350196313")</f>
        <v>http://twitter.com/DougRobersonAJC/status/1849545283350196313</v>
      </c>
      <c r="O17" s="2" t="str">
        <f>HYPERLINK("https://www.ajc.com/sports/atlanta-united/southern-fried-soccer-atlanta-united-vs-inter-miami-in-mls-playoffs/TZPFKG5OKJHWPL5FGBGLEAIG6E/")</f>
        <v>https://www.ajc.com/sports/atlanta-united/southern-fried-soccer-atlanta-united-vs-inter-miami-in-mls-playoffs/TZPFKG5OKJHWPL5FGBGLEAIG6E/</v>
      </c>
    </row>
    <row r="18" spans="1:15" ht="66" x14ac:dyDescent="0.3">
      <c r="A18" s="2" t="s">
        <v>29</v>
      </c>
      <c r="B18" s="2" t="s">
        <v>1910</v>
      </c>
      <c r="C18" s="2" t="s">
        <v>1911</v>
      </c>
      <c r="D18" s="2" t="s">
        <v>1912</v>
      </c>
      <c r="E18" s="2" t="str">
        <f t="shared" si="2"/>
        <v>http://twitter.com/DougRobersonAJC</v>
      </c>
      <c r="F18" s="2" t="str">
        <f t="shared" si="3"/>
        <v>https://muckrack.com/doug-roberson</v>
      </c>
      <c r="G18" s="2">
        <v>16740</v>
      </c>
      <c r="H18" s="2" t="s">
        <v>1913</v>
      </c>
      <c r="I18" s="2" t="s">
        <v>1914</v>
      </c>
      <c r="J18" s="2" t="s">
        <v>1915</v>
      </c>
      <c r="K18" s="2" t="s">
        <v>30</v>
      </c>
      <c r="L18" s="2" t="s">
        <v>1944</v>
      </c>
      <c r="M18" s="5">
        <v>45589.547083333331</v>
      </c>
      <c r="N18" s="2" t="str">
        <f>HYPERLINK("http://twitter.com/DougRobersonAJC/status/1849498037778891190")</f>
        <v>http://twitter.com/DougRobersonAJC/status/1849498037778891190</v>
      </c>
      <c r="O18" s="2" t="str">
        <f>HYPERLINK("https://www.ajc.com/sports/atlanta-united/info-to-know-atlanta-united-at-miami-in-mls-playoffs/ERMECVAJERAIXK5ZXEKT3CQW6A/")</f>
        <v>https://www.ajc.com/sports/atlanta-united/info-to-know-atlanta-united-at-miami-in-mls-playoffs/ERMECVAJERAIXK5ZXEKT3CQW6A/</v>
      </c>
    </row>
    <row r="19" spans="1:15" ht="66" x14ac:dyDescent="0.3">
      <c r="A19" s="2" t="s">
        <v>29</v>
      </c>
      <c r="B19" s="2" t="s">
        <v>1910</v>
      </c>
      <c r="C19" s="2" t="s">
        <v>1911</v>
      </c>
      <c r="D19" s="2" t="s">
        <v>1912</v>
      </c>
      <c r="E19" s="2" t="str">
        <f t="shared" si="2"/>
        <v>http://twitter.com/DougRobersonAJC</v>
      </c>
      <c r="F19" s="2" t="str">
        <f t="shared" si="3"/>
        <v>https://muckrack.com/doug-roberson</v>
      </c>
      <c r="G19" s="2">
        <v>16740</v>
      </c>
      <c r="H19" s="2" t="s">
        <v>1913</v>
      </c>
      <c r="I19" s="2" t="s">
        <v>1914</v>
      </c>
      <c r="J19" s="2" t="s">
        <v>1915</v>
      </c>
      <c r="K19" s="2" t="s">
        <v>30</v>
      </c>
      <c r="L19" s="2" t="s">
        <v>1945</v>
      </c>
      <c r="M19" s="5">
        <v>45589.545983796299</v>
      </c>
      <c r="N19" s="2" t="str">
        <f>HYPERLINK("http://twitter.com/DougRobersonAJC/status/1849497637940068425")</f>
        <v>http://twitter.com/DougRobersonAJC/status/1849497637940068425</v>
      </c>
      <c r="O19" s="2" t="str">
        <f>HYPERLINK("https://www.ajc.com/sports/atlanta-united/atlanta-united-player-payroll-decreases-again/DDFHEHXX6ZBRTNN7C2WQ56EX7Q/")</f>
        <v>https://www.ajc.com/sports/atlanta-united/atlanta-united-player-payroll-decreases-again/DDFHEHXX6ZBRTNN7C2WQ56EX7Q/</v>
      </c>
    </row>
    <row r="20" spans="1:15" ht="66" x14ac:dyDescent="0.3">
      <c r="A20" s="2" t="s">
        <v>29</v>
      </c>
      <c r="B20" s="2" t="s">
        <v>1910</v>
      </c>
      <c r="C20" s="2" t="s">
        <v>1911</v>
      </c>
      <c r="D20" s="2" t="s">
        <v>1912</v>
      </c>
      <c r="E20" s="2" t="str">
        <f t="shared" si="2"/>
        <v>http://twitter.com/DougRobersonAJC</v>
      </c>
      <c r="F20" s="2" t="str">
        <f t="shared" si="3"/>
        <v>https://muckrack.com/doug-roberson</v>
      </c>
      <c r="G20" s="2">
        <v>16740</v>
      </c>
      <c r="H20" s="2" t="s">
        <v>1913</v>
      </c>
      <c r="I20" s="2" t="s">
        <v>1914</v>
      </c>
      <c r="J20" s="2" t="s">
        <v>1915</v>
      </c>
      <c r="K20" s="2" t="s">
        <v>30</v>
      </c>
      <c r="L20" s="2" t="s">
        <v>1946</v>
      </c>
      <c r="M20" s="5">
        <v>45588.481030092589</v>
      </c>
      <c r="N20" s="2" t="str">
        <f>HYPERLINK("http://twitter.com/DougRobersonAJC/status/1849111709883015629")</f>
        <v>http://twitter.com/DougRobersonAJC/status/1849111709883015629</v>
      </c>
      <c r="O20" s="2" t="str">
        <f>HYPERLINK("https://www.ajc.com/sports/atlanta-united/looking-at-atlanta-united-vs-inter-miami-this-season/E55WD3YCPVCT3NRTIPPA4EIWQI/")</f>
        <v>https://www.ajc.com/sports/atlanta-united/looking-at-atlanta-united-vs-inter-miami-this-season/E55WD3YCPVCT3NRTIPPA4EIWQI/</v>
      </c>
    </row>
    <row r="21" spans="1:15" ht="66" x14ac:dyDescent="0.3">
      <c r="A21" s="2" t="s">
        <v>29</v>
      </c>
      <c r="B21" s="2" t="s">
        <v>1910</v>
      </c>
      <c r="C21" s="2" t="s">
        <v>1911</v>
      </c>
      <c r="D21" s="2" t="s">
        <v>1912</v>
      </c>
      <c r="E21" s="2" t="str">
        <f t="shared" si="2"/>
        <v>http://twitter.com/DougRobersonAJC</v>
      </c>
      <c r="F21" s="2" t="str">
        <f t="shared" si="3"/>
        <v>https://muckrack.com/doug-roberson</v>
      </c>
      <c r="G21" s="2">
        <v>16740</v>
      </c>
      <c r="H21" s="2" t="s">
        <v>1913</v>
      </c>
      <c r="I21" s="2" t="s">
        <v>1914</v>
      </c>
      <c r="J21" s="2" t="s">
        <v>1915</v>
      </c>
      <c r="K21" s="2" t="s">
        <v>30</v>
      </c>
      <c r="L21" s="2" t="s">
        <v>1947</v>
      </c>
      <c r="M21" s="5">
        <v>45588.364340277767</v>
      </c>
      <c r="N21" s="2" t="str">
        <f>HYPERLINK("http://twitter.com/DougRobersonAJC/status/1849069426395508962")</f>
        <v>http://twitter.com/DougRobersonAJC/status/1849069426395508962</v>
      </c>
      <c r="O21" s="2" t="str">
        <f>HYPERLINK("https://www.ajc.com/sports/atlanta-united/next-up-for-atlanta-united-is-miami-and-the-five-stripes-are-excited/6ULNNGG7RRDIXJZOE7XG64YXFU/")</f>
        <v>https://www.ajc.com/sports/atlanta-united/next-up-for-atlanta-united-is-miami-and-the-five-stripes-are-excited/6ULNNGG7RRDIXJZOE7XG64YXFU/</v>
      </c>
    </row>
    <row r="22" spans="1:15" ht="79.2" x14ac:dyDescent="0.3">
      <c r="A22" s="2" t="s">
        <v>1948</v>
      </c>
      <c r="B22" s="2" t="s">
        <v>1949</v>
      </c>
      <c r="C22" s="2" t="s">
        <v>1950</v>
      </c>
      <c r="D22" s="2" t="s">
        <v>1951</v>
      </c>
      <c r="E22" s="2" t="str">
        <f>HYPERLINK("http://twitter.com/novameets")</f>
        <v>http://twitter.com/novameets</v>
      </c>
      <c r="F22" s="2" t="str">
        <f>HYPERLINK("https://muckrack.com/david-nowakowski")</f>
        <v>https://muckrack.com/david-nowakowski</v>
      </c>
      <c r="G22" s="2">
        <v>524</v>
      </c>
      <c r="H22" s="2" t="s">
        <v>1952</v>
      </c>
      <c r="I22" s="2" t="s">
        <v>1953</v>
      </c>
      <c r="J22" s="2" t="s">
        <v>1954</v>
      </c>
      <c r="K22" s="2" t="s">
        <v>1955</v>
      </c>
      <c r="L22" s="2" t="s">
        <v>1956</v>
      </c>
      <c r="M22" s="5">
        <v>45587.99827546296</v>
      </c>
      <c r="N22" s="2" t="str">
        <f>HYPERLINK("http://twitter.com/novameets/status/1848936765568258300")</f>
        <v>http://twitter.com/novameets/status/1848936765568258300</v>
      </c>
      <c r="O22" s="2" t="str">
        <f>HYPERLINK("https://www.switchbacksfc.com/news/2024/10/zach-zandi-has-been-named-to-team-of-the-week/")</f>
        <v>https://www.switchbacksfc.com/news/2024/10/zach-zandi-has-been-named-to-team-of-the-week/</v>
      </c>
    </row>
    <row r="23" spans="1:15" ht="52.8" x14ac:dyDescent="0.3">
      <c r="A23" s="2" t="s">
        <v>29</v>
      </c>
      <c r="B23" s="2" t="s">
        <v>1910</v>
      </c>
      <c r="C23" s="2" t="s">
        <v>1911</v>
      </c>
      <c r="D23" s="2" t="s">
        <v>1912</v>
      </c>
      <c r="E23" s="2" t="str">
        <f t="shared" ref="E23:E28" si="4">HYPERLINK("http://twitter.com/DougRobersonAJC")</f>
        <v>http://twitter.com/DougRobersonAJC</v>
      </c>
      <c r="F23" s="2" t="str">
        <f t="shared" ref="F23:F28" si="5">HYPERLINK("https://muckrack.com/doug-roberson")</f>
        <v>https://muckrack.com/doug-roberson</v>
      </c>
      <c r="G23" s="2">
        <v>16740</v>
      </c>
      <c r="H23" s="2" t="s">
        <v>1913</v>
      </c>
      <c r="I23" s="2" t="s">
        <v>1914</v>
      </c>
      <c r="J23" s="2" t="s">
        <v>1915</v>
      </c>
      <c r="K23" s="2" t="s">
        <v>30</v>
      </c>
      <c r="L23" s="2" t="s">
        <v>1957</v>
      </c>
      <c r="M23" s="5">
        <v>45586.581145833326</v>
      </c>
      <c r="N23" s="2" t="str">
        <f>HYPERLINK("http://twitter.com/DougRobersonAJC/status/1848423217578348840")</f>
        <v>http://twitter.com/DougRobersonAJC/status/1848423217578348840</v>
      </c>
      <c r="O23" s="2" t="str">
        <f>HYPERLINK("https://www.ajc.com/sports/atlanta-united/atlanta-united-wary-of-josef-martinez/ODLBNMV6DBFOZBZEFHNNLM46RI/")</f>
        <v>https://www.ajc.com/sports/atlanta-united/atlanta-united-wary-of-josef-martinez/ODLBNMV6DBFOZBZEFHNNLM46RI/</v>
      </c>
    </row>
    <row r="24" spans="1:15" ht="66" x14ac:dyDescent="0.3">
      <c r="A24" s="2" t="s">
        <v>29</v>
      </c>
      <c r="B24" s="2" t="s">
        <v>1910</v>
      </c>
      <c r="C24" s="2" t="s">
        <v>1911</v>
      </c>
      <c r="D24" s="2" t="s">
        <v>1912</v>
      </c>
      <c r="E24" s="2" t="str">
        <f t="shared" si="4"/>
        <v>http://twitter.com/DougRobersonAJC</v>
      </c>
      <c r="F24" s="2" t="str">
        <f t="shared" si="5"/>
        <v>https://muckrack.com/doug-roberson</v>
      </c>
      <c r="G24" s="2">
        <v>16740</v>
      </c>
      <c r="H24" s="2" t="s">
        <v>1913</v>
      </c>
      <c r="I24" s="2" t="s">
        <v>1914</v>
      </c>
      <c r="J24" s="2" t="s">
        <v>1915</v>
      </c>
      <c r="K24" s="2" t="s">
        <v>30</v>
      </c>
      <c r="L24" s="2" t="s">
        <v>1958</v>
      </c>
      <c r="M24" s="5">
        <v>45586.56827546296</v>
      </c>
      <c r="N24" s="2" t="str">
        <f>HYPERLINK("http://twitter.com/DougRobersonAJC/status/1848418553281626394")</f>
        <v>http://twitter.com/DougRobersonAJC/status/1848418553281626394</v>
      </c>
      <c r="O24" s="2" t="str">
        <f>HYPERLINK("https://www.ajc.com/sports/atlanta-united/info-to-know-atlanta-united-at-montreal-in-wildcard-round-of-mls-playoffs/HGJ7O6MLBZFBHPK7QCRCU7TDVU/")</f>
        <v>https://www.ajc.com/sports/atlanta-united/info-to-know-atlanta-united-at-montreal-in-wildcard-round-of-mls-playoffs/HGJ7O6MLBZFBHPK7QCRCU7TDVU/</v>
      </c>
    </row>
    <row r="25" spans="1:15" ht="66" x14ac:dyDescent="0.3">
      <c r="A25" s="2" t="s">
        <v>29</v>
      </c>
      <c r="B25" s="2" t="s">
        <v>1910</v>
      </c>
      <c r="C25" s="2" t="s">
        <v>1911</v>
      </c>
      <c r="D25" s="2" t="s">
        <v>1912</v>
      </c>
      <c r="E25" s="2" t="str">
        <f t="shared" si="4"/>
        <v>http://twitter.com/DougRobersonAJC</v>
      </c>
      <c r="F25" s="2" t="str">
        <f t="shared" si="5"/>
        <v>https://muckrack.com/doug-roberson</v>
      </c>
      <c r="G25" s="2">
        <v>16740</v>
      </c>
      <c r="H25" s="2" t="s">
        <v>1913</v>
      </c>
      <c r="I25" s="2" t="s">
        <v>1914</v>
      </c>
      <c r="J25" s="2" t="s">
        <v>1915</v>
      </c>
      <c r="K25" s="2" t="s">
        <v>30</v>
      </c>
      <c r="L25" s="2" t="s">
        <v>1959</v>
      </c>
      <c r="M25" s="5">
        <v>45586.321261574078</v>
      </c>
      <c r="N25" s="2" t="str">
        <f>HYPERLINK("http://twitter.com/DougRobersonAJC/status/1848329038072279105")</f>
        <v>http://twitter.com/DougRobersonAJC/status/1848329038072279105</v>
      </c>
      <c r="O25" s="2" t="str">
        <f>HYPERLINK("https://www.ajc.com/sports/atlanta-united/new-to-atlanta-united-heres-what-you-need-to-know/5LFYGAZFCNBEJPF5Q2YROUSOHM/")</f>
        <v>https://www.ajc.com/sports/atlanta-united/new-to-atlanta-united-heres-what-you-need-to-know/5LFYGAZFCNBEJPF5Q2YROUSOHM/</v>
      </c>
    </row>
    <row r="26" spans="1:15" ht="66" x14ac:dyDescent="0.3">
      <c r="A26" s="2" t="s">
        <v>29</v>
      </c>
      <c r="B26" s="2" t="s">
        <v>1910</v>
      </c>
      <c r="C26" s="2" t="s">
        <v>1911</v>
      </c>
      <c r="D26" s="2" t="s">
        <v>1912</v>
      </c>
      <c r="E26" s="2" t="str">
        <f t="shared" si="4"/>
        <v>http://twitter.com/DougRobersonAJC</v>
      </c>
      <c r="F26" s="2" t="str">
        <f t="shared" si="5"/>
        <v>https://muckrack.com/doug-roberson</v>
      </c>
      <c r="G26" s="2">
        <v>16740</v>
      </c>
      <c r="H26" s="2" t="s">
        <v>1913</v>
      </c>
      <c r="I26" s="2" t="s">
        <v>1914</v>
      </c>
      <c r="J26" s="2" t="s">
        <v>1915</v>
      </c>
      <c r="K26" s="2" t="s">
        <v>30</v>
      </c>
      <c r="L26" s="2" t="s">
        <v>1960</v>
      </c>
      <c r="M26" s="5">
        <v>45584.875775462962</v>
      </c>
      <c r="N26" s="2" t="str">
        <f>HYPERLINK("http://twitter.com/DougRobersonAJC/status/1847805210200097033")</f>
        <v>http://twitter.com/DougRobersonAJC/status/1847805210200097033</v>
      </c>
      <c r="O26" s="2" t="str">
        <f>HYPERLINK("https://www.ajc.com/sports/atlanta-united/atlanta-united-will-open-mls-playoffs-at-montreal/33YK5MIBMRC5FEU5V6LVZDWPDY/")</f>
        <v>https://www.ajc.com/sports/atlanta-united/atlanta-united-will-open-mls-playoffs-at-montreal/33YK5MIBMRC5FEU5V6LVZDWPDY/</v>
      </c>
    </row>
    <row r="27" spans="1:15" ht="66" x14ac:dyDescent="0.3">
      <c r="A27" s="2" t="s">
        <v>29</v>
      </c>
      <c r="B27" s="2" t="s">
        <v>1910</v>
      </c>
      <c r="C27" s="2" t="s">
        <v>1911</v>
      </c>
      <c r="D27" s="2" t="s">
        <v>1912</v>
      </c>
      <c r="E27" s="2" t="str">
        <f t="shared" si="4"/>
        <v>http://twitter.com/DougRobersonAJC</v>
      </c>
      <c r="F27" s="2" t="str">
        <f t="shared" si="5"/>
        <v>https://muckrack.com/doug-roberson</v>
      </c>
      <c r="G27" s="2">
        <v>16740</v>
      </c>
      <c r="H27" s="2" t="s">
        <v>1913</v>
      </c>
      <c r="I27" s="2" t="s">
        <v>1914</v>
      </c>
      <c r="J27" s="2" t="s">
        <v>1915</v>
      </c>
      <c r="K27" s="2" t="s">
        <v>30</v>
      </c>
      <c r="L27" s="2" t="s">
        <v>1961</v>
      </c>
      <c r="M27" s="5">
        <v>45584.851111111107</v>
      </c>
      <c r="N27" s="2" t="str">
        <f>HYPERLINK("http://twitter.com/DougRobersonAJC/status/1847796271785930858")</f>
        <v>http://twitter.com/DougRobersonAJC/status/1847796271785930858</v>
      </c>
      <c r="O27" s="2" t="str">
        <f>HYPERLINK("https://www.ajc.com/sports/atlanta-united/atlanta-united-gets-all-the-results-advances-to-mls-playoffs/IA4B6G7CMRGM7NGIBMG67YA544/")</f>
        <v>https://www.ajc.com/sports/atlanta-united/atlanta-united-gets-all-the-results-advances-to-mls-playoffs/IA4B6G7CMRGM7NGIBMG67YA544/</v>
      </c>
    </row>
    <row r="28" spans="1:15" ht="66" x14ac:dyDescent="0.3">
      <c r="A28" s="2" t="s">
        <v>29</v>
      </c>
      <c r="B28" s="2" t="s">
        <v>1910</v>
      </c>
      <c r="C28" s="2" t="s">
        <v>1911</v>
      </c>
      <c r="D28" s="2" t="s">
        <v>1912</v>
      </c>
      <c r="E28" s="2" t="str">
        <f t="shared" si="4"/>
        <v>http://twitter.com/DougRobersonAJC</v>
      </c>
      <c r="F28" s="2" t="str">
        <f t="shared" si="5"/>
        <v>https://muckrack.com/doug-roberson</v>
      </c>
      <c r="G28" s="2">
        <v>16740</v>
      </c>
      <c r="H28" s="2" t="s">
        <v>1913</v>
      </c>
      <c r="I28" s="2" t="s">
        <v>1914</v>
      </c>
      <c r="J28" s="2" t="s">
        <v>1915</v>
      </c>
      <c r="K28" s="2" t="s">
        <v>30</v>
      </c>
      <c r="L28" s="2" t="s">
        <v>1962</v>
      </c>
      <c r="M28" s="5">
        <v>45584.888356481482</v>
      </c>
      <c r="N28" s="2" t="str">
        <f>HYPERLINK("http://twitter.com/DougRobersonAJC/status/1847809772080234994")</f>
        <v>http://twitter.com/DougRobersonAJC/status/1847809772080234994</v>
      </c>
      <c r="O28" s="2" t="str">
        <f>HYPERLINK("https://www.ajc.com/sports/atlanta-united/atlanta-united-gets-all-the-results-advances-to-mls-playoffs/IA4B6G7CMRGM7NGIBMG67YA544/")</f>
        <v>https://www.ajc.com/sports/atlanta-united/atlanta-united-gets-all-the-results-advances-to-mls-playoffs/IA4B6G7CMRGM7NGIBMG67YA544/</v>
      </c>
    </row>
    <row r="29" spans="1:15" ht="66" x14ac:dyDescent="0.3">
      <c r="A29" s="2" t="s">
        <v>1963</v>
      </c>
      <c r="B29" s="2" t="s">
        <v>1964</v>
      </c>
      <c r="C29" s="2" t="s">
        <v>1965</v>
      </c>
      <c r="D29" s="2" t="s">
        <v>1966</v>
      </c>
      <c r="E29" s="2" t="str">
        <f>HYPERLINK("http://twitter.com/bposhea")</f>
        <v>http://twitter.com/bposhea</v>
      </c>
      <c r="F29" s="2" t="str">
        <f>HYPERLINK("https://muckrack.com/brian-oshea")</f>
        <v>https://muckrack.com/brian-oshea</v>
      </c>
      <c r="G29" s="2">
        <v>1614</v>
      </c>
      <c r="H29" s="2" t="s">
        <v>1913</v>
      </c>
      <c r="I29" s="2" t="s">
        <v>1967</v>
      </c>
      <c r="J29" s="2" t="s">
        <v>1954</v>
      </c>
      <c r="K29" s="2" t="s">
        <v>30</v>
      </c>
      <c r="L29" s="2" t="s">
        <v>1968</v>
      </c>
      <c r="M29" s="5">
        <v>45584.943703703713</v>
      </c>
      <c r="N29" s="2" t="str">
        <f>HYPERLINK("http://twitter.com/bposhea/status/1847829827723633091")</f>
        <v>http://twitter.com/bposhea/status/1847829827723633091</v>
      </c>
      <c r="O29" s="2" t="str">
        <f>HYPERLINK("https://www.ajc.com/sports/atlanta-united/atlanta-united-gets-all-the-results-advances-to-mls-playoffs/IA4B6G7CMRGM7NGIBMG67YA544/")</f>
        <v>https://www.ajc.com/sports/atlanta-united/atlanta-united-gets-all-the-results-advances-to-mls-playoffs/IA4B6G7CMRGM7NGIBMG67YA544/</v>
      </c>
    </row>
    <row r="30" spans="1:15" ht="52.8" x14ac:dyDescent="0.3">
      <c r="A30" s="2" t="s">
        <v>107</v>
      </c>
      <c r="B30" s="2" t="s">
        <v>1969</v>
      </c>
      <c r="C30" s="2" t="s">
        <v>1970</v>
      </c>
      <c r="D30" s="2" t="s">
        <v>1971</v>
      </c>
      <c r="E30" s="2" t="str">
        <f>HYPERLINK("http://twitter.com/indyemapolis")</f>
        <v>http://twitter.com/indyemapolis</v>
      </c>
      <c r="F30" s="2" t="str">
        <f>HYPERLINK("https://muckrack.com/emily-hopkins-2")</f>
        <v>https://muckrack.com/emily-hopkins-2</v>
      </c>
      <c r="G30" s="2">
        <v>3414</v>
      </c>
      <c r="H30" s="2" t="s">
        <v>1972</v>
      </c>
      <c r="I30" s="2" t="s">
        <v>1973</v>
      </c>
      <c r="J30" s="2" t="s">
        <v>1954</v>
      </c>
      <c r="K30" s="2" t="s">
        <v>1974</v>
      </c>
      <c r="L30" s="2" t="s">
        <v>1975</v>
      </c>
      <c r="M30" s="5">
        <v>45583.62296296296</v>
      </c>
      <c r="N30" s="2" t="str">
        <f>HYPERLINK("http://twitter.com/indyemapolis/status/1847351208308027619")</f>
        <v>http://twitter.com/indyemapolis/status/1847351208308027619</v>
      </c>
      <c r="O30" s="2" t="str">
        <f>HYPERLINK("https://mirrorindy.org/greenlawn-cemetery-excavation-railway-indianapolis-dpw-henry-street-bridge-october-2024/")</f>
        <v>https://mirrorindy.org/greenlawn-cemetery-excavation-railway-indianapolis-dpw-henry-street-bridge-october-2024/</v>
      </c>
    </row>
    <row r="31" spans="1:15" ht="52.8" x14ac:dyDescent="0.3">
      <c r="A31" s="2" t="s">
        <v>616</v>
      </c>
      <c r="B31" s="2" t="s">
        <v>1976</v>
      </c>
      <c r="C31" s="2" t="s">
        <v>1977</v>
      </c>
      <c r="D31" s="2" t="s">
        <v>1978</v>
      </c>
      <c r="E31" s="2" t="str">
        <f>HYPERLINK("http://twitter.com/ryanmartin")</f>
        <v>http://twitter.com/ryanmartin</v>
      </c>
      <c r="F31" s="2" t="str">
        <f>HYPERLINK("https://muckrack.com/ryanmartin")</f>
        <v>https://muckrack.com/ryanmartin</v>
      </c>
      <c r="G31" s="2">
        <v>11135</v>
      </c>
      <c r="H31" s="2" t="s">
        <v>1972</v>
      </c>
      <c r="I31" s="2" t="s">
        <v>1979</v>
      </c>
      <c r="J31" s="2" t="s">
        <v>1954</v>
      </c>
      <c r="K31" s="2" t="s">
        <v>1974</v>
      </c>
      <c r="L31" s="2" t="s">
        <v>1980</v>
      </c>
      <c r="M31" s="5">
        <v>45583.646238425928</v>
      </c>
      <c r="N31" s="2" t="str">
        <f>HYPERLINK("http://twitter.com/ryanmartin/status/1847359642357186910")</f>
        <v>http://twitter.com/ryanmartin/status/1847359642357186910</v>
      </c>
      <c r="O31" s="2" t="str">
        <f>HYPERLINK("https://mirrorindy.org/greenlawn-cemetery-excavation-railway-indianapolis-dpw-henry-street-bridge-october-2024/")</f>
        <v>https://mirrorindy.org/greenlawn-cemetery-excavation-railway-indianapolis-dpw-henry-street-bridge-october-2024/</v>
      </c>
    </row>
    <row r="32" spans="1:15" ht="52.8" x14ac:dyDescent="0.3">
      <c r="A32" s="2" t="s">
        <v>1981</v>
      </c>
      <c r="B32" s="2" t="s">
        <v>1982</v>
      </c>
      <c r="C32" s="2" t="s">
        <v>1983</v>
      </c>
      <c r="D32" s="2" t="s">
        <v>1984</v>
      </c>
      <c r="E32" s="2" t="str">
        <f>HYPERLINK("http://twitter.com/HelloImDarian")</f>
        <v>http://twitter.com/HelloImDarian</v>
      </c>
      <c r="F32" s="2" t="str">
        <f>HYPERLINK("https://muckrack.com/darian-benson-1")</f>
        <v>https://muckrack.com/darian-benson-1</v>
      </c>
      <c r="G32" s="2">
        <v>1367</v>
      </c>
      <c r="H32" s="2" t="s">
        <v>1972</v>
      </c>
      <c r="I32" s="2" t="s">
        <v>1985</v>
      </c>
      <c r="J32" s="2" t="s">
        <v>1954</v>
      </c>
      <c r="K32" s="2" t="s">
        <v>132</v>
      </c>
      <c r="L32" s="2" t="s">
        <v>1980</v>
      </c>
      <c r="M32" s="5">
        <v>45583.676342592589</v>
      </c>
      <c r="N32" s="2" t="str">
        <f>HYPERLINK("http://twitter.com/HelloImDarian/status/1847370552882975109")</f>
        <v>http://twitter.com/HelloImDarian/status/1847370552882975109</v>
      </c>
      <c r="O32" s="2" t="str">
        <f>HYPERLINK("https://mirrorindy.org/greenlawn-cemetery-excavation-railway-indianapolis-dpw-henry-street-bridge-october-2024/")</f>
        <v>https://mirrorindy.org/greenlawn-cemetery-excavation-railway-indianapolis-dpw-henry-street-bridge-october-2024/</v>
      </c>
    </row>
    <row r="33" spans="1:15" ht="52.8" x14ac:dyDescent="0.3">
      <c r="A33" s="2" t="s">
        <v>1986</v>
      </c>
      <c r="B33" s="2" t="s">
        <v>1987</v>
      </c>
      <c r="C33" s="2" t="s">
        <v>1988</v>
      </c>
      <c r="D33" s="2" t="s">
        <v>1989</v>
      </c>
      <c r="E33" s="2" t="str">
        <f>HYPERLINK("http://twitter.com/clairerafford")</f>
        <v>http://twitter.com/clairerafford</v>
      </c>
      <c r="F33" s="2" t="str">
        <f>HYPERLINK("https://muckrack.com/claire-rafford")</f>
        <v>https://muckrack.com/claire-rafford</v>
      </c>
      <c r="G33" s="2">
        <v>1224</v>
      </c>
      <c r="H33" s="2" t="s">
        <v>1990</v>
      </c>
      <c r="I33" s="2" t="s">
        <v>1991</v>
      </c>
      <c r="J33" s="2" t="s">
        <v>1992</v>
      </c>
      <c r="K33" s="2" t="s">
        <v>132</v>
      </c>
      <c r="L33" s="2" t="s">
        <v>1980</v>
      </c>
      <c r="M33" s="5">
        <v>45583.683425925927</v>
      </c>
      <c r="N33" s="2" t="str">
        <f>HYPERLINK("http://twitter.com/clairerafford/status/1847373118366708139")</f>
        <v>http://twitter.com/clairerafford/status/1847373118366708139</v>
      </c>
      <c r="O33" s="2" t="str">
        <f>HYPERLINK("https://mirrorindy.org/greenlawn-cemetery-excavation-railway-indianapolis-dpw-henry-street-bridge-october-2024/")</f>
        <v>https://mirrorindy.org/greenlawn-cemetery-excavation-railway-indianapolis-dpw-henry-street-bridge-october-2024/</v>
      </c>
    </row>
    <row r="34" spans="1:15" ht="66" x14ac:dyDescent="0.3">
      <c r="A34" s="2" t="s">
        <v>29</v>
      </c>
      <c r="B34" s="2" t="s">
        <v>1910</v>
      </c>
      <c r="C34" s="2" t="s">
        <v>1911</v>
      </c>
      <c r="D34" s="2" t="s">
        <v>1912</v>
      </c>
      <c r="E34" s="2" t="str">
        <f>HYPERLINK("http://twitter.com/DougRobersonAJC")</f>
        <v>http://twitter.com/DougRobersonAJC</v>
      </c>
      <c r="F34" s="2" t="str">
        <f>HYPERLINK("https://muckrack.com/doug-roberson")</f>
        <v>https://muckrack.com/doug-roberson</v>
      </c>
      <c r="G34" s="2">
        <v>16740</v>
      </c>
      <c r="H34" s="2" t="s">
        <v>1913</v>
      </c>
      <c r="I34" s="2" t="s">
        <v>1914</v>
      </c>
      <c r="J34" s="2" t="s">
        <v>1915</v>
      </c>
      <c r="K34" s="2" t="s">
        <v>30</v>
      </c>
      <c r="L34" s="2" t="s">
        <v>1993</v>
      </c>
      <c r="M34" s="5">
        <v>45584.733680555553</v>
      </c>
      <c r="N34" s="2" t="str">
        <f>HYPERLINK("http://twitter.com/DougRobersonAJC/status/1847753718076243972")</f>
        <v>http://twitter.com/DougRobersonAJC/status/1847753718076243972</v>
      </c>
      <c r="O34" s="2" t="str">
        <f>HYPERLINK("https://www.ajc.com/sports/atlanta-united/info-to-know-atlanta-united-at-orlando-with-playoffs-on-line/PES7QBKCHJGSTG4EEDUWIYO35U/")</f>
        <v>https://www.ajc.com/sports/atlanta-united/info-to-know-atlanta-united-at-orlando-with-playoffs-on-line/PES7QBKCHJGSTG4EEDUWIYO35U/</v>
      </c>
    </row>
    <row r="35" spans="1:15" ht="66" x14ac:dyDescent="0.3">
      <c r="A35" s="2" t="s">
        <v>29</v>
      </c>
      <c r="B35" s="2" t="s">
        <v>1910</v>
      </c>
      <c r="C35" s="2" t="s">
        <v>1911</v>
      </c>
      <c r="D35" s="2" t="s">
        <v>1912</v>
      </c>
      <c r="E35" s="2" t="str">
        <f>HYPERLINK("http://twitter.com/DougRobersonAJC")</f>
        <v>http://twitter.com/DougRobersonAJC</v>
      </c>
      <c r="F35" s="2" t="str">
        <f>HYPERLINK("https://muckrack.com/doug-roberson")</f>
        <v>https://muckrack.com/doug-roberson</v>
      </c>
      <c r="G35" s="2">
        <v>16740</v>
      </c>
      <c r="H35" s="2" t="s">
        <v>1913</v>
      </c>
      <c r="I35" s="2" t="s">
        <v>1914</v>
      </c>
      <c r="J35" s="2" t="s">
        <v>1915</v>
      </c>
      <c r="K35" s="2" t="s">
        <v>30</v>
      </c>
      <c r="L35" s="2" t="s">
        <v>1994</v>
      </c>
      <c r="M35" s="5">
        <v>45583.503993055558</v>
      </c>
      <c r="N35" s="2" t="str">
        <f>HYPERLINK("http://twitter.com/DougRobersonAJC/status/1847308094436499912")</f>
        <v>http://twitter.com/DougRobersonAJC/status/1847308094436499912</v>
      </c>
      <c r="O35" s="2" t="str">
        <f>HYPERLINK("https://www.ajc.com/sports/atlanta-united/if-atlanta-united-wins-if-it-were-only-that-simple/XUQLFIKHINBJDEZX7FLVSO3O5Y/")</f>
        <v>https://www.ajc.com/sports/atlanta-united/if-atlanta-united-wins-if-it-were-only-that-simple/XUQLFIKHINBJDEZX7FLVSO3O5Y/</v>
      </c>
    </row>
    <row r="36" spans="1:15" ht="52.8" x14ac:dyDescent="0.3">
      <c r="A36" s="2" t="s">
        <v>138</v>
      </c>
      <c r="B36" s="2" t="s">
        <v>1995</v>
      </c>
      <c r="C36" s="2" t="s">
        <v>1996</v>
      </c>
      <c r="D36" s="2" t="s">
        <v>1997</v>
      </c>
      <c r="E36" s="2" t="str">
        <f>HYPERLINK("http://twitter.com/TBTimes_Rays")</f>
        <v>http://twitter.com/TBTimes_Rays</v>
      </c>
      <c r="F36" s="2" t="str">
        <f>HYPERLINK("https://muckrack.com/sptimesrays")</f>
        <v>https://muckrack.com/sptimesrays</v>
      </c>
      <c r="G36" s="2">
        <v>65328</v>
      </c>
      <c r="H36" s="2" t="s">
        <v>1998</v>
      </c>
      <c r="I36" s="2" t="s">
        <v>1999</v>
      </c>
      <c r="J36" s="2" t="s">
        <v>2000</v>
      </c>
      <c r="K36" s="2" t="s">
        <v>139</v>
      </c>
      <c r="L36" s="2" t="s">
        <v>2001</v>
      </c>
      <c r="M36" s="5">
        <v>45583.524988425917</v>
      </c>
      <c r="N36" s="2" t="str">
        <f>HYPERLINK("http://twitter.com/TBTimes_Rays/status/1847315701331300719")</f>
        <v>http://twitter.com/TBTimes_Rays/status/1847315701331300719</v>
      </c>
      <c r="O36" s="2" t="str">
        <f>HYPERLINK("https://www.tampabay.com/sports/rowdies/2024/10/18/rowdies-img-academy-bradenton-hurricanes-helene-milton-al-lang-stadium/")</f>
        <v>https://www.tampabay.com/sports/rowdies/2024/10/18/rowdies-img-academy-bradenton-hurricanes-helene-milton-al-lang-stadium/</v>
      </c>
    </row>
    <row r="37" spans="1:15" ht="52.8" x14ac:dyDescent="0.3">
      <c r="A37" s="2" t="s">
        <v>2002</v>
      </c>
      <c r="B37" s="2" t="s">
        <v>2003</v>
      </c>
      <c r="C37" s="2" t="s">
        <v>2004</v>
      </c>
      <c r="D37" s="2" t="s">
        <v>2005</v>
      </c>
      <c r="E37" s="2" t="str">
        <f>HYPERLINK("http://twitter.com/PeterSchorschFL")</f>
        <v>http://twitter.com/PeterSchorschFL</v>
      </c>
      <c r="F37" s="2" t="str">
        <f>HYPERLINK("https://muckrack.com/peterschorschfl")</f>
        <v>https://muckrack.com/peterschorschfl</v>
      </c>
      <c r="G37" s="2">
        <v>68795</v>
      </c>
      <c r="H37" s="2" t="s">
        <v>2006</v>
      </c>
      <c r="I37" s="2" t="s">
        <v>2007</v>
      </c>
      <c r="J37" s="2" t="s">
        <v>2008</v>
      </c>
      <c r="K37" s="2" t="s">
        <v>2009</v>
      </c>
      <c r="L37" s="2" t="s">
        <v>2010</v>
      </c>
      <c r="M37" s="5">
        <v>45583.529953703714</v>
      </c>
      <c r="N37" s="2" t="str">
        <f>HYPERLINK("http://twitter.com/PeterSchorschFL/status/1847317501924823387")</f>
        <v>http://twitter.com/PeterSchorschFL/status/1847317501924823387</v>
      </c>
      <c r="O37" s="2" t="str">
        <f>HYPERLINK("https://www.tampabay.com/sports/rowdies/2024/10/18/rowdies-img-academy-bradenton-hurricanes-helene-milton-al-lang-stadium/")</f>
        <v>https://www.tampabay.com/sports/rowdies/2024/10/18/rowdies-img-academy-bradenton-hurricanes-helene-milton-al-lang-stadium/</v>
      </c>
    </row>
    <row r="38" spans="1:15" ht="66" x14ac:dyDescent="0.3">
      <c r="A38" s="2" t="s">
        <v>29</v>
      </c>
      <c r="B38" s="2" t="s">
        <v>1910</v>
      </c>
      <c r="C38" s="2" t="s">
        <v>1911</v>
      </c>
      <c r="D38" s="2" t="s">
        <v>1912</v>
      </c>
      <c r="E38" s="2" t="str">
        <f>HYPERLINK("http://twitter.com/DougRobersonAJC")</f>
        <v>http://twitter.com/DougRobersonAJC</v>
      </c>
      <c r="F38" s="2" t="str">
        <f>HYPERLINK("https://muckrack.com/doug-roberson")</f>
        <v>https://muckrack.com/doug-roberson</v>
      </c>
      <c r="G38" s="2">
        <v>16740</v>
      </c>
      <c r="H38" s="2" t="s">
        <v>1913</v>
      </c>
      <c r="I38" s="2" t="s">
        <v>1914</v>
      </c>
      <c r="J38" s="2" t="s">
        <v>1915</v>
      </c>
      <c r="K38" s="2" t="s">
        <v>30</v>
      </c>
      <c r="L38" s="2" t="s">
        <v>2011</v>
      </c>
      <c r="M38" s="5">
        <v>45582.605798611112</v>
      </c>
      <c r="N38" s="2" t="str">
        <f>HYPERLINK("http://twitter.com/DougRobersonAJC/status/1846982597366501751")</f>
        <v>http://twitter.com/DougRobersonAJC/status/1846982597366501751</v>
      </c>
      <c r="O38" s="2" t="str">
        <f>HYPERLINK("https://www.ajc.com/sports/atlanta-united/atlanta-united-hosts-apalachee-high-soccer-teams/A64F6AROBBEEXMQPHFRHM2RVAU/")</f>
        <v>https://www.ajc.com/sports/atlanta-united/atlanta-united-hosts-apalachee-high-soccer-teams/A64F6AROBBEEXMQPHFRHM2RVAU/</v>
      </c>
    </row>
    <row r="39" spans="1:15" ht="66" x14ac:dyDescent="0.3">
      <c r="A39" s="2" t="s">
        <v>29</v>
      </c>
      <c r="B39" s="2" t="s">
        <v>1910</v>
      </c>
      <c r="C39" s="2" t="s">
        <v>1911</v>
      </c>
      <c r="D39" s="2" t="s">
        <v>1912</v>
      </c>
      <c r="E39" s="2" t="str">
        <f>HYPERLINK("http://twitter.com/DougRobersonAJC")</f>
        <v>http://twitter.com/DougRobersonAJC</v>
      </c>
      <c r="F39" s="2" t="str">
        <f>HYPERLINK("https://muckrack.com/doug-roberson")</f>
        <v>https://muckrack.com/doug-roberson</v>
      </c>
      <c r="G39" s="2">
        <v>16740</v>
      </c>
      <c r="H39" s="2" t="s">
        <v>1913</v>
      </c>
      <c r="I39" s="2" t="s">
        <v>1914</v>
      </c>
      <c r="J39" s="2" t="s">
        <v>1915</v>
      </c>
      <c r="K39" s="2" t="s">
        <v>30</v>
      </c>
      <c r="L39" s="2" t="s">
        <v>2012</v>
      </c>
      <c r="M39" s="5">
        <v>45582.707592592589</v>
      </c>
      <c r="N39" s="2" t="str">
        <f>HYPERLINK("http://twitter.com/DougRobersonAJC/status/1847019486916104365")</f>
        <v>http://twitter.com/DougRobersonAJC/status/1847019486916104365</v>
      </c>
      <c r="O39" s="2" t="str">
        <f>HYPERLINK("https://www.ajc.com/sports/atlanta-united/atlanta-united-hosts-apalachee-high-soccer-teams/A64F6AROBBEEXMQPHFRHM2RVAU/")</f>
        <v>https://www.ajc.com/sports/atlanta-united/atlanta-united-hosts-apalachee-high-soccer-teams/A64F6AROBBEEXMQPHFRHM2RVAU/</v>
      </c>
    </row>
    <row r="40" spans="1:15" ht="66" x14ac:dyDescent="0.3">
      <c r="A40" s="2" t="s">
        <v>1963</v>
      </c>
      <c r="B40" s="2" t="s">
        <v>1964</v>
      </c>
      <c r="C40" s="2" t="s">
        <v>1965</v>
      </c>
      <c r="D40" s="2" t="s">
        <v>1966</v>
      </c>
      <c r="E40" s="2" t="str">
        <f>HYPERLINK("http://twitter.com/bposhea")</f>
        <v>http://twitter.com/bposhea</v>
      </c>
      <c r="F40" s="2" t="str">
        <f>HYPERLINK("https://muckrack.com/brian-oshea")</f>
        <v>https://muckrack.com/brian-oshea</v>
      </c>
      <c r="G40" s="2">
        <v>1614</v>
      </c>
      <c r="H40" s="2" t="s">
        <v>1913</v>
      </c>
      <c r="I40" s="2" t="s">
        <v>1967</v>
      </c>
      <c r="J40" s="2" t="s">
        <v>1954</v>
      </c>
      <c r="K40" s="2" t="s">
        <v>30</v>
      </c>
      <c r="L40" s="2" t="s">
        <v>2013</v>
      </c>
      <c r="M40" s="5">
        <v>45582.731550925928</v>
      </c>
      <c r="N40" s="2" t="str">
        <f>HYPERLINK("http://twitter.com/bposhea/status/1847028168693370921")</f>
        <v>http://twitter.com/bposhea/status/1847028168693370921</v>
      </c>
      <c r="O40" s="2" t="str">
        <f>HYPERLINK("https://www.ajc.com/sports/atlanta-united/atlanta-united-hosts-apalachee-high-soccer-teams/A64F6AROBBEEXMQPHFRHM2RVAU/")</f>
        <v>https://www.ajc.com/sports/atlanta-united/atlanta-united-hosts-apalachee-high-soccer-teams/A64F6AROBBEEXMQPHFRHM2RVAU/</v>
      </c>
    </row>
    <row r="41" spans="1:15" ht="66" x14ac:dyDescent="0.3">
      <c r="A41" s="2" t="s">
        <v>2014</v>
      </c>
      <c r="B41" s="2" t="s">
        <v>2015</v>
      </c>
      <c r="C41" s="2" t="s">
        <v>2016</v>
      </c>
      <c r="D41" s="2" t="s">
        <v>2017</v>
      </c>
      <c r="E41" s="2" t="str">
        <f>HYPERLINK("http://twitter.com/aaronladdtv")</f>
        <v>http://twitter.com/aaronladdtv</v>
      </c>
      <c r="F41" s="2" t="str">
        <f>HYPERLINK("https://muckrack.com/aaron-ladd")</f>
        <v>https://muckrack.com/aaron-ladd</v>
      </c>
      <c r="G41" s="2">
        <v>18101</v>
      </c>
      <c r="H41" s="2" t="s">
        <v>1913</v>
      </c>
      <c r="I41" s="2" t="s">
        <v>2018</v>
      </c>
      <c r="J41" s="2" t="s">
        <v>2000</v>
      </c>
      <c r="K41" s="2" t="s">
        <v>2019</v>
      </c>
      <c r="L41" s="2" t="s">
        <v>2020</v>
      </c>
      <c r="M41" s="5">
        <v>45583.435995370368</v>
      </c>
      <c r="N41" s="2" t="str">
        <f>HYPERLINK("http://twitter.com/aaronladdtv/status/1847283452514640340")</f>
        <v>http://twitter.com/aaronladdtv/status/1847283452514640340</v>
      </c>
      <c r="O41" s="2" t="str">
        <f>HYPERLINK("https://www.ajc.com/sports/atlanta-united/atlanta-united-hosts-apalachee-high-soccer-teams/A64F6AROBBEEXMQPHFRHM2RVAU/")</f>
        <v>https://www.ajc.com/sports/atlanta-united/atlanta-united-hosts-apalachee-high-soccer-teams/A64F6AROBBEEXMQPHFRHM2RVAU/</v>
      </c>
    </row>
    <row r="42" spans="1:15" ht="66" x14ac:dyDescent="0.3">
      <c r="A42" s="2" t="s">
        <v>29</v>
      </c>
      <c r="B42" s="2" t="s">
        <v>1910</v>
      </c>
      <c r="C42" s="2" t="s">
        <v>1911</v>
      </c>
      <c r="D42" s="2" t="s">
        <v>1912</v>
      </c>
      <c r="E42" s="2" t="str">
        <f>HYPERLINK("http://twitter.com/DougRobersonAJC")</f>
        <v>http://twitter.com/DougRobersonAJC</v>
      </c>
      <c r="F42" s="2" t="str">
        <f>HYPERLINK("https://muckrack.com/doug-roberson")</f>
        <v>https://muckrack.com/doug-roberson</v>
      </c>
      <c r="G42" s="2">
        <v>16740</v>
      </c>
      <c r="H42" s="2" t="s">
        <v>1913</v>
      </c>
      <c r="I42" s="2" t="s">
        <v>1914</v>
      </c>
      <c r="J42" s="2" t="s">
        <v>1915</v>
      </c>
      <c r="K42" s="2" t="s">
        <v>30</v>
      </c>
      <c r="L42" s="2" t="s">
        <v>2021</v>
      </c>
      <c r="M42" s="5">
        <v>45582.573483796303</v>
      </c>
      <c r="N42" s="2" t="str">
        <f>HYPERLINK("http://twitter.com/DougRobersonAJC/status/1846970889868660883")</f>
        <v>http://twitter.com/DougRobersonAJC/status/1846970889868660883</v>
      </c>
      <c r="O42" s="2" t="str">
        <f>HYPERLINK("https://www.ajc.com/sports/atlanta-united/atlanta-united-injury-report-and-a-moment-for-dax-mccarty/WYYVRFOZRRH5RE2462JMEYBDHQ/")</f>
        <v>https://www.ajc.com/sports/atlanta-united/atlanta-united-injury-report-and-a-moment-for-dax-mccarty/WYYVRFOZRRH5RE2462JMEYBDHQ/</v>
      </c>
    </row>
    <row r="43" spans="1:15" ht="79.2" x14ac:dyDescent="0.3">
      <c r="A43" s="2" t="s">
        <v>29</v>
      </c>
      <c r="B43" s="2" t="s">
        <v>1910</v>
      </c>
      <c r="C43" s="2" t="s">
        <v>1911</v>
      </c>
      <c r="D43" s="2" t="s">
        <v>1912</v>
      </c>
      <c r="E43" s="2" t="str">
        <f>HYPERLINK("http://twitter.com/DougRobersonAJC")</f>
        <v>http://twitter.com/DougRobersonAJC</v>
      </c>
      <c r="F43" s="2" t="str">
        <f>HYPERLINK("https://muckrack.com/doug-roberson")</f>
        <v>https://muckrack.com/doug-roberson</v>
      </c>
      <c r="G43" s="2">
        <v>16740</v>
      </c>
      <c r="H43" s="2" t="s">
        <v>1913</v>
      </c>
      <c r="I43" s="2" t="s">
        <v>1914</v>
      </c>
      <c r="J43" s="2" t="s">
        <v>1915</v>
      </c>
      <c r="K43" s="2" t="s">
        <v>30</v>
      </c>
      <c r="L43" s="2" t="s">
        <v>2022</v>
      </c>
      <c r="M43" s="5">
        <v>45581.512476851851</v>
      </c>
      <c r="N43" s="2" t="str">
        <f>HYPERLINK("http://twitter.com/DougRobersonAJC/status/1846586393226805751")</f>
        <v>http://twitter.com/DougRobersonAJC/status/1846586393226805751</v>
      </c>
      <c r="O43" s="2" t="str">
        <f>HYPERLINK("https://www.ajc.com/sports/atlanta-united/atlanta-uniteds-jay-fortune-working-to-put-smiles-on-faces-with-community-outreach/BXG6UV6M3FAR7OPJC6OZPDG3TE/")</f>
        <v>https://www.ajc.com/sports/atlanta-united/atlanta-uniteds-jay-fortune-working-to-put-smiles-on-faces-with-community-outreach/BXG6UV6M3FAR7OPJC6OZPDG3TE/</v>
      </c>
    </row>
    <row r="44" spans="1:15" ht="52.8" x14ac:dyDescent="0.3">
      <c r="A44" s="2" t="s">
        <v>2023</v>
      </c>
      <c r="B44" s="2" t="s">
        <v>2024</v>
      </c>
      <c r="C44" s="2" t="s">
        <v>2025</v>
      </c>
      <c r="D44" s="2" t="s">
        <v>2026</v>
      </c>
      <c r="E44" s="2" t="str">
        <f>HYPERLINK("http://twitter.com/ECloskyWTSP")</f>
        <v>http://twitter.com/ECloskyWTSP</v>
      </c>
      <c r="F44" s="2" t="str">
        <f>HYPERLINK("https://muckrack.com/evan-closky")</f>
        <v>https://muckrack.com/evan-closky</v>
      </c>
      <c r="G44" s="2">
        <v>6616</v>
      </c>
      <c r="H44" s="2" t="str">
        <f>HYPERLINK("https://www.wtsp.com/")</f>
        <v>https://www.wtsp.com/</v>
      </c>
      <c r="I44" s="2" t="s">
        <v>2027</v>
      </c>
      <c r="J44" s="2" t="s">
        <v>2000</v>
      </c>
      <c r="K44" s="2" t="s">
        <v>140</v>
      </c>
      <c r="L44" s="2" t="s">
        <v>2028</v>
      </c>
      <c r="M44" s="5">
        <v>45580.545624999999</v>
      </c>
      <c r="N44" s="2" t="str">
        <f>HYPERLINK("http://twitter.com/ECloskyWTSP/status/1846236016891289788")</f>
        <v>http://twitter.com/ECloskyWTSP/status/1846236016891289788</v>
      </c>
      <c r="O44" s="2" t="str">
        <f>HYPERLINK("https://www.rowdiessoccer.com/news/2024/10/15/rowdies-october-19-match-relocated-to-north-carolinas-wakemed-soccer-park/")</f>
        <v>https://www.rowdiessoccer.com/news/2024/10/15/rowdies-october-19-match-relocated-to-north-carolinas-wakemed-soccer-park/</v>
      </c>
    </row>
    <row r="45" spans="1:15" ht="52.8" x14ac:dyDescent="0.3">
      <c r="A45" s="2" t="s">
        <v>2029</v>
      </c>
      <c r="B45" s="2" t="s">
        <v>1910</v>
      </c>
      <c r="C45" s="2"/>
      <c r="D45" s="2" t="s">
        <v>2030</v>
      </c>
      <c r="E45" s="2" t="str">
        <f>HYPERLINK("http://twitter.com/jj_pavlick")</f>
        <v>http://twitter.com/jj_pavlick</v>
      </c>
      <c r="F45" s="2" t="str">
        <f>HYPERLINK("https://muckrack.com/jj-pavlick")</f>
        <v>https://muckrack.com/jj-pavlick</v>
      </c>
      <c r="G45" s="2">
        <v>1887</v>
      </c>
      <c r="H45" s="2" t="s">
        <v>2031</v>
      </c>
      <c r="I45" s="2" t="s">
        <v>2032</v>
      </c>
      <c r="J45" s="2" t="s">
        <v>2033</v>
      </c>
      <c r="K45" s="2" t="s">
        <v>2034</v>
      </c>
      <c r="L45" s="2" t="s">
        <v>2028</v>
      </c>
      <c r="M45" s="5">
        <v>45580.59778935185</v>
      </c>
      <c r="N45" s="2" t="str">
        <f>HYPERLINK("http://twitter.com/jj_pavlick/status/1846254921667977223")</f>
        <v>http://twitter.com/jj_pavlick/status/1846254921667977223</v>
      </c>
      <c r="O45" s="2" t="str">
        <f>HYPERLINK("https://www.rowdiessoccer.com/news/2024/10/15/rowdies-october-19-match-relocated-to-north-carolinas-wakemed-soccer-park/")</f>
        <v>https://www.rowdiessoccer.com/news/2024/10/15/rowdies-october-19-match-relocated-to-north-carolinas-wakemed-soccer-park/</v>
      </c>
    </row>
    <row r="46" spans="1:15" ht="66" x14ac:dyDescent="0.3">
      <c r="A46" s="2" t="s">
        <v>2035</v>
      </c>
      <c r="B46" s="2" t="s">
        <v>2036</v>
      </c>
      <c r="C46" s="2" t="s">
        <v>2037</v>
      </c>
      <c r="D46" s="2" t="s">
        <v>2038</v>
      </c>
      <c r="E46" s="2" t="str">
        <f>HYPERLINK("http://twitter.com/JohnNiyo")</f>
        <v>http://twitter.com/JohnNiyo</v>
      </c>
      <c r="F46" s="2" t="str">
        <f>HYPERLINK("https://muckrack.com/johnniyo")</f>
        <v>https://muckrack.com/johnniyo</v>
      </c>
      <c r="G46" s="2">
        <v>14286</v>
      </c>
      <c r="H46" s="2" t="s">
        <v>2039</v>
      </c>
      <c r="I46" s="2" t="s">
        <v>2040</v>
      </c>
      <c r="J46" s="2" t="s">
        <v>2041</v>
      </c>
      <c r="K46" s="2" t="s">
        <v>64</v>
      </c>
      <c r="L46" s="2" t="s">
        <v>2042</v>
      </c>
      <c r="M46" s="5">
        <v>45577.830775462957</v>
      </c>
      <c r="N46" s="2" t="str">
        <f>HYPERLINK("http://twitter.com/JohnNiyo/status/1845252187938496833")</f>
        <v>http://twitter.com/JohnNiyo/status/1845252187938496833</v>
      </c>
      <c r="O46" s="2" t="str">
        <f>HYPERLINK("https://www.detroitnews.com/story/sports/soccer/2024/10/12/detroit-city-fc-plays-indy-eleven-to-scoreless-draw-clinches-playoff-spot/75650862007/")</f>
        <v>https://www.detroitnews.com/story/sports/soccer/2024/10/12/detroit-city-fc-plays-indy-eleven-to-scoreless-draw-clinches-playoff-spot/75650862007/</v>
      </c>
    </row>
    <row r="47" spans="1:15" ht="66" x14ac:dyDescent="0.3">
      <c r="A47" s="2" t="s">
        <v>29</v>
      </c>
      <c r="B47" s="2" t="s">
        <v>1910</v>
      </c>
      <c r="C47" s="2" t="s">
        <v>1911</v>
      </c>
      <c r="D47" s="2" t="s">
        <v>1912</v>
      </c>
      <c r="E47" s="2" t="str">
        <f>HYPERLINK("http://twitter.com/DougRobersonAJC")</f>
        <v>http://twitter.com/DougRobersonAJC</v>
      </c>
      <c r="F47" s="2" t="str">
        <f>HYPERLINK("https://muckrack.com/doug-roberson")</f>
        <v>https://muckrack.com/doug-roberson</v>
      </c>
      <c r="G47" s="2">
        <v>16740</v>
      </c>
      <c r="H47" s="2" t="s">
        <v>1913</v>
      </c>
      <c r="I47" s="2" t="s">
        <v>1914</v>
      </c>
      <c r="J47" s="2" t="s">
        <v>1915</v>
      </c>
      <c r="K47" s="2" t="s">
        <v>30</v>
      </c>
      <c r="L47" s="2" t="s">
        <v>2043</v>
      </c>
      <c r="M47" s="5">
        <v>45575.493657407409</v>
      </c>
      <c r="N47" s="2" t="str">
        <f>HYPERLINK("http://twitter.com/DougRobersonAJC/status/1844405243917840772")</f>
        <v>http://twitter.com/DougRobersonAJC/status/1844405243917840772</v>
      </c>
      <c r="O47" s="2" t="str">
        <f>HYPERLINK("https://www.ajc.com/sports/atlanta-united/a-look-at-past-atlanta-united-players-and-how-theyre-doing-now/NIZO3ZSSZRGOBKUOPWZ2P7RFOU/")</f>
        <v>https://www.ajc.com/sports/atlanta-united/a-look-at-past-atlanta-united-players-and-how-theyre-doing-now/NIZO3ZSSZRGOBKUOPWZ2P7RFOU/</v>
      </c>
    </row>
    <row r="48" spans="1:15" ht="66" x14ac:dyDescent="0.3">
      <c r="A48" s="2" t="s">
        <v>29</v>
      </c>
      <c r="B48" s="2" t="s">
        <v>1910</v>
      </c>
      <c r="C48" s="2" t="s">
        <v>1911</v>
      </c>
      <c r="D48" s="2" t="s">
        <v>1912</v>
      </c>
      <c r="E48" s="2" t="str">
        <f>HYPERLINK("http://twitter.com/DougRobersonAJC")</f>
        <v>http://twitter.com/DougRobersonAJC</v>
      </c>
      <c r="F48" s="2" t="str">
        <f>HYPERLINK("https://muckrack.com/doug-roberson")</f>
        <v>https://muckrack.com/doug-roberson</v>
      </c>
      <c r="G48" s="2">
        <v>16740</v>
      </c>
      <c r="H48" s="2" t="s">
        <v>1913</v>
      </c>
      <c r="I48" s="2" t="s">
        <v>1914</v>
      </c>
      <c r="J48" s="2" t="s">
        <v>1915</v>
      </c>
      <c r="K48" s="2" t="s">
        <v>30</v>
      </c>
      <c r="L48" s="2" t="s">
        <v>2044</v>
      </c>
      <c r="M48" s="5">
        <v>45574.642534722218</v>
      </c>
      <c r="N48" s="2" t="str">
        <f>HYPERLINK("http://twitter.com/DougRobersonAJC/status/1844096807032455210")</f>
        <v>http://twitter.com/DougRobersonAJC/status/1844096807032455210</v>
      </c>
      <c r="O48" s="2" t="str">
        <f>HYPERLINK("https://www.ajc.com/sports/atlanta-united/atlanta-uniteds-key-offseason-dates-are-out/VT5UXUIG6VBZDNXKGCXCCNKDOU/")</f>
        <v>https://www.ajc.com/sports/atlanta-united/atlanta-uniteds-key-offseason-dates-are-out/VT5UXUIG6VBZDNXKGCXCCNKDOU/</v>
      </c>
    </row>
    <row r="49" spans="1:15" ht="52.8" x14ac:dyDescent="0.3">
      <c r="A49" s="2" t="s">
        <v>208</v>
      </c>
      <c r="B49" s="2" t="s">
        <v>2045</v>
      </c>
      <c r="C49" s="2" t="s">
        <v>2046</v>
      </c>
      <c r="D49" s="2" t="s">
        <v>2047</v>
      </c>
      <c r="E49" s="2" t="str">
        <f>HYPERLINK("http://twitter.com/MarkOgden_")</f>
        <v>http://twitter.com/MarkOgden_</v>
      </c>
      <c r="F49" s="2" t="str">
        <f>HYPERLINK("https://muckrack.com/mogdentelegraph")</f>
        <v>https://muckrack.com/mogdentelegraph</v>
      </c>
      <c r="G49" s="2">
        <v>289571</v>
      </c>
      <c r="H49" s="2"/>
      <c r="I49" s="2" t="s">
        <v>2048</v>
      </c>
      <c r="J49" s="2" t="s">
        <v>2049</v>
      </c>
      <c r="K49" s="2" t="s">
        <v>210</v>
      </c>
      <c r="L49" s="2" t="s">
        <v>2050</v>
      </c>
      <c r="M49" s="5">
        <v>45573.509814814817</v>
      </c>
      <c r="N49" s="2" t="str">
        <f>HYPERLINK("http://twitter.com/MarkOgden_/status/1843686322835235130")</f>
        <v>http://twitter.com/MarkOgden_/status/1843686322835235130</v>
      </c>
      <c r="O49" s="2" t="str">
        <f>HYPERLINK("https://www.espn.com/soccer/story/_/id/41666955/manchester-city-premier-league-apt-rules-challenge-explainer")</f>
        <v>https://www.espn.com/soccer/story/_/id/41666955/manchester-city-premier-league-apt-rules-challenge-explainer</v>
      </c>
    </row>
    <row r="50" spans="1:15" ht="66" x14ac:dyDescent="0.3">
      <c r="A50" s="2" t="s">
        <v>29</v>
      </c>
      <c r="B50" s="2" t="s">
        <v>1910</v>
      </c>
      <c r="C50" s="2" t="s">
        <v>1911</v>
      </c>
      <c r="D50" s="2" t="s">
        <v>1912</v>
      </c>
      <c r="E50" s="2" t="str">
        <f>HYPERLINK("http://twitter.com/DougRobersonAJC")</f>
        <v>http://twitter.com/DougRobersonAJC</v>
      </c>
      <c r="F50" s="2" t="str">
        <f>HYPERLINK("https://muckrack.com/doug-roberson")</f>
        <v>https://muckrack.com/doug-roberson</v>
      </c>
      <c r="G50" s="2">
        <v>16740</v>
      </c>
      <c r="H50" s="2" t="s">
        <v>1913</v>
      </c>
      <c r="I50" s="2" t="s">
        <v>1914</v>
      </c>
      <c r="J50" s="2" t="s">
        <v>1915</v>
      </c>
      <c r="K50" s="2" t="s">
        <v>30</v>
      </c>
      <c r="L50" s="2" t="s">
        <v>2051</v>
      </c>
      <c r="M50" s="5">
        <v>45570.91777777778</v>
      </c>
      <c r="N50" s="2" t="str">
        <f>HYPERLINK("http://twitter.com/DougRobersonAJC/status/1842747001856811251")</f>
        <v>http://twitter.com/DougRobersonAJC/status/1842747001856811251</v>
      </c>
      <c r="O50" s="2" t="str">
        <f>HYPERLINK("https://www.ajc.com/sports/atlanta-united/atlanta-united-stays-alive-in-playoff-hunt-with-win-against-red-bulls/V2JJPT5CCFHE5FY4FCZ7LTPLOU/")</f>
        <v>https://www.ajc.com/sports/atlanta-united/atlanta-united-stays-alive-in-playoff-hunt-with-win-against-red-bulls/V2JJPT5CCFHE5FY4FCZ7LTPLOU/</v>
      </c>
    </row>
    <row r="51" spans="1:15" ht="66" x14ac:dyDescent="0.3">
      <c r="A51" s="2" t="s">
        <v>29</v>
      </c>
      <c r="B51" s="2" t="s">
        <v>1910</v>
      </c>
      <c r="C51" s="2" t="s">
        <v>1911</v>
      </c>
      <c r="D51" s="2" t="s">
        <v>1912</v>
      </c>
      <c r="E51" s="2" t="str">
        <f>HYPERLINK("http://twitter.com/DougRobersonAJC")</f>
        <v>http://twitter.com/DougRobersonAJC</v>
      </c>
      <c r="F51" s="2" t="str">
        <f>HYPERLINK("https://muckrack.com/doug-roberson")</f>
        <v>https://muckrack.com/doug-roberson</v>
      </c>
      <c r="G51" s="2">
        <v>16740</v>
      </c>
      <c r="H51" s="2" t="s">
        <v>1913</v>
      </c>
      <c r="I51" s="2" t="s">
        <v>1914</v>
      </c>
      <c r="J51" s="2" t="s">
        <v>1915</v>
      </c>
      <c r="K51" s="2" t="s">
        <v>30</v>
      </c>
      <c r="L51" s="2" t="s">
        <v>2052</v>
      </c>
      <c r="M51" s="5">
        <v>45569.695011574076</v>
      </c>
      <c r="N51" s="2" t="str">
        <f>HYPERLINK("http://twitter.com/DougRobersonAJC/status/1842303885181923409")</f>
        <v>http://twitter.com/DougRobersonAJC/status/1842303885181923409</v>
      </c>
      <c r="O51" s="2" t="str">
        <f>HYPERLINK("https://www.ajc.com/sports/atlanta-united/southern-fried-soccer-atlanta-united-loses-to-montreal-faces-red-bulls/GF6GLVF74ZFYPI6R4M67FP3SKY/")</f>
        <v>https://www.ajc.com/sports/atlanta-united/southern-fried-soccer-atlanta-united-loses-to-montreal-faces-red-bulls/GF6GLVF74ZFYPI6R4M67FP3SKY/</v>
      </c>
    </row>
    <row r="52" spans="1:15" ht="66" x14ac:dyDescent="0.3">
      <c r="A52" s="2" t="s">
        <v>29</v>
      </c>
      <c r="B52" s="2" t="s">
        <v>1910</v>
      </c>
      <c r="C52" s="2" t="s">
        <v>1911</v>
      </c>
      <c r="D52" s="2" t="s">
        <v>1912</v>
      </c>
      <c r="E52" s="2" t="str">
        <f>HYPERLINK("http://twitter.com/DougRobersonAJC")</f>
        <v>http://twitter.com/DougRobersonAJC</v>
      </c>
      <c r="F52" s="2" t="str">
        <f>HYPERLINK("https://muckrack.com/doug-roberson")</f>
        <v>https://muckrack.com/doug-roberson</v>
      </c>
      <c r="G52" s="2">
        <v>16740</v>
      </c>
      <c r="H52" s="2" t="s">
        <v>1913</v>
      </c>
      <c r="I52" s="2" t="s">
        <v>1914</v>
      </c>
      <c r="J52" s="2" t="s">
        <v>1915</v>
      </c>
      <c r="K52" s="2" t="s">
        <v>30</v>
      </c>
      <c r="L52" s="2" t="s">
        <v>2053</v>
      </c>
      <c r="M52" s="5">
        <v>45569.616030092591</v>
      </c>
      <c r="N52" s="2" t="str">
        <f>HYPERLINK("http://twitter.com/DougRobersonAJC/status/1842275265646297222")</f>
        <v>http://twitter.com/DougRobersonAJC/status/1842275265646297222</v>
      </c>
      <c r="O52" s="2" t="str">
        <f>HYPERLINK("https://www.ajc.com/sports/atlanta-united/atlanta-united-gets-one-more-chance-to-help-itself/4KBWF44ABNBF5OK2YLXXJANTRU/")</f>
        <v>https://www.ajc.com/sports/atlanta-united/atlanta-united-gets-one-more-chance-to-help-itself/4KBWF44ABNBF5OK2YLXXJANTRU/</v>
      </c>
    </row>
    <row r="53" spans="1:15" ht="66" x14ac:dyDescent="0.3">
      <c r="A53" s="2" t="s">
        <v>29</v>
      </c>
      <c r="B53" s="2" t="s">
        <v>1910</v>
      </c>
      <c r="C53" s="2" t="s">
        <v>1911</v>
      </c>
      <c r="D53" s="2" t="s">
        <v>1912</v>
      </c>
      <c r="E53" s="2" t="str">
        <f>HYPERLINK("http://twitter.com/DougRobersonAJC")</f>
        <v>http://twitter.com/DougRobersonAJC</v>
      </c>
      <c r="F53" s="2" t="str">
        <f>HYPERLINK("https://muckrack.com/doug-roberson")</f>
        <v>https://muckrack.com/doug-roberson</v>
      </c>
      <c r="G53" s="2">
        <v>16740</v>
      </c>
      <c r="H53" s="2" t="s">
        <v>1913</v>
      </c>
      <c r="I53" s="2" t="s">
        <v>1914</v>
      </c>
      <c r="J53" s="2" t="s">
        <v>1915</v>
      </c>
      <c r="K53" s="2" t="s">
        <v>30</v>
      </c>
      <c r="L53" s="2" t="s">
        <v>2054</v>
      </c>
      <c r="M53" s="5">
        <v>45569.607662037037</v>
      </c>
      <c r="N53" s="2" t="str">
        <f>HYPERLINK("http://twitter.com/DougRobersonAJC/status/1842272230685790545")</f>
        <v>http://twitter.com/DougRobersonAJC/status/1842272230685790545</v>
      </c>
      <c r="O53" s="2" t="str">
        <f>HYPERLINK("https://www.ajc.com/sports/atlanta-united/info-to-know-atlanta-united-vs-new-york-red-bulls/2YTAWCZKXRGI3JA3GBXAO7OLFU/")</f>
        <v>https://www.ajc.com/sports/atlanta-united/info-to-know-atlanta-united-vs-new-york-red-bulls/2YTAWCZKXRGI3JA3GBXAO7OLFU/</v>
      </c>
    </row>
    <row r="54" spans="1:15" ht="66" x14ac:dyDescent="0.3">
      <c r="A54" s="2" t="s">
        <v>60</v>
      </c>
      <c r="B54" s="2" t="s">
        <v>1924</v>
      </c>
      <c r="C54" s="2" t="s">
        <v>1925</v>
      </c>
      <c r="D54" s="2" t="s">
        <v>1926</v>
      </c>
      <c r="E54" s="2" t="str">
        <f>HYPERLINK("http://twitter.com/Soccerwriter")</f>
        <v>http://twitter.com/Soccerwriter</v>
      </c>
      <c r="F54" s="2" t="str">
        <f>HYPERLINK("https://muckrack.com/michael-lewis-4")</f>
        <v>https://muckrack.com/michael-lewis-4</v>
      </c>
      <c r="G54" s="2">
        <v>9867</v>
      </c>
      <c r="H54" s="2" t="s">
        <v>1927</v>
      </c>
      <c r="I54" s="2" t="s">
        <v>1928</v>
      </c>
      <c r="J54" s="2" t="s">
        <v>1929</v>
      </c>
      <c r="K54" s="2" t="s">
        <v>1930</v>
      </c>
      <c r="L54" s="2" t="s">
        <v>2055</v>
      </c>
      <c r="M54" s="5">
        <v>45567.740659722222</v>
      </c>
      <c r="N54" s="2" t="str">
        <f>HYPERLINK("http://twitter.com/Soccerwriter/status/1841595652179968163")</f>
        <v>http://twitter.com/Soccerwriter/status/1841595652179968163</v>
      </c>
      <c r="O54" s="2" t="str">
        <f>HYPERLINK("https://www.frontrowsoccer.com/2024/10/02/hispanic-heritage-month-day-18-2016-cosmos-midfielder-juan-arango-shows-no-signs-of-slowing-down-or-retiring-at-the-age-of-36-3/")</f>
        <v>https://www.frontrowsoccer.com/2024/10/02/hispanic-heritage-month-day-18-2016-cosmos-midfielder-juan-arango-shows-no-signs-of-slowing-down-or-retiring-at-the-age-of-36-3/</v>
      </c>
    </row>
    <row r="55" spans="1:15" ht="66" x14ac:dyDescent="0.3">
      <c r="A55" s="2" t="s">
        <v>29</v>
      </c>
      <c r="B55" s="2" t="s">
        <v>1910</v>
      </c>
      <c r="C55" s="2" t="s">
        <v>1911</v>
      </c>
      <c r="D55" s="2" t="s">
        <v>1912</v>
      </c>
      <c r="E55" s="2" t="str">
        <f>HYPERLINK("http://twitter.com/DougRobersonAJC")</f>
        <v>http://twitter.com/DougRobersonAJC</v>
      </c>
      <c r="F55" s="2" t="str">
        <f>HYPERLINK("https://muckrack.com/doug-roberson")</f>
        <v>https://muckrack.com/doug-roberson</v>
      </c>
      <c r="G55" s="2">
        <v>16740</v>
      </c>
      <c r="H55" s="2" t="s">
        <v>1913</v>
      </c>
      <c r="I55" s="2" t="s">
        <v>1914</v>
      </c>
      <c r="J55" s="2" t="s">
        <v>1915</v>
      </c>
      <c r="K55" s="2" t="s">
        <v>30</v>
      </c>
      <c r="L55" s="2" t="s">
        <v>2056</v>
      </c>
      <c r="M55" s="5">
        <v>45566.707453703697</v>
      </c>
      <c r="N55" s="2" t="str">
        <f>HYPERLINK("http://twitter.com/DougRobersonAJC/status/1841221230751322509")</f>
        <v>http://twitter.com/DougRobersonAJC/status/1841221230751322509</v>
      </c>
      <c r="O55" s="2" t="str">
        <f>HYPERLINK("https://www.ajc.com/sports/atlanta-united/southern-fried-soccer-atlanta-united-draws-philadelphia-faces-montreal/4QOWP5ANN5FN3N6KCG52QMPLIE/")</f>
        <v>https://www.ajc.com/sports/atlanta-united/southern-fried-soccer-atlanta-united-draws-philadelphia-faces-montreal/4QOWP5ANN5FN3N6KCG52QMPLIE/</v>
      </c>
    </row>
    <row r="56" spans="1:15" ht="52.8" x14ac:dyDescent="0.3">
      <c r="A56" s="2" t="s">
        <v>29</v>
      </c>
      <c r="B56" s="2" t="s">
        <v>1910</v>
      </c>
      <c r="C56" s="2" t="s">
        <v>1911</v>
      </c>
      <c r="D56" s="2" t="s">
        <v>1912</v>
      </c>
      <c r="E56" s="2" t="str">
        <f>HYPERLINK("http://twitter.com/DougRobersonAJC")</f>
        <v>http://twitter.com/DougRobersonAJC</v>
      </c>
      <c r="F56" s="2" t="str">
        <f>HYPERLINK("https://muckrack.com/doug-roberson")</f>
        <v>https://muckrack.com/doug-roberson</v>
      </c>
      <c r="G56" s="2">
        <v>16740</v>
      </c>
      <c r="H56" s="2" t="s">
        <v>1913</v>
      </c>
      <c r="I56" s="2" t="s">
        <v>1914</v>
      </c>
      <c r="J56" s="2" t="s">
        <v>1915</v>
      </c>
      <c r="K56" s="2" t="s">
        <v>30</v>
      </c>
      <c r="L56" s="2" t="s">
        <v>2057</v>
      </c>
      <c r="M56" s="5">
        <v>45566.587361111109</v>
      </c>
      <c r="N56" s="2" t="str">
        <f>HYPERLINK("http://twitter.com/DougRobersonAJC/status/1841177712595255446")</f>
        <v>http://twitter.com/DougRobersonAJC/status/1841177712595255446</v>
      </c>
      <c r="O56" s="2" t="str">
        <f>HYPERLINK("https://www.ajc.com/sports/atlanta-united/info-to-know-atlanta-united-vs-montreal/Z6W25DTV2VGAZINF5L7RXE63WY/")</f>
        <v>https://www.ajc.com/sports/atlanta-united/info-to-know-atlanta-united-vs-montreal/Z6W25DTV2VGAZINF5L7RXE63WY/</v>
      </c>
    </row>
    <row r="57" spans="1:15" ht="66" x14ac:dyDescent="0.3">
      <c r="A57" s="2" t="s">
        <v>29</v>
      </c>
      <c r="B57" s="2" t="s">
        <v>1910</v>
      </c>
      <c r="C57" s="2" t="s">
        <v>1911</v>
      </c>
      <c r="D57" s="2" t="s">
        <v>1912</v>
      </c>
      <c r="E57" s="2" t="str">
        <f>HYPERLINK("http://twitter.com/DougRobersonAJC")</f>
        <v>http://twitter.com/DougRobersonAJC</v>
      </c>
      <c r="F57" s="2" t="str">
        <f>HYPERLINK("https://muckrack.com/doug-roberson")</f>
        <v>https://muckrack.com/doug-roberson</v>
      </c>
      <c r="G57" s="2">
        <v>16740</v>
      </c>
      <c r="H57" s="2" t="s">
        <v>1913</v>
      </c>
      <c r="I57" s="2" t="s">
        <v>1914</v>
      </c>
      <c r="J57" s="2" t="s">
        <v>1915</v>
      </c>
      <c r="K57" s="2" t="s">
        <v>30</v>
      </c>
      <c r="L57" s="2" t="s">
        <v>2058</v>
      </c>
      <c r="M57" s="5">
        <v>45565.577361111107</v>
      </c>
      <c r="N57" s="2" t="str">
        <f>HYPERLINK("http://twitter.com/DougRobersonAJC/status/1840811697956622342")</f>
        <v>http://twitter.com/DougRobersonAJC/status/1840811697956622342</v>
      </c>
      <c r="O57" s="2" t="str">
        <f>HYPERLINK("https://www.ajc.com/sports/atlanta-united/atlanta-united-could-use-production-from-left-wing/CO2IGDZZWJBBVLB756RPX4CGN4/")</f>
        <v>https://www.ajc.com/sports/atlanta-united/atlanta-united-could-use-production-from-left-wing/CO2IGDZZWJBBVLB756RPX4CGN4/</v>
      </c>
    </row>
    <row r="58" spans="1:15" ht="66" x14ac:dyDescent="0.3">
      <c r="A58" s="2" t="s">
        <v>29</v>
      </c>
      <c r="B58" s="2" t="s">
        <v>1910</v>
      </c>
      <c r="C58" s="2" t="s">
        <v>1911</v>
      </c>
      <c r="D58" s="2" t="s">
        <v>1912</v>
      </c>
      <c r="E58" s="2" t="str">
        <f>HYPERLINK("http://twitter.com/DougRobersonAJC")</f>
        <v>http://twitter.com/DougRobersonAJC</v>
      </c>
      <c r="F58" s="2" t="str">
        <f>HYPERLINK("https://muckrack.com/doug-roberson")</f>
        <v>https://muckrack.com/doug-roberson</v>
      </c>
      <c r="G58" s="2">
        <v>16740</v>
      </c>
      <c r="H58" s="2" t="s">
        <v>1913</v>
      </c>
      <c r="I58" s="2" t="s">
        <v>1914</v>
      </c>
      <c r="J58" s="2" t="s">
        <v>1915</v>
      </c>
      <c r="K58" s="2" t="s">
        <v>30</v>
      </c>
      <c r="L58" s="2" t="s">
        <v>2059</v>
      </c>
      <c r="M58" s="5">
        <v>45563.918946759259</v>
      </c>
      <c r="N58" s="2" t="str">
        <f>HYPERLINK("http://twitter.com/DougRobersonAJC/status/1840210712301363464")</f>
        <v>http://twitter.com/DougRobersonAJC/status/1840210712301363464</v>
      </c>
      <c r="O58" s="2" t="str">
        <f>HYPERLINK("https://www.ajc.com/sports/atlanta-united/atlanta-united-fails-to-make-up-ground-with-draw-at-philadelphia/OYAEYXBOCZA57FGBXB46MHMIGE/")</f>
        <v>https://www.ajc.com/sports/atlanta-united/atlanta-united-fails-to-make-up-ground-with-draw-at-philadelphia/OYAEYXBOCZA57FGBXB46MHMIGE/</v>
      </c>
    </row>
    <row r="59" spans="1:15" ht="66" x14ac:dyDescent="0.3">
      <c r="A59" s="2" t="s">
        <v>29</v>
      </c>
      <c r="B59" s="2" t="s">
        <v>1910</v>
      </c>
      <c r="C59" s="2" t="s">
        <v>1911</v>
      </c>
      <c r="D59" s="2" t="s">
        <v>1912</v>
      </c>
      <c r="E59" s="2" t="str">
        <f>HYPERLINK("http://twitter.com/DougRobersonAJC")</f>
        <v>http://twitter.com/DougRobersonAJC</v>
      </c>
      <c r="F59" s="2" t="str">
        <f>HYPERLINK("https://muckrack.com/doug-roberson")</f>
        <v>https://muckrack.com/doug-roberson</v>
      </c>
      <c r="G59" s="2">
        <v>16740</v>
      </c>
      <c r="H59" s="2" t="s">
        <v>1913</v>
      </c>
      <c r="I59" s="2" t="s">
        <v>1914</v>
      </c>
      <c r="J59" s="2" t="s">
        <v>1915</v>
      </c>
      <c r="K59" s="2" t="s">
        <v>30</v>
      </c>
      <c r="L59" s="2" t="s">
        <v>2060</v>
      </c>
      <c r="M59" s="5">
        <v>45563.78496527778</v>
      </c>
      <c r="N59" s="2" t="str">
        <f>HYPERLINK("http://twitter.com/DougRobersonAJC/status/1840162155804409989")</f>
        <v>http://twitter.com/DougRobersonAJC/status/1840162155804409989</v>
      </c>
      <c r="O59" s="2" t="str">
        <f>HYPERLINK("https://www.ajc.com/sports/atlanta-united/atlanta-among-cities-that-will-host-club-world-cup/H6EQ7TEECJHG5ICJPHYCVWG7RM/")</f>
        <v>https://www.ajc.com/sports/atlanta-united/atlanta-among-cities-that-will-host-club-world-cup/H6EQ7TEECJHG5ICJPHYCVWG7RM/</v>
      </c>
    </row>
    <row r="60" spans="1:15" ht="79.2" x14ac:dyDescent="0.3">
      <c r="A60" s="2" t="s">
        <v>267</v>
      </c>
      <c r="B60" s="2" t="s">
        <v>2061</v>
      </c>
      <c r="C60" s="2" t="s">
        <v>2062</v>
      </c>
      <c r="D60" s="2" t="s">
        <v>2063</v>
      </c>
      <c r="E60" s="2" t="str">
        <f>HYPERLINK("http://twitter.com/MickeyShuey")</f>
        <v>http://twitter.com/MickeyShuey</v>
      </c>
      <c r="F60" s="2" t="str">
        <f>HYPERLINK("https://muckrack.com/mickeyshuey")</f>
        <v>https://muckrack.com/mickeyshuey</v>
      </c>
      <c r="G60" s="2">
        <v>1868</v>
      </c>
      <c r="H60" s="2" t="s">
        <v>1972</v>
      </c>
      <c r="I60" s="2" t="s">
        <v>2064</v>
      </c>
      <c r="J60" s="2" t="s">
        <v>2065</v>
      </c>
      <c r="K60" s="2" t="s">
        <v>268</v>
      </c>
      <c r="L60" s="2" t="s">
        <v>2066</v>
      </c>
      <c r="M60" s="5">
        <v>45562.703067129631</v>
      </c>
      <c r="N60" s="2" t="str">
        <f>HYPERLINK("http://twitter.com/MickeyShuey/status/1839770091795427551")</f>
        <v>http://twitter.com/MickeyShuey/status/1839770091795427551</v>
      </c>
      <c r="O60" s="2" t="str">
        <f>HYPERLINK("https://www.ibj.com/articles/noblesville-westfield-lead-the-effort-for-sports-district-changes")</f>
        <v>https://www.ibj.com/articles/noblesville-westfield-lead-the-effort-for-sports-district-changes</v>
      </c>
    </row>
    <row r="61" spans="1:15" ht="52.8" x14ac:dyDescent="0.3">
      <c r="A61" s="2" t="s">
        <v>29</v>
      </c>
      <c r="B61" s="2" t="s">
        <v>1910</v>
      </c>
      <c r="C61" s="2" t="s">
        <v>1911</v>
      </c>
      <c r="D61" s="2" t="s">
        <v>1912</v>
      </c>
      <c r="E61" s="2" t="str">
        <f>HYPERLINK("http://twitter.com/DougRobersonAJC")</f>
        <v>http://twitter.com/DougRobersonAJC</v>
      </c>
      <c r="F61" s="2" t="str">
        <f>HYPERLINK("https://muckrack.com/doug-roberson")</f>
        <v>https://muckrack.com/doug-roberson</v>
      </c>
      <c r="G61" s="2">
        <v>16740</v>
      </c>
      <c r="H61" s="2" t="s">
        <v>1913</v>
      </c>
      <c r="I61" s="2" t="s">
        <v>1914</v>
      </c>
      <c r="J61" s="2" t="s">
        <v>1915</v>
      </c>
      <c r="K61" s="2" t="s">
        <v>30</v>
      </c>
      <c r="L61" s="2" t="s">
        <v>2067</v>
      </c>
      <c r="M61" s="5">
        <v>45562.524652777778</v>
      </c>
      <c r="N61" s="2" t="str">
        <f>HYPERLINK("http://twitter.com/DougRobersonAJC/status/1839705436229886397")</f>
        <v>http://twitter.com/DougRobersonAJC/status/1839705436229886397</v>
      </c>
      <c r="O61" s="2" t="str">
        <f>HYPERLINK("https://www.ajc.com/sports/atlanta-united/info-to-know-atlanta-united-at-philadelphia/2AUN7O4NEREZJMPV7VVCZG2KVI/")</f>
        <v>https://www.ajc.com/sports/atlanta-united/info-to-know-atlanta-united-at-philadelphia/2AUN7O4NEREZJMPV7VVCZG2KVI/</v>
      </c>
    </row>
    <row r="62" spans="1:15" ht="105.6" x14ac:dyDescent="0.3">
      <c r="A62" s="2" t="s">
        <v>272</v>
      </c>
      <c r="B62" s="2" t="s">
        <v>2068</v>
      </c>
      <c r="C62" s="2"/>
      <c r="D62" s="2" t="s">
        <v>2069</v>
      </c>
      <c r="E62" s="2" t="str">
        <f>HYPERLINK("http://twitter.com/jeffrueter")</f>
        <v>http://twitter.com/jeffrueter</v>
      </c>
      <c r="F62" s="2" t="str">
        <f>HYPERLINK("https://muckrack.com/jeffrueter")</f>
        <v>https://muckrack.com/jeffrueter</v>
      </c>
      <c r="G62" s="2">
        <v>16090</v>
      </c>
      <c r="H62" s="2" t="s">
        <v>2070</v>
      </c>
      <c r="I62" s="2" t="s">
        <v>2071</v>
      </c>
      <c r="J62" s="2" t="s">
        <v>2033</v>
      </c>
      <c r="K62" s="2" t="s">
        <v>1565</v>
      </c>
      <c r="L62" s="2" t="s">
        <v>2072</v>
      </c>
      <c r="M62" s="5">
        <v>45561.740439814806</v>
      </c>
      <c r="N62" s="2" t="str">
        <f>HYPERLINK("http://twitter.com/jeffrueter/status/1839421245684912472")</f>
        <v>http://twitter.com/jeffrueter/status/1839421245684912472</v>
      </c>
      <c r="O62" s="2" t="str">
        <f>HYPERLINK("https://www.nytimes.com/athletic/5797535/2024/09/26/us-open-cup-mls-ussf-usl-tournament/")</f>
        <v>https://www.nytimes.com/athletic/5797535/2024/09/26/us-open-cup-mls-ussf-usl-tournament/</v>
      </c>
    </row>
    <row r="63" spans="1:15" ht="79.2" x14ac:dyDescent="0.3">
      <c r="A63" s="2" t="s">
        <v>273</v>
      </c>
      <c r="B63" s="2" t="s">
        <v>2073</v>
      </c>
      <c r="C63" s="2"/>
      <c r="D63" s="2" t="s">
        <v>2074</v>
      </c>
      <c r="E63" s="2" t="str">
        <f>HYPERLINK("http://twitter.com/bethlimb")</f>
        <v>http://twitter.com/bethlimb</v>
      </c>
      <c r="F63" s="2" t="str">
        <f>HYPERLINK("https://muckrack.com/bethany-limb")</f>
        <v>https://muckrack.com/bethany-limb</v>
      </c>
      <c r="G63" s="2">
        <v>1624</v>
      </c>
      <c r="H63" s="2" t="s">
        <v>2075</v>
      </c>
      <c r="I63" s="2" t="s">
        <v>2076</v>
      </c>
      <c r="J63" s="2" t="s">
        <v>2077</v>
      </c>
      <c r="K63" s="2" t="s">
        <v>2034</v>
      </c>
      <c r="L63" s="2" t="s">
        <v>2078</v>
      </c>
      <c r="M63" s="5">
        <v>45561.708877314813</v>
      </c>
      <c r="N63" s="2" t="str">
        <f>HYPERLINK("http://twitter.com/bethlimb/status/1839409809000628501")</f>
        <v>http://twitter.com/bethlimb/status/1839409809000628501</v>
      </c>
      <c r="O63" s="2" t="str">
        <f>HYPERLINK("https://bethlimb.medium.com/usl-championship-data-analysis-e48f8acd539c")</f>
        <v>https://bethlimb.medium.com/usl-championship-data-analysis-e48f8acd539c</v>
      </c>
    </row>
    <row r="64" spans="1:15" ht="105.6" x14ac:dyDescent="0.3">
      <c r="A64" s="2" t="s">
        <v>273</v>
      </c>
      <c r="B64" s="2" t="s">
        <v>2073</v>
      </c>
      <c r="C64" s="2"/>
      <c r="D64" s="2" t="s">
        <v>2074</v>
      </c>
      <c r="E64" s="2" t="str">
        <f>HYPERLINK("http://twitter.com/bethlimb")</f>
        <v>http://twitter.com/bethlimb</v>
      </c>
      <c r="F64" s="2" t="str">
        <f>HYPERLINK("https://muckrack.com/bethany-limb")</f>
        <v>https://muckrack.com/bethany-limb</v>
      </c>
      <c r="G64" s="2">
        <v>1624</v>
      </c>
      <c r="H64" s="2" t="s">
        <v>2075</v>
      </c>
      <c r="I64" s="2" t="s">
        <v>2076</v>
      </c>
      <c r="J64" s="2" t="s">
        <v>2077</v>
      </c>
      <c r="K64" s="2" t="s">
        <v>2034</v>
      </c>
      <c r="L64" s="2" t="s">
        <v>2079</v>
      </c>
      <c r="M64" s="5">
        <v>45562.239583333343</v>
      </c>
      <c r="N64" s="2" t="str">
        <f>HYPERLINK("http://twitter.com/bethlimb/status/1839602128874024969")</f>
        <v>http://twitter.com/bethlimb/status/1839602128874024969</v>
      </c>
      <c r="O64" s="2" t="str">
        <f>HYPERLINK("https://bethlimb.medium.com/usl-championship-data-analysis-e48f8acd539c")</f>
        <v>https://bethlimb.medium.com/usl-championship-data-analysis-e48f8acd539c</v>
      </c>
    </row>
    <row r="65" spans="1:15" ht="39.6" x14ac:dyDescent="0.3">
      <c r="A65" s="2" t="s">
        <v>273</v>
      </c>
      <c r="B65" s="2" t="s">
        <v>2073</v>
      </c>
      <c r="C65" s="2"/>
      <c r="D65" s="2" t="s">
        <v>2074</v>
      </c>
      <c r="E65" s="2" t="str">
        <f>HYPERLINK("http://twitter.com/bethlimb")</f>
        <v>http://twitter.com/bethlimb</v>
      </c>
      <c r="F65" s="2" t="str">
        <f>HYPERLINK("https://muckrack.com/bethany-limb")</f>
        <v>https://muckrack.com/bethany-limb</v>
      </c>
      <c r="G65" s="2">
        <v>1624</v>
      </c>
      <c r="H65" s="2" t="s">
        <v>2075</v>
      </c>
      <c r="I65" s="2" t="s">
        <v>2076</v>
      </c>
      <c r="J65" s="2" t="s">
        <v>2077</v>
      </c>
      <c r="K65" s="2" t="s">
        <v>2034</v>
      </c>
      <c r="L65" s="2" t="s">
        <v>2080</v>
      </c>
      <c r="M65" s="5">
        <v>45579.296527777777</v>
      </c>
      <c r="N65" s="2" t="str">
        <f>HYPERLINK("http://twitter.com/bethlimb/status/1845783358909116696")</f>
        <v>http://twitter.com/bethlimb/status/1845783358909116696</v>
      </c>
      <c r="O65" s="2" t="str">
        <f>HYPERLINK("https://bethlimb.medium.com/usl-championship-data-analysis-e48f8acd539c")</f>
        <v>https://bethlimb.medium.com/usl-championship-data-analysis-e48f8acd539c</v>
      </c>
    </row>
    <row r="66" spans="1:15" ht="39.6" x14ac:dyDescent="0.3">
      <c r="A66" s="2" t="s">
        <v>273</v>
      </c>
      <c r="B66" s="2" t="s">
        <v>2073</v>
      </c>
      <c r="C66" s="2"/>
      <c r="D66" s="2" t="s">
        <v>2074</v>
      </c>
      <c r="E66" s="2" t="str">
        <f>HYPERLINK("http://twitter.com/bethlimb")</f>
        <v>http://twitter.com/bethlimb</v>
      </c>
      <c r="F66" s="2" t="str">
        <f>HYPERLINK("https://muckrack.com/bethany-limb")</f>
        <v>https://muckrack.com/bethany-limb</v>
      </c>
      <c r="G66" s="2">
        <v>1624</v>
      </c>
      <c r="H66" s="2" t="s">
        <v>2075</v>
      </c>
      <c r="I66" s="2" t="s">
        <v>2076</v>
      </c>
      <c r="J66" s="2" t="s">
        <v>2077</v>
      </c>
      <c r="K66" s="2" t="s">
        <v>2034</v>
      </c>
      <c r="L66" s="2" t="s">
        <v>2081</v>
      </c>
      <c r="M66" s="5">
        <v>45683.747939814813</v>
      </c>
      <c r="N66" s="2" t="str">
        <f>HYPERLINK("http://twitter.com/bethlimb/status/1883650382372757814")</f>
        <v>http://twitter.com/bethlimb/status/1883650382372757814</v>
      </c>
      <c r="O66" s="2" t="str">
        <f>HYPERLINK("https://bethlimb.medium.com/usl-championship-data-analysis-e48f8acd539c")</f>
        <v>https://bethlimb.medium.com/usl-championship-data-analysis-e48f8acd539c</v>
      </c>
    </row>
    <row r="67" spans="1:15" ht="79.2" x14ac:dyDescent="0.3">
      <c r="A67" s="2" t="s">
        <v>29</v>
      </c>
      <c r="B67" s="2" t="s">
        <v>1910</v>
      </c>
      <c r="C67" s="2" t="s">
        <v>1911</v>
      </c>
      <c r="D67" s="2" t="s">
        <v>1912</v>
      </c>
      <c r="E67" s="2" t="str">
        <f>HYPERLINK("http://twitter.com/DougRobersonAJC")</f>
        <v>http://twitter.com/DougRobersonAJC</v>
      </c>
      <c r="F67" s="2" t="str">
        <f>HYPERLINK("https://muckrack.com/doug-roberson")</f>
        <v>https://muckrack.com/doug-roberson</v>
      </c>
      <c r="G67" s="2">
        <v>16740</v>
      </c>
      <c r="H67" s="2" t="s">
        <v>1913</v>
      </c>
      <c r="I67" s="2" t="s">
        <v>1914</v>
      </c>
      <c r="J67" s="2" t="s">
        <v>1915</v>
      </c>
      <c r="K67" s="2" t="s">
        <v>30</v>
      </c>
      <c r="L67" s="2" t="s">
        <v>2082</v>
      </c>
      <c r="M67" s="5">
        <v>45561.621666666673</v>
      </c>
      <c r="N67" s="2" t="str">
        <f>HYPERLINK("http://twitter.com/DougRobersonAJC/status/1839378206073532475")</f>
        <v>http://twitter.com/DougRobersonAJC/status/1839378206073532475</v>
      </c>
      <c r="O67" s="2" t="str">
        <f>HYPERLINK("https://www.ajc.com/sports/atlanta-united/southern-fried-soccer-previewing-atlanta-uniteds-most-important-match-this-season/5UY25B2JXBGJ7IREMGN2EHMEHY/")</f>
        <v>https://www.ajc.com/sports/atlanta-united/southern-fried-soccer-previewing-atlanta-uniteds-most-important-match-this-season/5UY25B2JXBGJ7IREMGN2EHMEHY/</v>
      </c>
    </row>
    <row r="68" spans="1:15" ht="79.2" x14ac:dyDescent="0.3">
      <c r="A68" s="2" t="s">
        <v>29</v>
      </c>
      <c r="B68" s="2" t="s">
        <v>1910</v>
      </c>
      <c r="C68" s="2" t="s">
        <v>1911</v>
      </c>
      <c r="D68" s="2" t="s">
        <v>1912</v>
      </c>
      <c r="E68" s="2" t="str">
        <f>HYPERLINK("http://twitter.com/DougRobersonAJC")</f>
        <v>http://twitter.com/DougRobersonAJC</v>
      </c>
      <c r="F68" s="2" t="str">
        <f>HYPERLINK("https://muckrack.com/doug-roberson")</f>
        <v>https://muckrack.com/doug-roberson</v>
      </c>
      <c r="G68" s="2">
        <v>16740</v>
      </c>
      <c r="H68" s="2" t="s">
        <v>1913</v>
      </c>
      <c r="I68" s="2" t="s">
        <v>1914</v>
      </c>
      <c r="J68" s="2" t="s">
        <v>1915</v>
      </c>
      <c r="K68" s="2" t="s">
        <v>30</v>
      </c>
      <c r="L68" s="2" t="s">
        <v>2083</v>
      </c>
      <c r="M68" s="5">
        <v>45561.566145833327</v>
      </c>
      <c r="N68" s="2" t="str">
        <f>HYPERLINK("http://twitter.com/DougRobersonAJC/status/1839358085716140236")</f>
        <v>http://twitter.com/DougRobersonAJC/status/1839358085716140236</v>
      </c>
      <c r="O68" s="2" t="str">
        <f>HYPERLINK("https://www.ajc.com/sports/atlanta-united/atlanta-united-has-backup-flight-plan-to-philadelphia-amid-hurricane-helene/ADVRYZDNTNFPLBOWLFPXGYI2JA/")</f>
        <v>https://www.ajc.com/sports/atlanta-united/atlanta-united-has-backup-flight-plan-to-philadelphia-amid-hurricane-helene/ADVRYZDNTNFPLBOWLFPXGYI2JA/</v>
      </c>
    </row>
    <row r="69" spans="1:15" ht="79.2" x14ac:dyDescent="0.3">
      <c r="A69" s="2" t="s">
        <v>2084</v>
      </c>
      <c r="B69" s="2" t="s">
        <v>2085</v>
      </c>
      <c r="C69" s="2" t="s">
        <v>2086</v>
      </c>
      <c r="D69" s="2" t="s">
        <v>2087</v>
      </c>
      <c r="E69" s="2" t="str">
        <f>HYPERLINK("http://twitter.com/atlairportnews")</f>
        <v>http://twitter.com/atlairportnews</v>
      </c>
      <c r="F69" s="2" t="str">
        <f>HYPERLINK("https://muckrack.com/atlairportnews")</f>
        <v>https://muckrack.com/atlairportnews</v>
      </c>
      <c r="G69" s="2">
        <v>4613</v>
      </c>
      <c r="H69" s="2" t="s">
        <v>1913</v>
      </c>
      <c r="I69" s="2" t="s">
        <v>2088</v>
      </c>
      <c r="J69" s="2" t="s">
        <v>2089</v>
      </c>
      <c r="K69" s="2" t="s">
        <v>30</v>
      </c>
      <c r="L69" s="2" t="s">
        <v>2090</v>
      </c>
      <c r="M69" s="5">
        <v>45561.74490740741</v>
      </c>
      <c r="N69" s="2" t="str">
        <f>HYPERLINK("http://twitter.com/atlairportnews/status/1839422863587397831")</f>
        <v>http://twitter.com/atlairportnews/status/1839422863587397831</v>
      </c>
      <c r="O69" s="2" t="str">
        <f>HYPERLINK("https://www.ajc.com/sports/atlanta-united/atlanta-united-has-backup-flight-plan-to-philadelphia-amid-hurricane-helene/ADVRYZDNTNFPLBOWLFPXGYI2JA/")</f>
        <v>https://www.ajc.com/sports/atlanta-united/atlanta-united-has-backup-flight-plan-to-philadelphia-amid-hurricane-helene/ADVRYZDNTNFPLBOWLFPXGYI2JA/</v>
      </c>
    </row>
    <row r="70" spans="1:15" ht="52.8" x14ac:dyDescent="0.3">
      <c r="A70" s="2" t="s">
        <v>278</v>
      </c>
      <c r="B70" s="2" t="s">
        <v>2091</v>
      </c>
      <c r="C70" s="2" t="s">
        <v>2092</v>
      </c>
      <c r="D70" s="2" t="s">
        <v>2093</v>
      </c>
      <c r="E70" s="2" t="str">
        <f>HYPERLINK("http://twitter.com/jimreineking")</f>
        <v>http://twitter.com/jimreineking</v>
      </c>
      <c r="F70" s="2" t="str">
        <f>HYPERLINK("https://muckrack.com/jim-reineking")</f>
        <v>https://muckrack.com/jim-reineking</v>
      </c>
      <c r="G70" s="2">
        <v>1912</v>
      </c>
      <c r="H70" s="2"/>
      <c r="I70" s="2" t="s">
        <v>2094</v>
      </c>
      <c r="J70" s="2" t="s">
        <v>2095</v>
      </c>
      <c r="K70" s="2" t="s">
        <v>280</v>
      </c>
      <c r="L70" s="2" t="s">
        <v>2096</v>
      </c>
      <c r="M70" s="5">
        <v>45560.68236111111</v>
      </c>
      <c r="N70" s="2" t="str">
        <f>HYPERLINK("http://twitter.com/jimreineking/status/1839037810269168021")</f>
        <v>http://twitter.com/jimreineking/status/1839037810269168021</v>
      </c>
      <c r="O70" s="2" t="str">
        <f>HYPERLINK("https://www.usatoday.com/story/sports/soccer/2024/09/25/us-open-cup-final-lafc-sporting-kc/75357961007/")</f>
        <v>https://www.usatoday.com/story/sports/soccer/2024/09/25/us-open-cup-final-lafc-sporting-kc/75357961007/</v>
      </c>
    </row>
    <row r="71" spans="1:15" ht="118.8" x14ac:dyDescent="0.3">
      <c r="A71" s="2" t="s">
        <v>288</v>
      </c>
      <c r="B71" s="2" t="s">
        <v>2061</v>
      </c>
      <c r="C71" s="2"/>
      <c r="D71" s="2" t="s">
        <v>2097</v>
      </c>
      <c r="E71" s="2" t="str">
        <f>HYPERLINK("http://twitter.com/tombogert")</f>
        <v>http://twitter.com/tombogert</v>
      </c>
      <c r="F71" s="2" t="str">
        <f>HYPERLINK("https://muckrack.com/tom-bogert")</f>
        <v>https://muckrack.com/tom-bogert</v>
      </c>
      <c r="G71" s="2">
        <v>95272</v>
      </c>
      <c r="H71" s="2"/>
      <c r="I71" s="2" t="s">
        <v>2098</v>
      </c>
      <c r="J71" s="2" t="s">
        <v>2033</v>
      </c>
      <c r="K71" s="2" t="s">
        <v>277</v>
      </c>
      <c r="L71" s="2" t="s">
        <v>2099</v>
      </c>
      <c r="M71" s="5">
        <v>45559.667372685188</v>
      </c>
      <c r="N71" s="2" t="str">
        <f>HYPERLINK("http://twitter.com/tombogert/status/1838669990683382159")</f>
        <v>http://twitter.com/tombogert/status/1838669990683382159</v>
      </c>
      <c r="O71" s="2" t="str">
        <f>HYPERLINK("https://www.givemesport.com/future-us-open-cup-2024-final-mls-teams-tournament/")</f>
        <v>https://www.givemesport.com/future-us-open-cup-2024-final-mls-teams-tournament/</v>
      </c>
    </row>
    <row r="72" spans="1:15" ht="105.6" x14ac:dyDescent="0.3">
      <c r="A72" s="2" t="s">
        <v>288</v>
      </c>
      <c r="B72" s="2" t="s">
        <v>2061</v>
      </c>
      <c r="C72" s="2"/>
      <c r="D72" s="2" t="s">
        <v>2097</v>
      </c>
      <c r="E72" s="2" t="str">
        <f>HYPERLINK("http://twitter.com/tombogert")</f>
        <v>http://twitter.com/tombogert</v>
      </c>
      <c r="F72" s="2" t="str">
        <f>HYPERLINK("https://muckrack.com/tom-bogert")</f>
        <v>https://muckrack.com/tom-bogert</v>
      </c>
      <c r="G72" s="2">
        <v>95272</v>
      </c>
      <c r="H72" s="2"/>
      <c r="I72" s="2" t="s">
        <v>2098</v>
      </c>
      <c r="J72" s="2" t="s">
        <v>2033</v>
      </c>
      <c r="K72" s="2" t="s">
        <v>277</v>
      </c>
      <c r="L72" s="2" t="s">
        <v>2100</v>
      </c>
      <c r="M72" s="5">
        <v>45559.667916666673</v>
      </c>
      <c r="N72" s="2" t="str">
        <f>HYPERLINK("http://twitter.com/tombogert/status/1838670187396239402")</f>
        <v>http://twitter.com/tombogert/status/1838670187396239402</v>
      </c>
      <c r="O72" s="2" t="str">
        <f>HYPERLINK("https://www.givemesport.com/future-us-open-cup-2024-final-mls-teams-tournament/")</f>
        <v>https://www.givemesport.com/future-us-open-cup-2024-final-mls-teams-tournament/</v>
      </c>
    </row>
    <row r="73" spans="1:15" ht="66" x14ac:dyDescent="0.3">
      <c r="A73" s="2" t="s">
        <v>29</v>
      </c>
      <c r="B73" s="2" t="s">
        <v>1910</v>
      </c>
      <c r="C73" s="2" t="s">
        <v>1911</v>
      </c>
      <c r="D73" s="2" t="s">
        <v>1912</v>
      </c>
      <c r="E73" s="2" t="str">
        <f>HYPERLINK("http://twitter.com/DougRobersonAJC")</f>
        <v>http://twitter.com/DougRobersonAJC</v>
      </c>
      <c r="F73" s="2" t="str">
        <f>HYPERLINK("https://muckrack.com/doug-roberson")</f>
        <v>https://muckrack.com/doug-roberson</v>
      </c>
      <c r="G73" s="2">
        <v>16740</v>
      </c>
      <c r="H73" s="2" t="s">
        <v>1913</v>
      </c>
      <c r="I73" s="2" t="s">
        <v>1914</v>
      </c>
      <c r="J73" s="2" t="s">
        <v>1915</v>
      </c>
      <c r="K73" s="2" t="s">
        <v>30</v>
      </c>
      <c r="L73" s="2" t="s">
        <v>2101</v>
      </c>
      <c r="M73" s="5">
        <v>45559.584490740737</v>
      </c>
      <c r="N73" s="2" t="str">
        <f>HYPERLINK("http://twitter.com/DougRobersonAJC/status/1838639955423514954")</f>
        <v>http://twitter.com/DougRobersonAJC/status/1838639955423514954</v>
      </c>
      <c r="O73" s="2" t="str">
        <f>HYPERLINK("https://www.ajc.com/sports/atlanta-united/atlanta-uniteds-playoff-fight-has-a-relegation-feel/W6VLXQUK3NCLXICV54XDJAXH2A/")</f>
        <v>https://www.ajc.com/sports/atlanta-united/atlanta-uniteds-playoff-fight-has-a-relegation-feel/W6VLXQUK3NCLXICV54XDJAXH2A/</v>
      </c>
    </row>
    <row r="74" spans="1:15" ht="39.6" x14ac:dyDescent="0.3">
      <c r="A74" s="2" t="s">
        <v>2102</v>
      </c>
      <c r="B74" s="2" t="s">
        <v>2103</v>
      </c>
      <c r="C74" s="2" t="s">
        <v>2104</v>
      </c>
      <c r="D74" s="2" t="s">
        <v>2105</v>
      </c>
      <c r="E74" s="2" t="str">
        <f>HYPERLINK("http://twitter.com/HolyCitySinner")</f>
        <v>http://twitter.com/HolyCitySinner</v>
      </c>
      <c r="F74" s="2" t="str">
        <f>HYPERLINK("https://muckrack.com/christian-senger")</f>
        <v>https://muckrack.com/christian-senger</v>
      </c>
      <c r="G74" s="2">
        <v>61543</v>
      </c>
      <c r="H74" s="2" t="s">
        <v>2106</v>
      </c>
      <c r="I74" s="2" t="s">
        <v>2107</v>
      </c>
      <c r="J74" s="2" t="s">
        <v>2108</v>
      </c>
      <c r="K74" s="2" t="s">
        <v>2109</v>
      </c>
      <c r="L74" s="2" t="s">
        <v>2110</v>
      </c>
      <c r="M74" s="5">
        <v>45557.547222222223</v>
      </c>
      <c r="N74" s="2" t="str">
        <f>HYPERLINK("http://twitter.com/HolyCitySinner/status/1837901674008269325")</f>
        <v>http://twitter.com/HolyCitySinner/status/1837901674008269325</v>
      </c>
      <c r="O74" s="2" t="str">
        <f>HYPERLINK("https://holycitysinner.com/sports/battery-beat-rowdies-3-1-in-historic-night-markanich-sets-us/")</f>
        <v>https://holycitysinner.com/sports/battery-beat-rowdies-3-1-in-historic-night-markanich-sets-us/</v>
      </c>
    </row>
    <row r="75" spans="1:15" ht="39.6" x14ac:dyDescent="0.3">
      <c r="A75" s="2" t="s">
        <v>2102</v>
      </c>
      <c r="B75" s="2" t="s">
        <v>2103</v>
      </c>
      <c r="C75" s="2" t="s">
        <v>2104</v>
      </c>
      <c r="D75" s="2" t="s">
        <v>2105</v>
      </c>
      <c r="E75" s="2" t="str">
        <f>HYPERLINK("http://twitter.com/HolyCitySinner")</f>
        <v>http://twitter.com/HolyCitySinner</v>
      </c>
      <c r="F75" s="2" t="str">
        <f>HYPERLINK("https://muckrack.com/christian-senger")</f>
        <v>https://muckrack.com/christian-senger</v>
      </c>
      <c r="G75" s="2">
        <v>61543</v>
      </c>
      <c r="H75" s="2" t="s">
        <v>2106</v>
      </c>
      <c r="I75" s="2" t="s">
        <v>2107</v>
      </c>
      <c r="J75" s="2" t="s">
        <v>2108</v>
      </c>
      <c r="K75" s="2" t="s">
        <v>2109</v>
      </c>
      <c r="L75" s="2" t="s">
        <v>2111</v>
      </c>
      <c r="M75" s="5">
        <v>45557.772916666669</v>
      </c>
      <c r="N75" s="2" t="str">
        <f>HYPERLINK("http://twitter.com/HolyCitySinner/status/1837983462969467199")</f>
        <v>http://twitter.com/HolyCitySinner/status/1837983462969467199</v>
      </c>
      <c r="O75" s="2" t="str">
        <f>HYPERLINK("https://holycitysinner.com/sports/battery-beat-rowdies-3-1-in-historic-night-markanich-sets-us/")</f>
        <v>https://holycitysinner.com/sports/battery-beat-rowdies-3-1-in-historic-night-markanich-sets-us/</v>
      </c>
    </row>
    <row r="76" spans="1:15" ht="66" x14ac:dyDescent="0.3">
      <c r="A76" s="2" t="s">
        <v>29</v>
      </c>
      <c r="B76" s="2" t="s">
        <v>1910</v>
      </c>
      <c r="C76" s="2" t="s">
        <v>1911</v>
      </c>
      <c r="D76" s="2" t="s">
        <v>1912</v>
      </c>
      <c r="E76" s="2" t="str">
        <f>HYPERLINK("http://twitter.com/DougRobersonAJC")</f>
        <v>http://twitter.com/DougRobersonAJC</v>
      </c>
      <c r="F76" s="2" t="str">
        <f>HYPERLINK("https://muckrack.com/doug-roberson")</f>
        <v>https://muckrack.com/doug-roberson</v>
      </c>
      <c r="G76" s="2">
        <v>16740</v>
      </c>
      <c r="H76" s="2" t="s">
        <v>1913</v>
      </c>
      <c r="I76" s="2" t="s">
        <v>1914</v>
      </c>
      <c r="J76" s="2" t="s">
        <v>1915</v>
      </c>
      <c r="K76" s="2" t="s">
        <v>30</v>
      </c>
      <c r="L76" s="2" t="s">
        <v>2112</v>
      </c>
      <c r="M76" s="5">
        <v>45556.912627314807</v>
      </c>
      <c r="N76" s="2" t="str">
        <f>HYPERLINK("http://twitter.com/DougRobersonAJC/status/1837671706896322811")</f>
        <v>http://twitter.com/DougRobersonAJC/status/1837671706896322811</v>
      </c>
      <c r="O76" s="2" t="str">
        <f>HYPERLINK("https://www.ajc.com/sports/atlanta-united/crazy-final-minutes-result-in-atlanta-united-drawing-with-the-red-bulls/UECGMSJ3RZCPHN6WCGNHML46D4/")</f>
        <v>https://www.ajc.com/sports/atlanta-united/crazy-final-minutes-result-in-atlanta-united-drawing-with-the-red-bulls/UECGMSJ3RZCPHN6WCGNHML46D4/</v>
      </c>
    </row>
    <row r="77" spans="1:15" ht="66" x14ac:dyDescent="0.3">
      <c r="A77" s="2" t="s">
        <v>29</v>
      </c>
      <c r="B77" s="2" t="s">
        <v>1910</v>
      </c>
      <c r="C77" s="2" t="s">
        <v>1911</v>
      </c>
      <c r="D77" s="2" t="s">
        <v>1912</v>
      </c>
      <c r="E77" s="2" t="str">
        <f>HYPERLINK("http://twitter.com/DougRobersonAJC")</f>
        <v>http://twitter.com/DougRobersonAJC</v>
      </c>
      <c r="F77" s="2" t="str">
        <f>HYPERLINK("https://muckrack.com/doug-roberson")</f>
        <v>https://muckrack.com/doug-roberson</v>
      </c>
      <c r="G77" s="2">
        <v>16740</v>
      </c>
      <c r="H77" s="2" t="s">
        <v>1913</v>
      </c>
      <c r="I77" s="2" t="s">
        <v>1914</v>
      </c>
      <c r="J77" s="2" t="s">
        <v>1915</v>
      </c>
      <c r="K77" s="2" t="s">
        <v>30</v>
      </c>
      <c r="L77" s="2" t="s">
        <v>2113</v>
      </c>
      <c r="M77" s="5">
        <v>45556.943009259259</v>
      </c>
      <c r="N77" s="2" t="str">
        <f>HYPERLINK("http://twitter.com/DougRobersonAJC/status/1837682715434381742")</f>
        <v>http://twitter.com/DougRobersonAJC/status/1837682715434381742</v>
      </c>
      <c r="O77" s="2" t="str">
        <f>HYPERLINK("https://www.ajc.com/sports/atlanta-united/crazy-final-minutes-result-in-atlanta-united-drawing-with-the-red-bulls/UECGMSJ3RZCPHN6WCGNHML46D4/")</f>
        <v>https://www.ajc.com/sports/atlanta-united/crazy-final-minutes-result-in-atlanta-united-drawing-with-the-red-bulls/UECGMSJ3RZCPHN6WCGNHML46D4/</v>
      </c>
    </row>
    <row r="78" spans="1:15" ht="39.6" x14ac:dyDescent="0.3">
      <c r="A78" s="2" t="s">
        <v>2102</v>
      </c>
      <c r="B78" s="2" t="s">
        <v>2103</v>
      </c>
      <c r="C78" s="2" t="s">
        <v>2104</v>
      </c>
      <c r="D78" s="2" t="s">
        <v>2105</v>
      </c>
      <c r="E78" s="2" t="str">
        <f>HYPERLINK("http://twitter.com/HolyCitySinner")</f>
        <v>http://twitter.com/HolyCitySinner</v>
      </c>
      <c r="F78" s="2" t="str">
        <f>HYPERLINK("https://muckrack.com/christian-senger")</f>
        <v>https://muckrack.com/christian-senger</v>
      </c>
      <c r="G78" s="2">
        <v>61543</v>
      </c>
      <c r="H78" s="2" t="s">
        <v>2106</v>
      </c>
      <c r="I78" s="2" t="s">
        <v>2107</v>
      </c>
      <c r="J78" s="2" t="s">
        <v>2108</v>
      </c>
      <c r="K78" s="2" t="s">
        <v>2109</v>
      </c>
      <c r="L78" s="2" t="s">
        <v>2114</v>
      </c>
      <c r="M78" s="5">
        <v>45555.909722222219</v>
      </c>
      <c r="N78" s="2" t="str">
        <f>HYPERLINK("http://twitter.com/HolyCitySinner/status/1837308263773393228")</f>
        <v>http://twitter.com/HolyCitySinner/status/1837308263773393228</v>
      </c>
      <c r="O78" s="2" t="str">
        <f>HYPERLINK("https://holycitysinner.com/sports/saturday-derby-between-battery-rowdies-at-patriots-point/")</f>
        <v>https://holycitysinner.com/sports/saturday-derby-between-battery-rowdies-at-patriots-point/</v>
      </c>
    </row>
    <row r="79" spans="1:15" ht="39.6" x14ac:dyDescent="0.3">
      <c r="A79" s="2" t="s">
        <v>2102</v>
      </c>
      <c r="B79" s="2" t="s">
        <v>2103</v>
      </c>
      <c r="C79" s="2" t="s">
        <v>2104</v>
      </c>
      <c r="D79" s="2" t="s">
        <v>2105</v>
      </c>
      <c r="E79" s="2" t="str">
        <f>HYPERLINK("http://twitter.com/HolyCitySinner")</f>
        <v>http://twitter.com/HolyCitySinner</v>
      </c>
      <c r="F79" s="2" t="str">
        <f>HYPERLINK("https://muckrack.com/christian-senger")</f>
        <v>https://muckrack.com/christian-senger</v>
      </c>
      <c r="G79" s="2">
        <v>61543</v>
      </c>
      <c r="H79" s="2" t="s">
        <v>2106</v>
      </c>
      <c r="I79" s="2" t="s">
        <v>2107</v>
      </c>
      <c r="J79" s="2" t="s">
        <v>2108</v>
      </c>
      <c r="K79" s="2" t="s">
        <v>2109</v>
      </c>
      <c r="L79" s="2" t="s">
        <v>2115</v>
      </c>
      <c r="M79" s="5">
        <v>45556.62222222222</v>
      </c>
      <c r="N79" s="2" t="str">
        <f>HYPERLINK("http://twitter.com/HolyCitySinner/status/1837566464938659953")</f>
        <v>http://twitter.com/HolyCitySinner/status/1837566464938659953</v>
      </c>
      <c r="O79" s="2" t="str">
        <f>HYPERLINK("https://holycitysinner.com/sports/saturday-derby-between-battery-rowdies-at-patriots-point/")</f>
        <v>https://holycitysinner.com/sports/saturday-derby-between-battery-rowdies-at-patriots-point/</v>
      </c>
    </row>
    <row r="80" spans="1:15" ht="39.6" x14ac:dyDescent="0.3">
      <c r="A80" s="2" t="s">
        <v>2102</v>
      </c>
      <c r="B80" s="2" t="s">
        <v>2103</v>
      </c>
      <c r="C80" s="2" t="s">
        <v>2104</v>
      </c>
      <c r="D80" s="2" t="s">
        <v>2105</v>
      </c>
      <c r="E80" s="2" t="str">
        <f>HYPERLINK("http://twitter.com/HolyCitySinner")</f>
        <v>http://twitter.com/HolyCitySinner</v>
      </c>
      <c r="F80" s="2" t="str">
        <f>HYPERLINK("https://muckrack.com/christian-senger")</f>
        <v>https://muckrack.com/christian-senger</v>
      </c>
      <c r="G80" s="2">
        <v>61543</v>
      </c>
      <c r="H80" s="2" t="s">
        <v>2106</v>
      </c>
      <c r="I80" s="2" t="s">
        <v>2107</v>
      </c>
      <c r="J80" s="2" t="s">
        <v>2108</v>
      </c>
      <c r="K80" s="2" t="s">
        <v>2109</v>
      </c>
      <c r="L80" s="2" t="s">
        <v>2116</v>
      </c>
      <c r="M80" s="5">
        <v>45556.770833333343</v>
      </c>
      <c r="N80" s="2" t="str">
        <f>HYPERLINK("http://twitter.com/HolyCitySinner/status/1837620321181962653")</f>
        <v>http://twitter.com/HolyCitySinner/status/1837620321181962653</v>
      </c>
      <c r="O80" s="2" t="str">
        <f>HYPERLINK("https://holycitysinner.com/sports/saturday-derby-between-battery-rowdies-at-patriots-point/")</f>
        <v>https://holycitysinner.com/sports/saturday-derby-between-battery-rowdies-at-patriots-point/</v>
      </c>
    </row>
    <row r="81" spans="1:15" ht="66" x14ac:dyDescent="0.3">
      <c r="A81" s="2" t="s">
        <v>29</v>
      </c>
      <c r="B81" s="2" t="s">
        <v>1910</v>
      </c>
      <c r="C81" s="2" t="s">
        <v>1911</v>
      </c>
      <c r="D81" s="2" t="s">
        <v>1912</v>
      </c>
      <c r="E81" s="2" t="str">
        <f>HYPERLINK("http://twitter.com/DougRobersonAJC")</f>
        <v>http://twitter.com/DougRobersonAJC</v>
      </c>
      <c r="F81" s="2" t="str">
        <f>HYPERLINK("https://muckrack.com/doug-roberson")</f>
        <v>https://muckrack.com/doug-roberson</v>
      </c>
      <c r="G81" s="2">
        <v>16740</v>
      </c>
      <c r="H81" s="2" t="s">
        <v>1913</v>
      </c>
      <c r="I81" s="2" t="s">
        <v>1914</v>
      </c>
      <c r="J81" s="2" t="s">
        <v>1915</v>
      </c>
      <c r="K81" s="2" t="s">
        <v>30</v>
      </c>
      <c r="L81" s="2" t="s">
        <v>2117</v>
      </c>
      <c r="M81" s="5">
        <v>45553.950682870367</v>
      </c>
      <c r="N81" s="2" t="str">
        <f>HYPERLINK("http://twitter.com/DougRobersonAJC/status/1836598333378285627")</f>
        <v>http://twitter.com/DougRobersonAJC/status/1836598333378285627</v>
      </c>
      <c r="O81" s="2" t="str">
        <f>HYPERLINK("https://www.ajc.com/sports/atlanta-united/alexey-miranchuk-saves-atlanta-united-in-draw-with-inter-miami/CID6QHK6DNCDHDZZ65JAGKOAIY/")</f>
        <v>https://www.ajc.com/sports/atlanta-united/alexey-miranchuk-saves-atlanta-united-in-draw-with-inter-miami/CID6QHK6DNCDHDZZ65JAGKOAIY/</v>
      </c>
    </row>
    <row r="82" spans="1:15" ht="66" x14ac:dyDescent="0.3">
      <c r="A82" s="2" t="s">
        <v>29</v>
      </c>
      <c r="B82" s="2" t="s">
        <v>1910</v>
      </c>
      <c r="C82" s="2" t="s">
        <v>1911</v>
      </c>
      <c r="D82" s="2" t="s">
        <v>1912</v>
      </c>
      <c r="E82" s="2" t="str">
        <f>HYPERLINK("http://twitter.com/DougRobersonAJC")</f>
        <v>http://twitter.com/DougRobersonAJC</v>
      </c>
      <c r="F82" s="2" t="str">
        <f>HYPERLINK("https://muckrack.com/doug-roberson")</f>
        <v>https://muckrack.com/doug-roberson</v>
      </c>
      <c r="G82" s="2">
        <v>16740</v>
      </c>
      <c r="H82" s="2" t="s">
        <v>1913</v>
      </c>
      <c r="I82" s="2" t="s">
        <v>1914</v>
      </c>
      <c r="J82" s="2" t="s">
        <v>1915</v>
      </c>
      <c r="K82" s="2" t="s">
        <v>30</v>
      </c>
      <c r="L82" s="2" t="s">
        <v>2118</v>
      </c>
      <c r="M82" s="5">
        <v>45552.456018518518</v>
      </c>
      <c r="N82" s="2" t="str">
        <f>HYPERLINK("http://twitter.com/DougRobersonAJC/status/1836056684487160211")</f>
        <v>http://twitter.com/DougRobersonAJC/status/1836056684487160211</v>
      </c>
      <c r="O82" s="2" t="str">
        <f>HYPERLINK("https://www.ajc.com/sports/atlanta-united/info-to-know-atlanta-united-vs-inter-miami/6QQS44FRINAHXIMDKXIOANDVC4/")</f>
        <v>https://www.ajc.com/sports/atlanta-united/info-to-know-atlanta-united-vs-inter-miami/6QQS44FRINAHXIMDKXIOANDVC4/</v>
      </c>
    </row>
    <row r="83" spans="1:15" ht="66" x14ac:dyDescent="0.3">
      <c r="A83" s="2" t="s">
        <v>2119</v>
      </c>
      <c r="B83" s="2" t="s">
        <v>2120</v>
      </c>
      <c r="C83" s="2" t="s">
        <v>2121</v>
      </c>
      <c r="D83" s="2" t="s">
        <v>2122</v>
      </c>
      <c r="E83" s="2" t="str">
        <f>HYPERLINK("http://twitter.com/starwatchtim")</f>
        <v>http://twitter.com/starwatchtim</v>
      </c>
      <c r="F83" s="2" t="str">
        <f>HYPERLINK("https://muckrack.com/starwatchtim")</f>
        <v>https://muckrack.com/starwatchtim</v>
      </c>
      <c r="G83" s="2">
        <v>7285</v>
      </c>
      <c r="H83" s="2" t="s">
        <v>2123</v>
      </c>
      <c r="I83" s="2" t="s">
        <v>2124</v>
      </c>
      <c r="J83" s="2" t="s">
        <v>2125</v>
      </c>
      <c r="K83" s="2" t="s">
        <v>321</v>
      </c>
      <c r="L83" s="2" t="s">
        <v>2126</v>
      </c>
      <c r="M83" s="5">
        <v>45552.36037037037</v>
      </c>
      <c r="N83" s="2" t="str">
        <f>HYPERLINK("http://twitter.com/starwatchtim/status/1836022022956024230")</f>
        <v>http://twitter.com/starwatchtim/status/1836022022956024230</v>
      </c>
      <c r="O83" s="2" t="str">
        <f>HYPERLINK("https://www.indystar.com/story/news/local/indianapolis/2024/09/17/indy-steadfast-on-mls-stadium-plans-despite-suracks-hotel-purchase/75251667007/")</f>
        <v>https://www.indystar.com/story/news/local/indianapolis/2024/09/17/indy-steadfast-on-mls-stadium-plans-despite-suracks-hotel-purchase/75251667007/</v>
      </c>
    </row>
    <row r="84" spans="1:15" ht="66" x14ac:dyDescent="0.3">
      <c r="A84" s="2" t="s">
        <v>2119</v>
      </c>
      <c r="B84" s="2" t="s">
        <v>2120</v>
      </c>
      <c r="C84" s="2" t="s">
        <v>2121</v>
      </c>
      <c r="D84" s="2" t="s">
        <v>2122</v>
      </c>
      <c r="E84" s="2" t="str">
        <f>HYPERLINK("http://twitter.com/starwatchtim")</f>
        <v>http://twitter.com/starwatchtim</v>
      </c>
      <c r="F84" s="2" t="str">
        <f>HYPERLINK("https://muckrack.com/starwatchtim")</f>
        <v>https://muckrack.com/starwatchtim</v>
      </c>
      <c r="G84" s="2">
        <v>7285</v>
      </c>
      <c r="H84" s="2" t="s">
        <v>2123</v>
      </c>
      <c r="I84" s="2" t="s">
        <v>2124</v>
      </c>
      <c r="J84" s="2" t="s">
        <v>2125</v>
      </c>
      <c r="K84" s="2" t="s">
        <v>321</v>
      </c>
      <c r="L84" s="2" t="s">
        <v>2127</v>
      </c>
      <c r="M84" s="5">
        <v>45552.367662037039</v>
      </c>
      <c r="N84" s="2" t="str">
        <f>HYPERLINK("http://twitter.com/starwatchtim/status/1836024665896022342")</f>
        <v>http://twitter.com/starwatchtim/status/1836024665896022342</v>
      </c>
      <c r="O84" s="2" t="str">
        <f>HYPERLINK("https://www.indystar.com/story/news/local/indianapolis/2024/09/17/indy-steadfast-on-mls-stadium-plans-despite-suracks-hotel-purchase/75251667007/")</f>
        <v>https://www.indystar.com/story/news/local/indianapolis/2024/09/17/indy-steadfast-on-mls-stadium-plans-despite-suracks-hotel-purchase/75251667007/</v>
      </c>
    </row>
    <row r="85" spans="1:15" ht="66" x14ac:dyDescent="0.3">
      <c r="A85" s="2" t="s">
        <v>2128</v>
      </c>
      <c r="B85" s="2" t="s">
        <v>2129</v>
      </c>
      <c r="C85" s="2" t="s">
        <v>2130</v>
      </c>
      <c r="D85" s="2" t="s">
        <v>2131</v>
      </c>
      <c r="E85" s="2" t="str">
        <f>HYPERLINK("http://twitter.com/srudavsky")</f>
        <v>http://twitter.com/srudavsky</v>
      </c>
      <c r="F85" s="2" t="str">
        <f>HYPERLINK("https://muckrack.com/srudavsky")</f>
        <v>https://muckrack.com/srudavsky</v>
      </c>
      <c r="G85" s="2">
        <v>6405</v>
      </c>
      <c r="H85" s="2" t="s">
        <v>2132</v>
      </c>
      <c r="I85" s="2" t="s">
        <v>2133</v>
      </c>
      <c r="J85" s="2" t="s">
        <v>2134</v>
      </c>
      <c r="K85" s="2" t="s">
        <v>321</v>
      </c>
      <c r="L85" s="2" t="s">
        <v>2135</v>
      </c>
      <c r="M85" s="5">
        <v>45552.360891203702</v>
      </c>
      <c r="N85" s="2" t="str">
        <f>HYPERLINK("http://twitter.com/srudavsky/status/1836022209954910562")</f>
        <v>http://twitter.com/srudavsky/status/1836022209954910562</v>
      </c>
      <c r="O85" s="2" t="str">
        <f>HYPERLINK("https://www.indystar.com/story/news/local/indianapolis/2024/09/17/indy-steadfast-on-mls-stadium-plans-despite-suracks-hotel-purchase/75251667007/")</f>
        <v>https://www.indystar.com/story/news/local/indianapolis/2024/09/17/indy-steadfast-on-mls-stadium-plans-despite-suracks-hotel-purchase/75251667007/</v>
      </c>
    </row>
    <row r="86" spans="1:15" ht="66" x14ac:dyDescent="0.3">
      <c r="A86" s="2" t="s">
        <v>2136</v>
      </c>
      <c r="B86" s="2" t="s">
        <v>2137</v>
      </c>
      <c r="C86" s="2" t="s">
        <v>2138</v>
      </c>
      <c r="D86" s="2" t="s">
        <v>2139</v>
      </c>
      <c r="E86" s="2" t="str">
        <f>HYPERLINK("http://twitter.com/AlysaGuffeyNews")</f>
        <v>http://twitter.com/AlysaGuffeyNews</v>
      </c>
      <c r="F86" s="2" t="str">
        <f>HYPERLINK("https://muckrack.com/alysa-guffey")</f>
        <v>https://muckrack.com/alysa-guffey</v>
      </c>
      <c r="G86" s="2">
        <v>599</v>
      </c>
      <c r="H86" s="2" t="s">
        <v>1972</v>
      </c>
      <c r="I86" s="2" t="s">
        <v>2140</v>
      </c>
      <c r="J86" s="2" t="s">
        <v>2141</v>
      </c>
      <c r="K86" s="2" t="s">
        <v>321</v>
      </c>
      <c r="L86" s="2" t="s">
        <v>2126</v>
      </c>
      <c r="M86" s="5">
        <v>45552.442858796298</v>
      </c>
      <c r="N86" s="2" t="str">
        <f>HYPERLINK("http://twitter.com/AlysaGuffeyNews/status/1836051915840381067")</f>
        <v>http://twitter.com/AlysaGuffeyNews/status/1836051915840381067</v>
      </c>
      <c r="O86" s="2" t="str">
        <f>HYPERLINK("https://www.indystar.com/story/news/local/indianapolis/2024/09/17/indy-steadfast-on-mls-stadium-plans-despite-suracks-hotel-purchase/75251667007/")</f>
        <v>https://www.indystar.com/story/news/local/indianapolis/2024/09/17/indy-steadfast-on-mls-stadium-plans-despite-suracks-hotel-purchase/75251667007/</v>
      </c>
    </row>
    <row r="87" spans="1:15" ht="66" x14ac:dyDescent="0.3">
      <c r="A87" s="2" t="s">
        <v>29</v>
      </c>
      <c r="B87" s="2" t="s">
        <v>1910</v>
      </c>
      <c r="C87" s="2" t="s">
        <v>1911</v>
      </c>
      <c r="D87" s="2" t="s">
        <v>1912</v>
      </c>
      <c r="E87" s="2" t="str">
        <f>HYPERLINK("http://twitter.com/DougRobersonAJC")</f>
        <v>http://twitter.com/DougRobersonAJC</v>
      </c>
      <c r="F87" s="2" t="str">
        <f>HYPERLINK("https://muckrack.com/doug-roberson")</f>
        <v>https://muckrack.com/doug-roberson</v>
      </c>
      <c r="G87" s="2">
        <v>16740</v>
      </c>
      <c r="H87" s="2" t="s">
        <v>1913</v>
      </c>
      <c r="I87" s="2" t="s">
        <v>1914</v>
      </c>
      <c r="J87" s="2" t="s">
        <v>1915</v>
      </c>
      <c r="K87" s="2" t="s">
        <v>30</v>
      </c>
      <c r="L87" s="2" t="s">
        <v>2142</v>
      </c>
      <c r="M87" s="5">
        <v>45551.787430555552</v>
      </c>
      <c r="N87" s="2" t="str">
        <f>HYPERLINK("http://twitter.com/DougRobersonAJC/status/1835814394200006692")</f>
        <v>http://twitter.com/DougRobersonAJC/status/1835814394200006692</v>
      </c>
      <c r="O87" s="2" t="str">
        <f>HYPERLINK("https://www.ajc.com/sports/atlanta-united/accountability-may-include-playing-time-for-atlanta-united/AKFHQMP5FRDK3LJTW65J3CSHVM/")</f>
        <v>https://www.ajc.com/sports/atlanta-united/accountability-may-include-playing-time-for-atlanta-united/AKFHQMP5FRDK3LJTW65J3CSHVM/</v>
      </c>
    </row>
    <row r="88" spans="1:15" ht="66" x14ac:dyDescent="0.3">
      <c r="A88" s="2" t="s">
        <v>2143</v>
      </c>
      <c r="B88" s="2" t="s">
        <v>2144</v>
      </c>
      <c r="C88" s="2"/>
      <c r="D88" s="2" t="s">
        <v>2145</v>
      </c>
      <c r="E88" s="2" t="str">
        <f>HYPERLINK("http://twitter.com/sportsandra")</f>
        <v>http://twitter.com/sportsandra</v>
      </c>
      <c r="F88" s="2" t="str">
        <f>HYPERLINK("https://muckrack.com/sandra-golden-1")</f>
        <v>https://muckrack.com/sandra-golden-1</v>
      </c>
      <c r="G88" s="2">
        <v>24886</v>
      </c>
      <c r="H88" s="2" t="s">
        <v>2146</v>
      </c>
      <c r="I88" s="2" t="s">
        <v>2147</v>
      </c>
      <c r="J88" s="2" t="s">
        <v>2148</v>
      </c>
      <c r="K88" s="2" t="s">
        <v>2149</v>
      </c>
      <c r="L88" s="2" t="s">
        <v>2150</v>
      </c>
      <c r="M88" s="5">
        <v>45551.744641203702</v>
      </c>
      <c r="N88" s="2" t="str">
        <f>HYPERLINK("http://twitter.com/sportsandra/status/1835798891796595116")</f>
        <v>http://twitter.com/sportsandra/status/1835798891796595116</v>
      </c>
      <c r="O88" s="2" t="str">
        <f>HYPERLINK("https://www.ajc.com/sports/atlanta-united/atlanta-united-unveils-its-marta-collection/UNV3TMGDMZHDPCOY2Q2NHL5QQE/")</f>
        <v>https://www.ajc.com/sports/atlanta-united/atlanta-united-unveils-its-marta-collection/UNV3TMGDMZHDPCOY2Q2NHL5QQE/</v>
      </c>
    </row>
    <row r="89" spans="1:15" ht="39.6" x14ac:dyDescent="0.3">
      <c r="A89" s="2" t="s">
        <v>2151</v>
      </c>
      <c r="B89" s="2" t="s">
        <v>1949</v>
      </c>
      <c r="C89" s="2" t="s">
        <v>2152</v>
      </c>
      <c r="D89" s="2" t="s">
        <v>2153</v>
      </c>
      <c r="E89" s="2" t="str">
        <f>HYPERLINK("http://twitter.com/tonykatz")</f>
        <v>http://twitter.com/tonykatz</v>
      </c>
      <c r="F89" s="2" t="str">
        <f>HYPERLINK("https://muckrack.com/tony-katz")</f>
        <v>https://muckrack.com/tony-katz</v>
      </c>
      <c r="G89" s="2">
        <v>41898</v>
      </c>
      <c r="H89" s="2" t="s">
        <v>2154</v>
      </c>
      <c r="I89" s="2" t="s">
        <v>2155</v>
      </c>
      <c r="J89" s="2" t="s">
        <v>1954</v>
      </c>
      <c r="K89" s="2" t="s">
        <v>2156</v>
      </c>
      <c r="L89" s="2" t="s">
        <v>2157</v>
      </c>
      <c r="M89" s="5">
        <v>45551.442708333343</v>
      </c>
      <c r="N89" s="2" t="str">
        <f>HYPERLINK("http://twitter.com/tonykatz/status/1835689473775902897")</f>
        <v>http://twitter.com/tonykatz/status/1835689473775902897</v>
      </c>
      <c r="O89" s="2" t="str">
        <f>HYPERLINK("https://wibc.com/445554/sweetwaters-chuck-surack-dumps-cold-water-on-hogsetts-mls-stadium-plans/")</f>
        <v>https://wibc.com/445554/sweetwaters-chuck-surack-dumps-cold-water-on-hogsetts-mls-stadium-plans/</v>
      </c>
    </row>
    <row r="90" spans="1:15" ht="66" x14ac:dyDescent="0.3">
      <c r="A90" s="2" t="s">
        <v>29</v>
      </c>
      <c r="B90" s="2" t="s">
        <v>1910</v>
      </c>
      <c r="C90" s="2" t="s">
        <v>1911</v>
      </c>
      <c r="D90" s="2" t="s">
        <v>1912</v>
      </c>
      <c r="E90" s="2" t="str">
        <f>HYPERLINK("http://twitter.com/DougRobersonAJC")</f>
        <v>http://twitter.com/DougRobersonAJC</v>
      </c>
      <c r="F90" s="2" t="str">
        <f>HYPERLINK("https://muckrack.com/doug-roberson")</f>
        <v>https://muckrack.com/doug-roberson</v>
      </c>
      <c r="G90" s="2">
        <v>16740</v>
      </c>
      <c r="H90" s="2" t="s">
        <v>1913</v>
      </c>
      <c r="I90" s="2" t="s">
        <v>1914</v>
      </c>
      <c r="J90" s="2" t="s">
        <v>1915</v>
      </c>
      <c r="K90" s="2" t="s">
        <v>30</v>
      </c>
      <c r="L90" s="2" t="s">
        <v>2158</v>
      </c>
      <c r="M90" s="5">
        <v>45550.495324074072</v>
      </c>
      <c r="N90" s="2" t="str">
        <f>HYPERLINK("http://twitter.com/DougRobersonAJC/status/1835346150821367971")</f>
        <v>http://twitter.com/DougRobersonAJC/status/1835346150821367971</v>
      </c>
      <c r="O90" s="2" t="str">
        <f>HYPERLINK("https://www.ajc.com/sports/atlanta-united/southern-fried-soccer-nashville-2-atlanta-united-0/K25W335YKZFA5MRQMVKHFEX33E/")</f>
        <v>https://www.ajc.com/sports/atlanta-united/southern-fried-soccer-nashville-2-atlanta-united-0/K25W335YKZFA5MRQMVKHFEX33E/</v>
      </c>
    </row>
    <row r="91" spans="1:15" ht="39.6" x14ac:dyDescent="0.3">
      <c r="A91" s="2" t="s">
        <v>2159</v>
      </c>
      <c r="B91" s="2" t="s">
        <v>2024</v>
      </c>
      <c r="C91" s="2" t="s">
        <v>2160</v>
      </c>
      <c r="D91" s="2" t="s">
        <v>2161</v>
      </c>
      <c r="E91" s="2" t="str">
        <f>HYPERLINK("http://twitter.com/SamGuzmanTV")</f>
        <v>http://twitter.com/SamGuzmanTV</v>
      </c>
      <c r="F91" s="2" t="str">
        <f>HYPERLINK("https://muckrack.com/sam-guzman-1")</f>
        <v>https://muckrack.com/sam-guzman-1</v>
      </c>
      <c r="G91" s="2">
        <v>2786</v>
      </c>
      <c r="H91" s="2"/>
      <c r="I91" s="2" t="s">
        <v>2162</v>
      </c>
      <c r="J91" s="2" t="s">
        <v>2033</v>
      </c>
      <c r="K91" s="2" t="s">
        <v>334</v>
      </c>
      <c r="L91" s="2" t="s">
        <v>2163</v>
      </c>
      <c r="M91" s="5">
        <v>45550.043344907397</v>
      </c>
      <c r="N91" s="2" t="str">
        <f>HYPERLINK("http://twitter.com/SamGuzmanTV/status/1835182362528829672")</f>
        <v>http://twitter.com/SamGuzmanTV/status/1835182362528829672</v>
      </c>
      <c r="O91" s="2" t="str">
        <f>HYPERLINK("https://www.ktsm.com/sports/locomotive-fc-soccer/locomotive-fc-suffer-3-1-loss-to-indy-eleven/")</f>
        <v>https://www.ktsm.com/sports/locomotive-fc-soccer/locomotive-fc-suffer-3-1-loss-to-indy-eleven/</v>
      </c>
    </row>
    <row r="92" spans="1:15" ht="66" x14ac:dyDescent="0.3">
      <c r="A92" s="2" t="s">
        <v>29</v>
      </c>
      <c r="B92" s="2" t="s">
        <v>1910</v>
      </c>
      <c r="C92" s="2" t="s">
        <v>1911</v>
      </c>
      <c r="D92" s="2" t="s">
        <v>1912</v>
      </c>
      <c r="E92" s="2" t="str">
        <f>HYPERLINK("http://twitter.com/DougRobersonAJC")</f>
        <v>http://twitter.com/DougRobersonAJC</v>
      </c>
      <c r="F92" s="2" t="str">
        <f>HYPERLINK("https://muckrack.com/doug-roberson")</f>
        <v>https://muckrack.com/doug-roberson</v>
      </c>
      <c r="G92" s="2">
        <v>16740</v>
      </c>
      <c r="H92" s="2" t="s">
        <v>1913</v>
      </c>
      <c r="I92" s="2" t="s">
        <v>1914</v>
      </c>
      <c r="J92" s="2" t="s">
        <v>1915</v>
      </c>
      <c r="K92" s="2" t="s">
        <v>30</v>
      </c>
      <c r="L92" s="2" t="s">
        <v>2164</v>
      </c>
      <c r="M92" s="5">
        <v>45549.915578703702</v>
      </c>
      <c r="N92" s="2" t="str">
        <f>HYPERLINK("http://twitter.com/DougRobersonAJC/status/1835136059862401044")</f>
        <v>http://twitter.com/DougRobersonAJC/status/1835136059862401044</v>
      </c>
      <c r="O92" s="2" t="str">
        <f>HYPERLINK("https://www.ajc.com/sports/atlanta-united/atlanta-united-loses-to-nashville-again-fails-to-capitalize-on-momentum/KYXJ4WNHJNEAPD5VFEC5GZPEFA/")</f>
        <v>https://www.ajc.com/sports/atlanta-united/atlanta-united-loses-to-nashville-again-fails-to-capitalize-on-momentum/KYXJ4WNHJNEAPD5VFEC5GZPEFA/</v>
      </c>
    </row>
    <row r="93" spans="1:15" ht="66" x14ac:dyDescent="0.3">
      <c r="A93" s="2" t="s">
        <v>2165</v>
      </c>
      <c r="B93" s="2" t="s">
        <v>2166</v>
      </c>
      <c r="C93" s="2" t="s">
        <v>2167</v>
      </c>
      <c r="D93" s="2" t="s">
        <v>2168</v>
      </c>
      <c r="E93" s="2" t="str">
        <f>HYPERLINK("http://twitter.com/HowardPrimer")</f>
        <v>http://twitter.com/HowardPrimer</v>
      </c>
      <c r="F93" s="2" t="str">
        <f>HYPERLINK("https://muckrack.com/howard-primer")</f>
        <v>https://muckrack.com/howard-primer</v>
      </c>
      <c r="G93" s="2">
        <v>758</v>
      </c>
      <c r="H93" s="2" t="s">
        <v>2169</v>
      </c>
      <c r="I93" s="2" t="s">
        <v>2170</v>
      </c>
      <c r="J93" s="2"/>
      <c r="K93" s="2" t="s">
        <v>345</v>
      </c>
      <c r="L93" s="2" t="s">
        <v>2171</v>
      </c>
      <c r="M93" s="5">
        <v>45549.634351851862</v>
      </c>
      <c r="N93" s="2" t="str">
        <f>HYPERLINK("http://twitter.com/HowardPrimer/status/1835034144943767831")</f>
        <v>http://twitter.com/HowardPrimer/status/1835034144943767831</v>
      </c>
      <c r="O93" s="2" t="str">
        <f>HYPERLINK("https://www.news-herald.com/2024/09/14/mentor-grad-sinisa-ubiparipovic-has-cleveland-state-mens-soccer-off-to-encouraging-start/")</f>
        <v>https://www.news-herald.com/2024/09/14/mentor-grad-sinisa-ubiparipovic-has-cleveland-state-mens-soccer-off-to-encouraging-start/</v>
      </c>
    </row>
    <row r="94" spans="1:15" ht="79.2" x14ac:dyDescent="0.3">
      <c r="A94" s="2" t="s">
        <v>344</v>
      </c>
      <c r="B94" s="2" t="s">
        <v>2172</v>
      </c>
      <c r="C94" s="2" t="s">
        <v>2173</v>
      </c>
      <c r="D94" s="2" t="s">
        <v>2174</v>
      </c>
      <c r="E94" s="2" t="str">
        <f>HYPERLINK("http://twitter.com/CLillstrungNH")</f>
        <v>http://twitter.com/CLillstrungNH</v>
      </c>
      <c r="F94" s="2" t="str">
        <f>HYPERLINK("https://muckrack.com/chris-lillstrung")</f>
        <v>https://muckrack.com/chris-lillstrung</v>
      </c>
      <c r="G94" s="2">
        <v>5874</v>
      </c>
      <c r="H94" s="2"/>
      <c r="I94" s="2" t="s">
        <v>2175</v>
      </c>
      <c r="J94" s="2" t="s">
        <v>2000</v>
      </c>
      <c r="K94" s="2" t="s">
        <v>345</v>
      </c>
      <c r="L94" s="2" t="s">
        <v>2176</v>
      </c>
      <c r="M94" s="5">
        <v>45549.66914351852</v>
      </c>
      <c r="N94" s="2" t="str">
        <f>HYPERLINK("http://twitter.com/CLillstrungNH/status/1835046755236233255")</f>
        <v>http://twitter.com/CLillstrungNH/status/1835046755236233255</v>
      </c>
      <c r="O94" s="2" t="str">
        <f>HYPERLINK("https://www.news-herald.com/2024/09/14/mentor-grad-sinisa-ubiparipovic-has-cleveland-state-mens-soccer-off-to-encouraging-start/")</f>
        <v>https://www.news-herald.com/2024/09/14/mentor-grad-sinisa-ubiparipovic-has-cleveland-state-mens-soccer-off-to-encouraging-start/</v>
      </c>
    </row>
    <row r="95" spans="1:15" ht="66" x14ac:dyDescent="0.3">
      <c r="A95" s="2" t="s">
        <v>2177</v>
      </c>
      <c r="B95" s="2" t="s">
        <v>2178</v>
      </c>
      <c r="C95" s="2" t="s">
        <v>2179</v>
      </c>
      <c r="D95" s="2" t="s">
        <v>2180</v>
      </c>
      <c r="E95" s="2" t="str">
        <f>HYPERLINK("http://twitter.com/mpodo")</f>
        <v>http://twitter.com/mpodo</v>
      </c>
      <c r="F95" s="2" t="str">
        <f>HYPERLINK("https://muckrack.com/mark-podolski")</f>
        <v>https://muckrack.com/mark-podolski</v>
      </c>
      <c r="G95" s="2">
        <v>4509</v>
      </c>
      <c r="H95" s="2"/>
      <c r="I95" s="2" t="s">
        <v>2181</v>
      </c>
      <c r="J95" s="2" t="s">
        <v>1929</v>
      </c>
      <c r="K95" s="2" t="s">
        <v>345</v>
      </c>
      <c r="L95" s="2" t="s">
        <v>2182</v>
      </c>
      <c r="M95" s="5">
        <v>45552.419178240743</v>
      </c>
      <c r="N95" s="2" t="str">
        <f>HYPERLINK("http://twitter.com/mpodo/status/1836043334369915091")</f>
        <v>http://twitter.com/mpodo/status/1836043334369915091</v>
      </c>
      <c r="O95" s="2" t="str">
        <f>HYPERLINK("https://www.news-herald.com/2024/09/14/mentor-grad-sinisa-ubiparipovic-has-cleveland-state-mens-soccer-off-to-encouraging-start/")</f>
        <v>https://www.news-herald.com/2024/09/14/mentor-grad-sinisa-ubiparipovic-has-cleveland-state-mens-soccer-off-to-encouraging-start/</v>
      </c>
    </row>
    <row r="96" spans="1:15" ht="79.2" x14ac:dyDescent="0.3">
      <c r="A96" s="2" t="s">
        <v>267</v>
      </c>
      <c r="B96" s="2" t="s">
        <v>2061</v>
      </c>
      <c r="C96" s="2" t="s">
        <v>2062</v>
      </c>
      <c r="D96" s="2" t="s">
        <v>2063</v>
      </c>
      <c r="E96" s="2" t="str">
        <f>HYPERLINK("http://twitter.com/MickeyShuey")</f>
        <v>http://twitter.com/MickeyShuey</v>
      </c>
      <c r="F96" s="2" t="str">
        <f>HYPERLINK("https://muckrack.com/mickeyshuey")</f>
        <v>https://muckrack.com/mickeyshuey</v>
      </c>
      <c r="G96" s="2">
        <v>1868</v>
      </c>
      <c r="H96" s="2" t="s">
        <v>1972</v>
      </c>
      <c r="I96" s="2" t="s">
        <v>2064</v>
      </c>
      <c r="J96" s="2" t="s">
        <v>2065</v>
      </c>
      <c r="K96" s="2" t="s">
        <v>268</v>
      </c>
      <c r="L96" s="2" t="s">
        <v>2183</v>
      </c>
      <c r="M96" s="5">
        <v>45548.855810185189</v>
      </c>
      <c r="N96" s="2" t="str">
        <f>HYPERLINK("http://twitter.com/MickeyShuey/status/1834752013562700059")</f>
        <v>http://twitter.com/MickeyShuey/status/1834752013562700059</v>
      </c>
      <c r="O96" s="2" t="str">
        <f>HYPERLINK("https://www.ibj.com/articles/fort-wayne-businessman-buys-downtown-indy-hotel-to-put-damper-on-hogsetts-plans-for-heliport")</f>
        <v>https://www.ibj.com/articles/fort-wayne-businessman-buys-downtown-indy-hotel-to-put-damper-on-hogsetts-plans-for-heliport</v>
      </c>
    </row>
    <row r="97" spans="1:15" ht="79.2" x14ac:dyDescent="0.3">
      <c r="A97" s="2" t="s">
        <v>104</v>
      </c>
      <c r="B97" s="2" t="s">
        <v>2184</v>
      </c>
      <c r="C97" s="2" t="s">
        <v>2185</v>
      </c>
      <c r="D97" s="2" t="s">
        <v>2186</v>
      </c>
      <c r="E97" s="2" t="str">
        <f>HYPERLINK("http://twitter.com/JohnKrysinsky")</f>
        <v>http://twitter.com/JohnKrysinsky</v>
      </c>
      <c r="F97" s="2" t="str">
        <f>HYPERLINK("https://muckrack.com/john-krysinsky")</f>
        <v>https://muckrack.com/john-krysinsky</v>
      </c>
      <c r="G97" s="2">
        <v>3332</v>
      </c>
      <c r="H97" s="2" t="s">
        <v>2187</v>
      </c>
      <c r="I97" s="2" t="s">
        <v>2188</v>
      </c>
      <c r="J97" s="2" t="s">
        <v>2000</v>
      </c>
      <c r="K97" s="2" t="s">
        <v>2034</v>
      </c>
      <c r="L97" s="2" t="s">
        <v>2189</v>
      </c>
      <c r="M97" s="5">
        <v>45549.523009259261</v>
      </c>
      <c r="N97" s="2" t="str">
        <f>HYPERLINK("http://twitter.com/JohnKrysinsky/status/1834993797115105367")</f>
        <v>http://twitter.com/JohnKrysinsky/status/1834993797115105367</v>
      </c>
      <c r="O97" s="2" t="str">
        <f>HYPERLINK("https://pittsburghsoccernow.com/2024/09/13/preview-and-scouting-report-riverhounds-look-to-extend-impressive-unbeaten-streak-vs-reeling-rowdies/")</f>
        <v>https://pittsburghsoccernow.com/2024/09/13/preview-and-scouting-report-riverhounds-look-to-extend-impressive-unbeaten-streak-vs-reeling-rowdies/</v>
      </c>
    </row>
    <row r="98" spans="1:15" ht="39.6" x14ac:dyDescent="0.3">
      <c r="A98" s="2" t="s">
        <v>2102</v>
      </c>
      <c r="B98" s="2" t="s">
        <v>2103</v>
      </c>
      <c r="C98" s="2" t="s">
        <v>2104</v>
      </c>
      <c r="D98" s="2" t="s">
        <v>2105</v>
      </c>
      <c r="E98" s="2" t="str">
        <f>HYPERLINK("http://twitter.com/HolyCitySinner")</f>
        <v>http://twitter.com/HolyCitySinner</v>
      </c>
      <c r="F98" s="2" t="str">
        <f>HYPERLINK("https://muckrack.com/christian-senger")</f>
        <v>https://muckrack.com/christian-senger</v>
      </c>
      <c r="G98" s="2">
        <v>61543</v>
      </c>
      <c r="H98" s="2" t="s">
        <v>2106</v>
      </c>
      <c r="I98" s="2" t="s">
        <v>2107</v>
      </c>
      <c r="J98" s="2" t="s">
        <v>2108</v>
      </c>
      <c r="K98" s="2" t="s">
        <v>2109</v>
      </c>
      <c r="L98" s="2" t="s">
        <v>2190</v>
      </c>
      <c r="M98" s="5">
        <v>45548.883333333331</v>
      </c>
      <c r="N98" s="2" t="str">
        <f>HYPERLINK("http://twitter.com/HolyCitySinner/status/1834761985541407191")</f>
        <v>http://twitter.com/HolyCitySinner/status/1834761985541407191</v>
      </c>
      <c r="O98" s="2" t="str">
        <f>HYPERLINK("https://holycitysinner.com/sports/battery-travel-to-colorado-springs-for-interconference-clash/")</f>
        <v>https://holycitysinner.com/sports/battery-travel-to-colorado-springs-for-interconference-clash/</v>
      </c>
    </row>
    <row r="99" spans="1:15" ht="39.6" x14ac:dyDescent="0.3">
      <c r="A99" s="2" t="s">
        <v>2102</v>
      </c>
      <c r="B99" s="2" t="s">
        <v>2103</v>
      </c>
      <c r="C99" s="2" t="s">
        <v>2104</v>
      </c>
      <c r="D99" s="2" t="s">
        <v>2105</v>
      </c>
      <c r="E99" s="2" t="str">
        <f>HYPERLINK("http://twitter.com/HolyCitySinner")</f>
        <v>http://twitter.com/HolyCitySinner</v>
      </c>
      <c r="F99" s="2" t="str">
        <f>HYPERLINK("https://muckrack.com/christian-senger")</f>
        <v>https://muckrack.com/christian-senger</v>
      </c>
      <c r="G99" s="2">
        <v>61543</v>
      </c>
      <c r="H99" s="2" t="s">
        <v>2106</v>
      </c>
      <c r="I99" s="2" t="s">
        <v>2107</v>
      </c>
      <c r="J99" s="2" t="s">
        <v>2108</v>
      </c>
      <c r="K99" s="2" t="s">
        <v>2109</v>
      </c>
      <c r="L99" s="2" t="s">
        <v>2191</v>
      </c>
      <c r="M99" s="5">
        <v>45549.504166666673</v>
      </c>
      <c r="N99" s="2" t="str">
        <f>HYPERLINK("http://twitter.com/HolyCitySinner/status/1834986968179998735")</f>
        <v>http://twitter.com/HolyCitySinner/status/1834986968179998735</v>
      </c>
      <c r="O99" s="2" t="str">
        <f>HYPERLINK("https://holycitysinner.com/sports/battery-travel-to-colorado-springs-for-interconference-clash/")</f>
        <v>https://holycitysinner.com/sports/battery-travel-to-colorado-springs-for-interconference-clash/</v>
      </c>
    </row>
    <row r="100" spans="1:15" ht="39.6" x14ac:dyDescent="0.3">
      <c r="A100" s="2" t="s">
        <v>2102</v>
      </c>
      <c r="B100" s="2" t="s">
        <v>2103</v>
      </c>
      <c r="C100" s="2" t="s">
        <v>2104</v>
      </c>
      <c r="D100" s="2" t="s">
        <v>2105</v>
      </c>
      <c r="E100" s="2" t="str">
        <f>HYPERLINK("http://twitter.com/HolyCitySinner")</f>
        <v>http://twitter.com/HolyCitySinner</v>
      </c>
      <c r="F100" s="2" t="str">
        <f>HYPERLINK("https://muckrack.com/christian-senger")</f>
        <v>https://muckrack.com/christian-senger</v>
      </c>
      <c r="G100" s="2">
        <v>61543</v>
      </c>
      <c r="H100" s="2" t="s">
        <v>2106</v>
      </c>
      <c r="I100" s="2" t="s">
        <v>2107</v>
      </c>
      <c r="J100" s="2" t="s">
        <v>2108</v>
      </c>
      <c r="K100" s="2" t="s">
        <v>2109</v>
      </c>
      <c r="L100" s="2" t="s">
        <v>2192</v>
      </c>
      <c r="M100" s="5">
        <v>45549.710416666669</v>
      </c>
      <c r="N100" s="2" t="str">
        <f>HYPERLINK("http://twitter.com/HolyCitySinner/status/1835061710794707325")</f>
        <v>http://twitter.com/HolyCitySinner/status/1835061710794707325</v>
      </c>
      <c r="O100" s="2" t="str">
        <f>HYPERLINK("https://holycitysinner.com/sports/battery-travel-to-colorado-springs-for-interconference-clash/")</f>
        <v>https://holycitysinner.com/sports/battery-travel-to-colorado-springs-for-interconference-clash/</v>
      </c>
    </row>
    <row r="101" spans="1:15" ht="66" x14ac:dyDescent="0.3">
      <c r="A101" s="2" t="s">
        <v>29</v>
      </c>
      <c r="B101" s="2" t="s">
        <v>1910</v>
      </c>
      <c r="C101" s="2" t="s">
        <v>1911</v>
      </c>
      <c r="D101" s="2" t="s">
        <v>1912</v>
      </c>
      <c r="E101" s="2" t="str">
        <f>HYPERLINK("http://twitter.com/DougRobersonAJC")</f>
        <v>http://twitter.com/DougRobersonAJC</v>
      </c>
      <c r="F101" s="2" t="str">
        <f>HYPERLINK("https://muckrack.com/doug-roberson")</f>
        <v>https://muckrack.com/doug-roberson</v>
      </c>
      <c r="G101" s="2">
        <v>16740</v>
      </c>
      <c r="H101" s="2" t="s">
        <v>1913</v>
      </c>
      <c r="I101" s="2" t="s">
        <v>1914</v>
      </c>
      <c r="J101" s="2" t="s">
        <v>1915</v>
      </c>
      <c r="K101" s="2" t="s">
        <v>30</v>
      </c>
      <c r="L101" s="2" t="s">
        <v>2193</v>
      </c>
      <c r="M101" s="5">
        <v>45547.805266203701</v>
      </c>
      <c r="N101" s="2" t="str">
        <f>HYPERLINK("http://twitter.com/DougRobersonAJC/status/1834371307342819503")</f>
        <v>http://twitter.com/DougRobersonAJC/status/1834371307342819503</v>
      </c>
      <c r="O101" s="2" t="str">
        <f>HYPERLINK("https://www.ajc.com/sports/atlanta-united/southern-fried-soccer-previewing-atlanta-united-vs-nashville/KQKWK2WGZ5HRPK7RHOWCEWSOT4/")</f>
        <v>https://www.ajc.com/sports/atlanta-united/southern-fried-soccer-previewing-atlanta-united-vs-nashville/KQKWK2WGZ5HRPK7RHOWCEWSOT4/</v>
      </c>
    </row>
    <row r="102" spans="1:15" ht="132" x14ac:dyDescent="0.3">
      <c r="A102" s="2" t="s">
        <v>353</v>
      </c>
      <c r="B102" s="2" t="s">
        <v>2194</v>
      </c>
      <c r="C102" s="2"/>
      <c r="D102" s="2" t="s">
        <v>2195</v>
      </c>
      <c r="E102" s="2" t="str">
        <f>HYPERLINK("http://twitter.com/grtorres")</f>
        <v>http://twitter.com/grtorres</v>
      </c>
      <c r="F102" s="2" t="str">
        <f>HYPERLINK("https://muckrack.com/guilherme-torres")</f>
        <v>https://muckrack.com/guilherme-torres</v>
      </c>
      <c r="G102" s="2">
        <v>3643</v>
      </c>
      <c r="H102" s="2" t="s">
        <v>2196</v>
      </c>
      <c r="I102" s="2" t="s">
        <v>2197</v>
      </c>
      <c r="J102" s="2" t="s">
        <v>2033</v>
      </c>
      <c r="K102" s="2" t="s">
        <v>2198</v>
      </c>
      <c r="L102" s="2" t="s">
        <v>2199</v>
      </c>
      <c r="M102" s="5">
        <v>45547.813657407409</v>
      </c>
      <c r="N102" s="2" t="str">
        <f>HYPERLINK("http://twitter.com/grtorres/status/1834374348268077376")</f>
        <v>http://twitter.com/grtorres/status/1834374348268077376</v>
      </c>
      <c r="O102" s="2" t="str">
        <f>HYPERLINK("https://prepsoccer.com/2024/09/ecnl-girls-texas-conference-u16-three-midfielders-to-watch/")</f>
        <v>https://prepsoccer.com/2024/09/ecnl-girls-texas-conference-u16-three-midfielders-to-watch/</v>
      </c>
    </row>
    <row r="103" spans="1:15" ht="158.4" x14ac:dyDescent="0.3">
      <c r="A103" s="2" t="s">
        <v>353</v>
      </c>
      <c r="B103" s="2" t="s">
        <v>2194</v>
      </c>
      <c r="C103" s="2"/>
      <c r="D103" s="2" t="s">
        <v>2195</v>
      </c>
      <c r="E103" s="2" t="str">
        <f>HYPERLINK("http://twitter.com/grtorres")</f>
        <v>http://twitter.com/grtorres</v>
      </c>
      <c r="F103" s="2" t="str">
        <f>HYPERLINK("https://muckrack.com/guilherme-torres")</f>
        <v>https://muckrack.com/guilherme-torres</v>
      </c>
      <c r="G103" s="2">
        <v>3643</v>
      </c>
      <c r="H103" s="2" t="s">
        <v>2196</v>
      </c>
      <c r="I103" s="2" t="s">
        <v>2197</v>
      </c>
      <c r="J103" s="2" t="s">
        <v>2033</v>
      </c>
      <c r="K103" s="2" t="s">
        <v>2198</v>
      </c>
      <c r="L103" s="2" t="s">
        <v>2200</v>
      </c>
      <c r="M103" s="5">
        <v>45545.824282407397</v>
      </c>
      <c r="N103" s="2" t="str">
        <f>HYPERLINK("http://twitter.com/grtorres/status/1833653424245871044")</f>
        <v>http://twitter.com/grtorres/status/1833653424245871044</v>
      </c>
      <c r="O103" s="2" t="str">
        <f>HYPERLINK("https://prepsoccer.com/2024/09/ecnl-girls-texas-conference-u16-three-outside-backs-to-watch/")</f>
        <v>https://prepsoccer.com/2024/09/ecnl-girls-texas-conference-u16-three-outside-backs-to-watch/</v>
      </c>
    </row>
    <row r="104" spans="1:15" ht="52.8" x14ac:dyDescent="0.3">
      <c r="A104" s="2" t="s">
        <v>2201</v>
      </c>
      <c r="B104" s="2" t="s">
        <v>2202</v>
      </c>
      <c r="C104" s="2"/>
      <c r="D104" s="2" t="s">
        <v>2203</v>
      </c>
      <c r="E104" s="2" t="str">
        <f>HYPERLINK("http://twitter.com/KelsDayton")</f>
        <v>http://twitter.com/KelsDayton</v>
      </c>
      <c r="F104" s="2" t="str">
        <f>HYPERLINK("https://muckrack.com/kels-dayton")</f>
        <v>https://muckrack.com/kels-dayton</v>
      </c>
      <c r="G104" s="2">
        <v>839</v>
      </c>
      <c r="H104" s="2"/>
      <c r="I104" s="2" t="s">
        <v>2204</v>
      </c>
      <c r="J104" s="2" t="s">
        <v>2033</v>
      </c>
      <c r="K104" s="2" t="s">
        <v>2205</v>
      </c>
      <c r="L104" s="2" t="s">
        <v>2206</v>
      </c>
      <c r="M104" s="5">
        <v>45544.688449074078</v>
      </c>
      <c r="N104" s="2" t="str">
        <f>HYPERLINK("http://twitter.com/KelsDayton/status/1833241810619273676")</f>
        <v>http://twitter.com/KelsDayton/status/1833241810619273676</v>
      </c>
      <c r="O104" s="2" t="str">
        <f>HYPERLINK("https://www.courant.com/2024/09/09/no-longer-a-usl-bottom-feeder-red-hot-hartford-athletic-making-surprise-playoff-push/")</f>
        <v>https://www.courant.com/2024/09/09/no-longer-a-usl-bottom-feeder-red-hot-hartford-athletic-making-surprise-playoff-push/</v>
      </c>
    </row>
    <row r="105" spans="1:15" ht="66" x14ac:dyDescent="0.3">
      <c r="A105" s="2" t="s">
        <v>29</v>
      </c>
      <c r="B105" s="2" t="s">
        <v>1910</v>
      </c>
      <c r="C105" s="2" t="s">
        <v>1911</v>
      </c>
      <c r="D105" s="2" t="s">
        <v>1912</v>
      </c>
      <c r="E105" s="2" t="str">
        <f>HYPERLINK("http://twitter.com/DougRobersonAJC")</f>
        <v>http://twitter.com/DougRobersonAJC</v>
      </c>
      <c r="F105" s="2" t="str">
        <f>HYPERLINK("https://muckrack.com/doug-roberson")</f>
        <v>https://muckrack.com/doug-roberson</v>
      </c>
      <c r="G105" s="2">
        <v>16740</v>
      </c>
      <c r="H105" s="2" t="s">
        <v>1913</v>
      </c>
      <c r="I105" s="2" t="s">
        <v>1914</v>
      </c>
      <c r="J105" s="2" t="s">
        <v>1915</v>
      </c>
      <c r="K105" s="2" t="s">
        <v>30</v>
      </c>
      <c r="L105" s="2" t="s">
        <v>2207</v>
      </c>
      <c r="M105" s="5">
        <v>45544.530300925922</v>
      </c>
      <c r="N105" s="2" t="str">
        <f>HYPERLINK("http://twitter.com/DougRobersonAJC/status/1833184499326189954")</f>
        <v>http://twitter.com/DougRobersonAJC/status/1833184499326189954</v>
      </c>
      <c r="O105" s="2" t="str">
        <f>HYPERLINK("https://www.ajc.com/sports/atlanta-united/five-interesting-candidates-for-atlanta-uniteds-td-search/VJ2RAZJNPRAEPGXWQ2AJUYXTXQ/")</f>
        <v>https://www.ajc.com/sports/atlanta-united/five-interesting-candidates-for-atlanta-uniteds-td-search/VJ2RAZJNPRAEPGXWQ2AJUYXTXQ/</v>
      </c>
    </row>
    <row r="106" spans="1:15" ht="66" x14ac:dyDescent="0.3">
      <c r="A106" s="2" t="s">
        <v>456</v>
      </c>
      <c r="B106" s="2" t="s">
        <v>2208</v>
      </c>
      <c r="C106" s="2"/>
      <c r="D106" s="2" t="s">
        <v>2209</v>
      </c>
      <c r="E106" s="2" t="str">
        <f>HYPERLINK("http://twitter.com/JeremiahOshan")</f>
        <v>http://twitter.com/JeremiahOshan</v>
      </c>
      <c r="F106" s="2" t="str">
        <f>HYPERLINK("https://muckrack.com/jeremiah-oshan")</f>
        <v>https://muckrack.com/jeremiah-oshan</v>
      </c>
      <c r="G106" s="2">
        <v>14367</v>
      </c>
      <c r="H106" s="2" t="s">
        <v>2210</v>
      </c>
      <c r="I106" s="2" t="s">
        <v>2211</v>
      </c>
      <c r="J106" s="2" t="s">
        <v>1929</v>
      </c>
      <c r="K106" s="2" t="s">
        <v>2212</v>
      </c>
      <c r="L106" s="2" t="s">
        <v>2213</v>
      </c>
      <c r="M106" s="5">
        <v>45546.504386574074</v>
      </c>
      <c r="N106" s="2" t="str">
        <f>HYPERLINK("http://twitter.com/JeremiahOshan/status/1833899883952230894")</f>
        <v>http://twitter.com/JeremiahOshan/status/1833899883952230894</v>
      </c>
      <c r="O106" s="2" t="str">
        <f>HYPERLINK("https://www.ajc.com/sports/atlanta-united/five-interesting-candidates-for-atlanta-uniteds-td-search/VJ2RAZJNPRAEPGXWQ2AJUYXTXQ/")</f>
        <v>https://www.ajc.com/sports/atlanta-united/five-interesting-candidates-for-atlanta-uniteds-td-search/VJ2RAZJNPRAEPGXWQ2AJUYXTXQ/</v>
      </c>
    </row>
    <row r="107" spans="1:15" ht="52.8" x14ac:dyDescent="0.3">
      <c r="A107" s="2" t="s">
        <v>2159</v>
      </c>
      <c r="B107" s="2" t="s">
        <v>2024</v>
      </c>
      <c r="C107" s="2" t="s">
        <v>2160</v>
      </c>
      <c r="D107" s="2" t="s">
        <v>2161</v>
      </c>
      <c r="E107" s="2" t="str">
        <f>HYPERLINK("http://twitter.com/SamGuzmanTV")</f>
        <v>http://twitter.com/SamGuzmanTV</v>
      </c>
      <c r="F107" s="2" t="str">
        <f>HYPERLINK("https://muckrack.com/sam-guzman-1")</f>
        <v>https://muckrack.com/sam-guzman-1</v>
      </c>
      <c r="G107" s="2">
        <v>2786</v>
      </c>
      <c r="H107" s="2"/>
      <c r="I107" s="2" t="s">
        <v>2162</v>
      </c>
      <c r="J107" s="2" t="s">
        <v>2033</v>
      </c>
      <c r="K107" s="2" t="s">
        <v>334</v>
      </c>
      <c r="L107" s="2" t="s">
        <v>2214</v>
      </c>
      <c r="M107" s="5">
        <v>45543.124131944453</v>
      </c>
      <c r="N107" s="2" t="str">
        <f>HYPERLINK("http://twitter.com/SamGuzmanTV/status/1832674921392030165")</f>
        <v>http://twitter.com/SamGuzmanTV/status/1832674921392030165</v>
      </c>
      <c r="O107" s="2" t="str">
        <f>HYPERLINK("https://www.ktsm.com/sports/locomotive-fc-soccer/locomotive-fc-play-to-scoreless-draw-against-detroit-city-fc/")</f>
        <v>https://www.ktsm.com/sports/locomotive-fc-soccer/locomotive-fc-play-to-scoreless-draw-against-detroit-city-fc/</v>
      </c>
    </row>
    <row r="108" spans="1:15" ht="52.8" x14ac:dyDescent="0.3">
      <c r="A108" s="2" t="s">
        <v>330</v>
      </c>
      <c r="B108" s="2" t="s">
        <v>2215</v>
      </c>
      <c r="C108" s="2" t="s">
        <v>2216</v>
      </c>
      <c r="D108" s="2" t="s">
        <v>2217</v>
      </c>
      <c r="E108" s="2" t="str">
        <f>HYPERLINK("http://twitter.com/beamartinezabc7")</f>
        <v>http://twitter.com/beamartinezabc7</v>
      </c>
      <c r="F108" s="2" t="str">
        <f>HYPERLINK("https://muckrack.com/bea-martinez-1")</f>
        <v>https://muckrack.com/bea-martinez-1</v>
      </c>
      <c r="G108" s="2">
        <v>1348</v>
      </c>
      <c r="H108" s="2" t="s">
        <v>2218</v>
      </c>
      <c r="I108" s="2" t="s">
        <v>2219</v>
      </c>
      <c r="J108" s="2" t="s">
        <v>2000</v>
      </c>
      <c r="K108" s="2" t="s">
        <v>331</v>
      </c>
      <c r="L108" s="2" t="s">
        <v>2220</v>
      </c>
      <c r="M108" s="5">
        <v>45543.128206018519</v>
      </c>
      <c r="N108" s="2" t="str">
        <f>HYPERLINK("http://twitter.com/beamartinezabc7/status/1832676396906238449")</f>
        <v>http://twitter.com/beamartinezabc7/status/1832676396906238449</v>
      </c>
      <c r="O108" s="2" t="str">
        <f>HYPERLINK("https://kvia.com/sports/2024/09/07/el-paso-locomotive-fc-fight-to-scoreless-draw-with-detroit-city-fc/")</f>
        <v>https://kvia.com/sports/2024/09/07/el-paso-locomotive-fc-fight-to-scoreless-draw-with-detroit-city-fc/</v>
      </c>
    </row>
    <row r="109" spans="1:15" ht="79.2" x14ac:dyDescent="0.3">
      <c r="A109" s="2" t="s">
        <v>263</v>
      </c>
      <c r="B109" s="2" t="s">
        <v>2221</v>
      </c>
      <c r="C109" s="2" t="s">
        <v>2222</v>
      </c>
      <c r="D109" s="2" t="s">
        <v>2223</v>
      </c>
      <c r="E109" s="2" t="str">
        <f>HYPERLINK("http://twitter.com/pkedit")</f>
        <v>http://twitter.com/pkedit</v>
      </c>
      <c r="F109" s="2" t="str">
        <f>HYPERLINK("https://muckrack.com/paul-kennedy")</f>
        <v>https://muckrack.com/paul-kennedy</v>
      </c>
      <c r="G109" s="2">
        <v>10080</v>
      </c>
      <c r="H109" s="2"/>
      <c r="I109" s="2" t="s">
        <v>2224</v>
      </c>
      <c r="J109" s="2" t="s">
        <v>1929</v>
      </c>
      <c r="K109" s="2" t="s">
        <v>264</v>
      </c>
      <c r="L109" s="2" t="s">
        <v>2225</v>
      </c>
      <c r="M109" s="5">
        <v>45541.857789351852</v>
      </c>
      <c r="N109" s="2" t="str">
        <f>HYPERLINK("http://twitter.com/pkedit/status/1832216013666185548")</f>
        <v>http://twitter.com/pkedit/status/1832216013666185548</v>
      </c>
      <c r="O109" s="2" t="str">
        <f>HYPERLINK("https://www.socceramerica.com/the-american-soccer-weekend-preview-22/")</f>
        <v>https://www.socceramerica.com/the-american-soccer-weekend-preview-22/</v>
      </c>
    </row>
    <row r="110" spans="1:15" ht="145.19999999999999" x14ac:dyDescent="0.3">
      <c r="A110" s="2" t="s">
        <v>2226</v>
      </c>
      <c r="B110" s="2" t="s">
        <v>2227</v>
      </c>
      <c r="C110" s="2" t="s">
        <v>2228</v>
      </c>
      <c r="D110" s="2" t="s">
        <v>2229</v>
      </c>
      <c r="E110" s="2" t="str">
        <f>HYPERLINK("http://twitter.com/ryanmetivier")</f>
        <v>http://twitter.com/ryanmetivier</v>
      </c>
      <c r="F110" s="2" t="str">
        <f>HYPERLINK("https://muckrack.com/ryan-metivier")</f>
        <v>https://muckrack.com/ryan-metivier</v>
      </c>
      <c r="G110" s="2">
        <v>532</v>
      </c>
      <c r="H110" s="2" t="s">
        <v>2230</v>
      </c>
      <c r="I110" s="2" t="s">
        <v>2231</v>
      </c>
      <c r="J110" s="2" t="s">
        <v>2033</v>
      </c>
      <c r="K110" s="2" t="s">
        <v>2232</v>
      </c>
      <c r="L110" s="2" t="s">
        <v>2233</v>
      </c>
      <c r="M110" s="5">
        <v>45541.46702546296</v>
      </c>
      <c r="N110" s="2" t="str">
        <f>HYPERLINK("http://twitter.com/ryanmetivier/status/1832074407562404071")</f>
        <v>http://twitter.com/ryanmetivier/status/1832074407562404071</v>
      </c>
      <c r="O110" s="2" t="str">
        <f>HYPERLINK("https://shredthespread.com/mls-predictions-matchday-31/")</f>
        <v>https://shredthespread.com/mls-predictions-matchday-31/</v>
      </c>
    </row>
    <row r="111" spans="1:15" ht="79.2" x14ac:dyDescent="0.3">
      <c r="A111" s="2" t="s">
        <v>29</v>
      </c>
      <c r="B111" s="2" t="s">
        <v>1910</v>
      </c>
      <c r="C111" s="2" t="s">
        <v>1911</v>
      </c>
      <c r="D111" s="2" t="s">
        <v>1912</v>
      </c>
      <c r="E111" s="2" t="str">
        <f>HYPERLINK("http://twitter.com/DougRobersonAJC")</f>
        <v>http://twitter.com/DougRobersonAJC</v>
      </c>
      <c r="F111" s="2" t="str">
        <f>HYPERLINK("https://muckrack.com/doug-roberson")</f>
        <v>https://muckrack.com/doug-roberson</v>
      </c>
      <c r="G111" s="2">
        <v>16740</v>
      </c>
      <c r="H111" s="2" t="s">
        <v>1913</v>
      </c>
      <c r="I111" s="2" t="s">
        <v>1914</v>
      </c>
      <c r="J111" s="2" t="s">
        <v>1915</v>
      </c>
      <c r="K111" s="2" t="s">
        <v>30</v>
      </c>
      <c r="L111" s="2" t="s">
        <v>2234</v>
      </c>
      <c r="M111" s="5">
        <v>45540.513958333337</v>
      </c>
      <c r="N111" s="2" t="str">
        <f>HYPERLINK("http://twitter.com/DougRobersonAJC/status/1831729025548505501")</f>
        <v>http://twitter.com/DougRobersonAJC/status/1831729025548505501</v>
      </c>
      <c r="O111" s="2" t="str">
        <f>HYPERLINK("https://www.ajc.com/sports/atlanta-united/southern-fried-soccer-analyzing-carlos-bocanegras-time-at-atlanta-united/SY53JOGTNFDLBG7WZOP7L6H2PM/")</f>
        <v>https://www.ajc.com/sports/atlanta-united/southern-fried-soccer-analyzing-carlos-bocanegras-time-at-atlanta-united/SY53JOGTNFDLBG7WZOP7L6H2PM/</v>
      </c>
    </row>
    <row r="112" spans="1:15" ht="66" x14ac:dyDescent="0.3">
      <c r="A112" s="2" t="s">
        <v>29</v>
      </c>
      <c r="B112" s="2" t="s">
        <v>1910</v>
      </c>
      <c r="C112" s="2" t="s">
        <v>1911</v>
      </c>
      <c r="D112" s="2" t="s">
        <v>1912</v>
      </c>
      <c r="E112" s="2" t="str">
        <f>HYPERLINK("http://twitter.com/DougRobersonAJC")</f>
        <v>http://twitter.com/DougRobersonAJC</v>
      </c>
      <c r="F112" s="2" t="str">
        <f>HYPERLINK("https://muckrack.com/doug-roberson")</f>
        <v>https://muckrack.com/doug-roberson</v>
      </c>
      <c r="G112" s="2">
        <v>16740</v>
      </c>
      <c r="H112" s="2" t="s">
        <v>1913</v>
      </c>
      <c r="I112" s="2" t="s">
        <v>1914</v>
      </c>
      <c r="J112" s="2" t="s">
        <v>1915</v>
      </c>
      <c r="K112" s="2" t="s">
        <v>30</v>
      </c>
      <c r="L112" s="2" t="s">
        <v>2235</v>
      </c>
      <c r="M112" s="5">
        <v>45539.417361111111</v>
      </c>
      <c r="N112" s="2" t="str">
        <f>HYPERLINK("http://twitter.com/DougRobersonAJC/status/1831331633430970408")</f>
        <v>http://twitter.com/DougRobersonAJC/status/1831331633430970408</v>
      </c>
      <c r="O112" s="2" t="str">
        <f t="shared" ref="O112:O118" si="6">HYPERLINK("https://www.ajc.com/sports/atlanta-united/breaking-carlos-bocanegra-out-at-atlanta-united/VYOKNDA5YFFK5KSOKQ5MDBSRV4/")</f>
        <v>https://www.ajc.com/sports/atlanta-united/breaking-carlos-bocanegra-out-at-atlanta-united/VYOKNDA5YFFK5KSOKQ5MDBSRV4/</v>
      </c>
    </row>
    <row r="113" spans="1:15" ht="66" x14ac:dyDescent="0.3">
      <c r="A113" s="2" t="s">
        <v>2236</v>
      </c>
      <c r="B113" s="2" t="s">
        <v>2237</v>
      </c>
      <c r="C113" s="2" t="s">
        <v>2238</v>
      </c>
      <c r="D113" s="2" t="s">
        <v>2239</v>
      </c>
      <c r="E113" s="2" t="str">
        <f>HYPERLINK("http://twitter.com/AlexiLalas")</f>
        <v>http://twitter.com/AlexiLalas</v>
      </c>
      <c r="F113" s="2" t="str">
        <f>HYPERLINK("https://muckrack.com/alexi-lalas")</f>
        <v>https://muckrack.com/alexi-lalas</v>
      </c>
      <c r="G113" s="2">
        <v>394911</v>
      </c>
      <c r="H113" s="2" t="s">
        <v>2240</v>
      </c>
      <c r="I113" s="2" t="s">
        <v>2241</v>
      </c>
      <c r="J113" s="2" t="s">
        <v>2033</v>
      </c>
      <c r="K113" s="2" t="s">
        <v>2242</v>
      </c>
      <c r="L113" s="2" t="s">
        <v>2243</v>
      </c>
      <c r="M113" s="5">
        <v>45539.418287037042</v>
      </c>
      <c r="N113" s="2" t="str">
        <f>HYPERLINK("http://twitter.com/AlexiLalas/status/1831331969864716553")</f>
        <v>http://twitter.com/AlexiLalas/status/1831331969864716553</v>
      </c>
      <c r="O113" s="2" t="str">
        <f t="shared" si="6"/>
        <v>https://www.ajc.com/sports/atlanta-united/breaking-carlos-bocanegra-out-at-atlanta-united/VYOKNDA5YFFK5KSOKQ5MDBSRV4/</v>
      </c>
    </row>
    <row r="114" spans="1:15" ht="66" x14ac:dyDescent="0.3">
      <c r="A114" s="2" t="s">
        <v>1963</v>
      </c>
      <c r="B114" s="2" t="s">
        <v>1964</v>
      </c>
      <c r="C114" s="2" t="s">
        <v>1965</v>
      </c>
      <c r="D114" s="2" t="s">
        <v>1966</v>
      </c>
      <c r="E114" s="2" t="str">
        <f>HYPERLINK("http://twitter.com/bposhea")</f>
        <v>http://twitter.com/bposhea</v>
      </c>
      <c r="F114" s="2" t="str">
        <f>HYPERLINK("https://muckrack.com/brian-oshea")</f>
        <v>https://muckrack.com/brian-oshea</v>
      </c>
      <c r="G114" s="2">
        <v>1614</v>
      </c>
      <c r="H114" s="2" t="s">
        <v>1913</v>
      </c>
      <c r="I114" s="2" t="s">
        <v>1967</v>
      </c>
      <c r="J114" s="2" t="s">
        <v>1954</v>
      </c>
      <c r="K114" s="2" t="s">
        <v>30</v>
      </c>
      <c r="L114" s="2" t="s">
        <v>2244</v>
      </c>
      <c r="M114" s="5">
        <v>45539.418402777781</v>
      </c>
      <c r="N114" s="2" t="str">
        <f>HYPERLINK("http://twitter.com/bposhea/status/1831332009613893960")</f>
        <v>http://twitter.com/bposhea/status/1831332009613893960</v>
      </c>
      <c r="O114" s="2" t="str">
        <f t="shared" si="6"/>
        <v>https://www.ajc.com/sports/atlanta-united/breaking-carlos-bocanegra-out-at-atlanta-united/VYOKNDA5YFFK5KSOKQ5MDBSRV4/</v>
      </c>
    </row>
    <row r="115" spans="1:15" ht="66" x14ac:dyDescent="0.3">
      <c r="A115" s="2" t="s">
        <v>2245</v>
      </c>
      <c r="B115" s="2" t="s">
        <v>2246</v>
      </c>
      <c r="C115" s="2" t="s">
        <v>2247</v>
      </c>
      <c r="D115" s="2" t="s">
        <v>2248</v>
      </c>
      <c r="E115" s="2" t="str">
        <f>HYPERLINK("http://twitter.com/thegoalkeeper")</f>
        <v>http://twitter.com/thegoalkeeper</v>
      </c>
      <c r="F115" s="2" t="str">
        <f>HYPERLINK("https://muckrack.com/jonathan-tannenwald")</f>
        <v>https://muckrack.com/jonathan-tannenwald</v>
      </c>
      <c r="G115" s="2">
        <v>29037</v>
      </c>
      <c r="H115" s="2" t="s">
        <v>2249</v>
      </c>
      <c r="I115" s="2" t="s">
        <v>2250</v>
      </c>
      <c r="J115" s="2" t="s">
        <v>2251</v>
      </c>
      <c r="K115" s="2" t="s">
        <v>2252</v>
      </c>
      <c r="L115" s="2" t="s">
        <v>2243</v>
      </c>
      <c r="M115" s="5">
        <v>45539.422118055547</v>
      </c>
      <c r="N115" s="2" t="str">
        <f>HYPERLINK("http://twitter.com/thegoalkeeper/status/1831333358045176025")</f>
        <v>http://twitter.com/thegoalkeeper/status/1831333358045176025</v>
      </c>
      <c r="O115" s="2" t="str">
        <f t="shared" si="6"/>
        <v>https://www.ajc.com/sports/atlanta-united/breaking-carlos-bocanegra-out-at-atlanta-united/VYOKNDA5YFFK5KSOKQ5MDBSRV4/</v>
      </c>
    </row>
    <row r="116" spans="1:15" ht="66" x14ac:dyDescent="0.3">
      <c r="A116" s="2" t="s">
        <v>2253</v>
      </c>
      <c r="B116" s="2" t="s">
        <v>2254</v>
      </c>
      <c r="C116" s="2" t="s">
        <v>2255</v>
      </c>
      <c r="D116" s="2" t="s">
        <v>2256</v>
      </c>
      <c r="E116" s="2" t="str">
        <f>HYPERLINK("http://twitter.com/LaurelPfahler")</f>
        <v>http://twitter.com/LaurelPfahler</v>
      </c>
      <c r="F116" s="2" t="str">
        <f>HYPERLINK("https://muckrack.com/laurel-pfahler")</f>
        <v>https://muckrack.com/laurel-pfahler</v>
      </c>
      <c r="G116" s="2">
        <v>10458</v>
      </c>
      <c r="H116" s="2" t="s">
        <v>2257</v>
      </c>
      <c r="I116" s="2" t="s">
        <v>2258</v>
      </c>
      <c r="J116" s="2" t="s">
        <v>2000</v>
      </c>
      <c r="K116" s="2" t="s">
        <v>2259</v>
      </c>
      <c r="L116" s="2" t="s">
        <v>2243</v>
      </c>
      <c r="M116" s="5">
        <v>45539.439375000002</v>
      </c>
      <c r="N116" s="2" t="str">
        <f>HYPERLINK("http://twitter.com/LaurelPfahler/status/1831339610762547264")</f>
        <v>http://twitter.com/LaurelPfahler/status/1831339610762547264</v>
      </c>
      <c r="O116" s="2" t="str">
        <f t="shared" si="6"/>
        <v>https://www.ajc.com/sports/atlanta-united/breaking-carlos-bocanegra-out-at-atlanta-united/VYOKNDA5YFFK5KSOKQ5MDBSRV4/</v>
      </c>
    </row>
    <row r="117" spans="1:15" ht="66" x14ac:dyDescent="0.3">
      <c r="A117" s="2" t="s">
        <v>2260</v>
      </c>
      <c r="B117" s="2" t="s">
        <v>2261</v>
      </c>
      <c r="C117" s="2" t="s">
        <v>2262</v>
      </c>
      <c r="D117" s="2" t="s">
        <v>2263</v>
      </c>
      <c r="E117" s="2" t="str">
        <f>HYPERLINK("http://twitter.com/FitzTrubey")</f>
        <v>http://twitter.com/FitzTrubey</v>
      </c>
      <c r="F117" s="2" t="str">
        <f>HYPERLINK("https://muckrack.com/j-scott-trubey")</f>
        <v>https://muckrack.com/j-scott-trubey</v>
      </c>
      <c r="G117" s="2">
        <v>4039</v>
      </c>
      <c r="H117" s="2" t="s">
        <v>2264</v>
      </c>
      <c r="I117" s="2" t="s">
        <v>2265</v>
      </c>
      <c r="J117" s="2" t="s">
        <v>2266</v>
      </c>
      <c r="K117" s="2" t="s">
        <v>30</v>
      </c>
      <c r="L117" s="2" t="s">
        <v>2267</v>
      </c>
      <c r="M117" s="5">
        <v>45539.439733796287</v>
      </c>
      <c r="N117" s="2" t="str">
        <f>HYPERLINK("http://twitter.com/FitzTrubey/status/1831339739016028282")</f>
        <v>http://twitter.com/FitzTrubey/status/1831339739016028282</v>
      </c>
      <c r="O117" s="2" t="str">
        <f t="shared" si="6"/>
        <v>https://www.ajc.com/sports/atlanta-united/breaking-carlos-bocanegra-out-at-atlanta-united/VYOKNDA5YFFK5KSOKQ5MDBSRV4/</v>
      </c>
    </row>
    <row r="118" spans="1:15" ht="66" x14ac:dyDescent="0.3">
      <c r="A118" s="2" t="s">
        <v>2268</v>
      </c>
      <c r="B118" s="2" t="s">
        <v>2269</v>
      </c>
      <c r="C118" s="2"/>
      <c r="D118" s="2" t="s">
        <v>2270</v>
      </c>
      <c r="E118" s="2" t="str">
        <f>HYPERLINK("http://twitter.com/WilliamsBob75")</f>
        <v>http://twitter.com/WilliamsBob75</v>
      </c>
      <c r="F118" s="2" t="str">
        <f>HYPERLINK("https://muckrack.com/bob-williams-12")</f>
        <v>https://muckrack.com/bob-williams-12</v>
      </c>
      <c r="G118" s="2">
        <v>5176</v>
      </c>
      <c r="H118" s="2" t="s">
        <v>2271</v>
      </c>
      <c r="I118" s="2" t="s">
        <v>2272</v>
      </c>
      <c r="J118" s="2" t="s">
        <v>2273</v>
      </c>
      <c r="K118" s="2" t="s">
        <v>2274</v>
      </c>
      <c r="L118" s="2" t="s">
        <v>2243</v>
      </c>
      <c r="M118" s="5">
        <v>45539.448483796303</v>
      </c>
      <c r="N118" s="2" t="str">
        <f>HYPERLINK("http://twitter.com/WilliamsBob75/status/1831342912871018728")</f>
        <v>http://twitter.com/WilliamsBob75/status/1831342912871018728</v>
      </c>
      <c r="O118" s="2" t="str">
        <f t="shared" si="6"/>
        <v>https://www.ajc.com/sports/atlanta-united/breaking-carlos-bocanegra-out-at-atlanta-united/VYOKNDA5YFFK5KSOKQ5MDBSRV4/</v>
      </c>
    </row>
    <row r="119" spans="1:15" ht="79.2" x14ac:dyDescent="0.3">
      <c r="A119" s="2" t="s">
        <v>29</v>
      </c>
      <c r="B119" s="2" t="s">
        <v>1910</v>
      </c>
      <c r="C119" s="2" t="s">
        <v>1911</v>
      </c>
      <c r="D119" s="2" t="s">
        <v>1912</v>
      </c>
      <c r="E119" s="2" t="str">
        <f>HYPERLINK("http://twitter.com/DougRobersonAJC")</f>
        <v>http://twitter.com/DougRobersonAJC</v>
      </c>
      <c r="F119" s="2" t="str">
        <f>HYPERLINK("https://muckrack.com/doug-roberson")</f>
        <v>https://muckrack.com/doug-roberson</v>
      </c>
      <c r="G119" s="2">
        <v>16740</v>
      </c>
      <c r="H119" s="2" t="s">
        <v>1913</v>
      </c>
      <c r="I119" s="2" t="s">
        <v>1914</v>
      </c>
      <c r="J119" s="2" t="s">
        <v>1915</v>
      </c>
      <c r="K119" s="2" t="s">
        <v>30</v>
      </c>
      <c r="L119" s="2" t="s">
        <v>2275</v>
      </c>
      <c r="M119" s="5">
        <v>45538.691608796304</v>
      </c>
      <c r="N119" s="2" t="str">
        <f>HYPERLINK("http://twitter.com/DougRobersonAJC/status/1831068628365783274")</f>
        <v>http://twitter.com/DougRobersonAJC/status/1831068628365783274</v>
      </c>
      <c r="O119" s="2" t="str">
        <f>HYPERLINK("https://www.ajc.com/sports/atlanta-united/2026-world-cup-projected-to-generate-more-than-500-million-from-out-of-staters/XWHCVTQ6S5HANFSMD4WQ5UTL2E/")</f>
        <v>https://www.ajc.com/sports/atlanta-united/2026-world-cup-projected-to-generate-more-than-500-million-from-out-of-staters/XWHCVTQ6S5HANFSMD4WQ5UTL2E/</v>
      </c>
    </row>
    <row r="120" spans="1:15" ht="66" x14ac:dyDescent="0.3">
      <c r="A120" s="2" t="s">
        <v>29</v>
      </c>
      <c r="B120" s="2" t="s">
        <v>1910</v>
      </c>
      <c r="C120" s="2" t="s">
        <v>1911</v>
      </c>
      <c r="D120" s="2" t="s">
        <v>1912</v>
      </c>
      <c r="E120" s="2" t="str">
        <f>HYPERLINK("http://twitter.com/DougRobersonAJC")</f>
        <v>http://twitter.com/DougRobersonAJC</v>
      </c>
      <c r="F120" s="2" t="str">
        <f>HYPERLINK("https://muckrack.com/doug-roberson")</f>
        <v>https://muckrack.com/doug-roberson</v>
      </c>
      <c r="G120" s="2">
        <v>16740</v>
      </c>
      <c r="H120" s="2" t="s">
        <v>1913</v>
      </c>
      <c r="I120" s="2" t="s">
        <v>1914</v>
      </c>
      <c r="J120" s="2" t="s">
        <v>1915</v>
      </c>
      <c r="K120" s="2" t="s">
        <v>30</v>
      </c>
      <c r="L120" s="2" t="s">
        <v>2276</v>
      </c>
      <c r="M120" s="5">
        <v>45538.533715277779</v>
      </c>
      <c r="N120" s="2" t="str">
        <f>HYPERLINK("http://twitter.com/DougRobersonAJC/status/1831011409502556436")</f>
        <v>http://twitter.com/DougRobersonAJC/status/1831011409502556436</v>
      </c>
      <c r="O120" s="2" t="str">
        <f>HYPERLINK("https://www.ajc.com/sports/atlanta-united-blog/being-prudent-isnt-a-bad-thing-in-mls/6AKOQBLDVRAW7KXP5DOIJGUWTA/")</f>
        <v>https://www.ajc.com/sports/atlanta-united-blog/being-prudent-isnt-a-bad-thing-in-mls/6AKOQBLDVRAW7KXP5DOIJGUWTA/</v>
      </c>
    </row>
    <row r="121" spans="1:15" ht="66" x14ac:dyDescent="0.3">
      <c r="A121" s="2" t="s">
        <v>263</v>
      </c>
      <c r="B121" s="2" t="s">
        <v>2221</v>
      </c>
      <c r="C121" s="2" t="s">
        <v>2222</v>
      </c>
      <c r="D121" s="2" t="s">
        <v>2223</v>
      </c>
      <c r="E121" s="2" t="str">
        <f>HYPERLINK("http://twitter.com/pkedit")</f>
        <v>http://twitter.com/pkedit</v>
      </c>
      <c r="F121" s="2" t="str">
        <f>HYPERLINK("https://muckrack.com/paul-kennedy")</f>
        <v>https://muckrack.com/paul-kennedy</v>
      </c>
      <c r="G121" s="2">
        <v>10080</v>
      </c>
      <c r="H121" s="2"/>
      <c r="I121" s="2" t="s">
        <v>2224</v>
      </c>
      <c r="J121" s="2" t="s">
        <v>1929</v>
      </c>
      <c r="K121" s="2" t="s">
        <v>264</v>
      </c>
      <c r="L121" s="2" t="s">
        <v>2277</v>
      </c>
      <c r="M121" s="5">
        <v>45534.875428240739</v>
      </c>
      <c r="N121" s="2" t="str">
        <f>HYPERLINK("http://twitter.com/pkedit/status/1829685692974449012")</f>
        <v>http://twitter.com/pkedit/status/1829685692974449012</v>
      </c>
      <c r="O121" s="2" t="str">
        <f>HYPERLINK("https://www.socceramerica.com/the-american-soccer-weekend-preview-21/")</f>
        <v>https://www.socceramerica.com/the-american-soccer-weekend-preview-21/</v>
      </c>
    </row>
    <row r="122" spans="1:15" ht="184.8" x14ac:dyDescent="0.3">
      <c r="A122" s="2" t="s">
        <v>2226</v>
      </c>
      <c r="B122" s="2" t="s">
        <v>2227</v>
      </c>
      <c r="C122" s="2" t="s">
        <v>2228</v>
      </c>
      <c r="D122" s="2" t="s">
        <v>2229</v>
      </c>
      <c r="E122" s="2" t="str">
        <f>HYPERLINK("http://twitter.com/ryanmetivier")</f>
        <v>http://twitter.com/ryanmetivier</v>
      </c>
      <c r="F122" s="2" t="str">
        <f>HYPERLINK("https://muckrack.com/ryan-metivier")</f>
        <v>https://muckrack.com/ryan-metivier</v>
      </c>
      <c r="G122" s="2">
        <v>532</v>
      </c>
      <c r="H122" s="2" t="s">
        <v>2230</v>
      </c>
      <c r="I122" s="2" t="s">
        <v>2231</v>
      </c>
      <c r="J122" s="2" t="s">
        <v>2033</v>
      </c>
      <c r="K122" s="2" t="s">
        <v>2232</v>
      </c>
      <c r="L122" s="2" t="s">
        <v>2278</v>
      </c>
      <c r="M122" s="5">
        <v>45534.549803240741</v>
      </c>
      <c r="N122" s="2" t="str">
        <f>HYPERLINK("http://twitter.com/ryanmetivier/status/1829567687393186251")</f>
        <v>http://twitter.com/ryanmetivier/status/1829567687393186251</v>
      </c>
      <c r="O122" s="2" t="str">
        <f>HYPERLINK("https://shredthespread.com/mls-predictions-mls-picks-parlays-week-30/")</f>
        <v>https://shredthespread.com/mls-predictions-mls-picks-parlays-week-30/</v>
      </c>
    </row>
    <row r="123" spans="1:15" ht="105.6" x14ac:dyDescent="0.3">
      <c r="A123" s="2" t="s">
        <v>919</v>
      </c>
      <c r="B123" s="2" t="s">
        <v>2279</v>
      </c>
      <c r="C123" s="2" t="s">
        <v>2280</v>
      </c>
      <c r="D123" s="2" t="s">
        <v>2281</v>
      </c>
      <c r="E123" s="2" t="str">
        <f>HYPERLINK("http://twitter.com/ADChernoff")</f>
        <v>http://twitter.com/ADChernoff</v>
      </c>
      <c r="F123" s="2" t="str">
        <f>HYPERLINK("https://muckrack.com/andrew-chernoff")</f>
        <v>https://muckrack.com/andrew-chernoff</v>
      </c>
      <c r="G123" s="2">
        <v>7778</v>
      </c>
      <c r="H123" s="2" t="s">
        <v>1972</v>
      </c>
      <c r="I123" s="2" t="s">
        <v>2282</v>
      </c>
      <c r="J123" s="2" t="s">
        <v>2000</v>
      </c>
      <c r="K123" s="2" t="s">
        <v>2283</v>
      </c>
      <c r="L123" s="2" t="s">
        <v>2284</v>
      </c>
      <c r="M123" s="5">
        <v>45534.5</v>
      </c>
      <c r="N123" s="2" t="str">
        <f>HYPERLINK("http://twitter.com/ADChernoff/status/1829549640347451574")</f>
        <v>http://twitter.com/ADChernoff/status/1829549640347451574</v>
      </c>
      <c r="O123" s="2" t="str">
        <f>HYPERLINK("https://www.wishtv.com/news/download-wish-tvs-new-all-indiana-sports-app-your-ultimate-sports-hub/")</f>
        <v>https://www.wishtv.com/news/download-wish-tvs-new-all-indiana-sports-app-your-ultimate-sports-hub/</v>
      </c>
    </row>
    <row r="124" spans="1:15" ht="79.2" x14ac:dyDescent="0.3">
      <c r="A124" s="2" t="s">
        <v>919</v>
      </c>
      <c r="B124" s="2" t="s">
        <v>2279</v>
      </c>
      <c r="C124" s="2" t="s">
        <v>2280</v>
      </c>
      <c r="D124" s="2" t="s">
        <v>2281</v>
      </c>
      <c r="E124" s="2" t="str">
        <f>HYPERLINK("http://twitter.com/ADChernoff")</f>
        <v>http://twitter.com/ADChernoff</v>
      </c>
      <c r="F124" s="2" t="str">
        <f>HYPERLINK("https://muckrack.com/andrew-chernoff")</f>
        <v>https://muckrack.com/andrew-chernoff</v>
      </c>
      <c r="G124" s="2">
        <v>7778</v>
      </c>
      <c r="H124" s="2" t="s">
        <v>1972</v>
      </c>
      <c r="I124" s="2" t="s">
        <v>2282</v>
      </c>
      <c r="J124" s="2" t="s">
        <v>2000</v>
      </c>
      <c r="K124" s="2" t="s">
        <v>2283</v>
      </c>
      <c r="L124" s="2" t="s">
        <v>2285</v>
      </c>
      <c r="M124" s="5">
        <v>45555.75</v>
      </c>
      <c r="N124" s="2" t="str">
        <f>HYPERLINK("http://twitter.com/ADChernoff/status/1837250382734709088")</f>
        <v>http://twitter.com/ADChernoff/status/1837250382734709088</v>
      </c>
      <c r="O124" s="2" t="str">
        <f>HYPERLINK("https://www.wishtv.com/news/download-wish-tvs-new-all-indiana-sports-app-your-ultimate-sports-hub/")</f>
        <v>https://www.wishtv.com/news/download-wish-tvs-new-all-indiana-sports-app-your-ultimate-sports-hub/</v>
      </c>
    </row>
    <row r="125" spans="1:15" ht="92.4" x14ac:dyDescent="0.3">
      <c r="A125" s="2" t="s">
        <v>919</v>
      </c>
      <c r="B125" s="2" t="s">
        <v>2279</v>
      </c>
      <c r="C125" s="2" t="s">
        <v>2280</v>
      </c>
      <c r="D125" s="2" t="s">
        <v>2281</v>
      </c>
      <c r="E125" s="2" t="str">
        <f>HYPERLINK("http://twitter.com/ADChernoff")</f>
        <v>http://twitter.com/ADChernoff</v>
      </c>
      <c r="F125" s="2" t="str">
        <f>HYPERLINK("https://muckrack.com/andrew-chernoff")</f>
        <v>https://muckrack.com/andrew-chernoff</v>
      </c>
      <c r="G125" s="2">
        <v>7778</v>
      </c>
      <c r="H125" s="2" t="s">
        <v>1972</v>
      </c>
      <c r="I125" s="2" t="s">
        <v>2282</v>
      </c>
      <c r="J125" s="2" t="s">
        <v>2000</v>
      </c>
      <c r="K125" s="2" t="s">
        <v>2283</v>
      </c>
      <c r="L125" s="2" t="s">
        <v>2286</v>
      </c>
      <c r="M125" s="5">
        <v>45541.5625</v>
      </c>
      <c r="N125" s="2" t="str">
        <f>HYPERLINK("http://twitter.com/ADChernoff/status/1832109007072608527")</f>
        <v>http://twitter.com/ADChernoff/status/1832109007072608527</v>
      </c>
      <c r="O125" s="2" t="str">
        <f>HYPERLINK("https://www.wishtv.com/sports/download-wish-tvs-new-all-indiana-sports-app-your-ultimate-sports-hub/")</f>
        <v>https://www.wishtv.com/sports/download-wish-tvs-new-all-indiana-sports-app-your-ultimate-sports-hub/</v>
      </c>
    </row>
    <row r="126" spans="1:15" ht="92.4" x14ac:dyDescent="0.3">
      <c r="A126" s="2" t="s">
        <v>919</v>
      </c>
      <c r="B126" s="2" t="s">
        <v>2279</v>
      </c>
      <c r="C126" s="2" t="s">
        <v>2280</v>
      </c>
      <c r="D126" s="2" t="s">
        <v>2281</v>
      </c>
      <c r="E126" s="2" t="str">
        <f>HYPERLINK("http://twitter.com/ADChernoff")</f>
        <v>http://twitter.com/ADChernoff</v>
      </c>
      <c r="F126" s="2" t="str">
        <f>HYPERLINK("https://muckrack.com/andrew-chernoff")</f>
        <v>https://muckrack.com/andrew-chernoff</v>
      </c>
      <c r="G126" s="2">
        <v>7778</v>
      </c>
      <c r="H126" s="2" t="s">
        <v>1972</v>
      </c>
      <c r="I126" s="2" t="s">
        <v>2282</v>
      </c>
      <c r="J126" s="2" t="s">
        <v>2000</v>
      </c>
      <c r="K126" s="2" t="s">
        <v>2283</v>
      </c>
      <c r="L126" s="2" t="s">
        <v>2287</v>
      </c>
      <c r="M126" s="5">
        <v>45548.750011574077</v>
      </c>
      <c r="N126" s="2" t="str">
        <f>HYPERLINK("http://twitter.com/ADChernoff/status/1834713670665773546")</f>
        <v>http://twitter.com/ADChernoff/status/1834713670665773546</v>
      </c>
      <c r="O126" s="2" t="str">
        <f>HYPERLINK("https://www.wishtv.com/sports/download-wish-tvs-new-all-indiana-sports-app-your-ultimate-sports-hub/")</f>
        <v>https://www.wishtv.com/sports/download-wish-tvs-new-all-indiana-sports-app-your-ultimate-sports-hub/</v>
      </c>
    </row>
    <row r="127" spans="1:15" ht="79.2" x14ac:dyDescent="0.3">
      <c r="A127" s="2" t="s">
        <v>919</v>
      </c>
      <c r="B127" s="2" t="s">
        <v>2279</v>
      </c>
      <c r="C127" s="2" t="s">
        <v>2280</v>
      </c>
      <c r="D127" s="2" t="s">
        <v>2281</v>
      </c>
      <c r="E127" s="2" t="str">
        <f>HYPERLINK("http://twitter.com/ADChernoff")</f>
        <v>http://twitter.com/ADChernoff</v>
      </c>
      <c r="F127" s="2" t="str">
        <f>HYPERLINK("https://muckrack.com/andrew-chernoff")</f>
        <v>https://muckrack.com/andrew-chernoff</v>
      </c>
      <c r="G127" s="2">
        <v>7778</v>
      </c>
      <c r="H127" s="2" t="s">
        <v>1972</v>
      </c>
      <c r="I127" s="2" t="s">
        <v>2282</v>
      </c>
      <c r="J127" s="2" t="s">
        <v>2000</v>
      </c>
      <c r="K127" s="2" t="s">
        <v>2283</v>
      </c>
      <c r="L127" s="2" t="s">
        <v>2285</v>
      </c>
      <c r="M127" s="5">
        <v>45555.75</v>
      </c>
      <c r="N127" s="2" t="str">
        <f>HYPERLINK("http://twitter.com/ADChernoff/status/1837250382734709088")</f>
        <v>http://twitter.com/ADChernoff/status/1837250382734709088</v>
      </c>
      <c r="O127" s="2" t="str">
        <f>HYPERLINK("https://www.wishtv.com/sports/download-wish-tvs-new-all-indiana-sports-app-your-ultimate-sports-hub/")</f>
        <v>https://www.wishtv.com/sports/download-wish-tvs-new-all-indiana-sports-app-your-ultimate-sports-hub/</v>
      </c>
    </row>
    <row r="128" spans="1:15" ht="79.2" x14ac:dyDescent="0.3">
      <c r="A128" s="2" t="s">
        <v>104</v>
      </c>
      <c r="B128" s="2" t="s">
        <v>2184</v>
      </c>
      <c r="C128" s="2" t="s">
        <v>2185</v>
      </c>
      <c r="D128" s="2" t="s">
        <v>2186</v>
      </c>
      <c r="E128" s="2" t="str">
        <f>HYPERLINK("http://twitter.com/JohnKrysinsky")</f>
        <v>http://twitter.com/JohnKrysinsky</v>
      </c>
      <c r="F128" s="2" t="str">
        <f>HYPERLINK("https://muckrack.com/john-krysinsky")</f>
        <v>https://muckrack.com/john-krysinsky</v>
      </c>
      <c r="G128" s="2">
        <v>3332</v>
      </c>
      <c r="H128" s="2" t="s">
        <v>2187</v>
      </c>
      <c r="I128" s="2" t="s">
        <v>2188</v>
      </c>
      <c r="J128" s="2" t="s">
        <v>2000</v>
      </c>
      <c r="K128" s="2" t="s">
        <v>2034</v>
      </c>
      <c r="L128" s="2" t="s">
        <v>2288</v>
      </c>
      <c r="M128" s="5">
        <v>45775.519953703697</v>
      </c>
      <c r="N128" s="2" t="str">
        <f>HYPERLINK("http://twitter.com/JohnKrysinsky/status/1916892348367208909")</f>
        <v>http://twitter.com/JohnKrysinsky/status/1916892348367208909</v>
      </c>
      <c r="O128" s="2" t="str">
        <f>HYPERLINK("https://pittsburghsoccernow.com/2024/08/28/riverhounds-notebook-bob-lilleys-400-wins-is-tops-among-coaches-with-american-professional-clubs-and-its-not-even-close/")</f>
        <v>https://pittsburghsoccernow.com/2024/08/28/riverhounds-notebook-bob-lilleys-400-wins-is-tops-among-coaches-with-american-professional-clubs-and-its-not-even-close/</v>
      </c>
    </row>
    <row r="129" spans="1:15" ht="105.6" x14ac:dyDescent="0.3">
      <c r="A129" s="2" t="s">
        <v>1602</v>
      </c>
      <c r="B129" s="2" t="s">
        <v>2289</v>
      </c>
      <c r="C129" s="2"/>
      <c r="D129" s="2" t="s">
        <v>2290</v>
      </c>
      <c r="E129" s="2" t="str">
        <f>HYPERLINK("http://twitter.com/MichaelBattista")</f>
        <v>http://twitter.com/MichaelBattista</v>
      </c>
      <c r="F129" s="2" t="str">
        <f>HYPERLINK("https://muckrack.com/michael-battista")</f>
        <v>https://muckrack.com/michael-battista</v>
      </c>
      <c r="G129" s="2">
        <v>1614</v>
      </c>
      <c r="H129" s="2" t="s">
        <v>2291</v>
      </c>
      <c r="I129" s="2" t="s">
        <v>2292</v>
      </c>
      <c r="J129" s="2" t="s">
        <v>2033</v>
      </c>
      <c r="K129" s="2" t="s">
        <v>2034</v>
      </c>
      <c r="L129" s="2" t="s">
        <v>2293</v>
      </c>
      <c r="M129" s="5">
        <v>45532.582812499997</v>
      </c>
      <c r="N129" s="2" t="str">
        <f>HYPERLINK("http://twitter.com/MichaelBattista/status/1828854876094468256")</f>
        <v>http://twitter.com/MichaelBattista/status/1828854876094468256</v>
      </c>
      <c r="O129" s="2" t="str">
        <f>HYPERLINK("https://territoriomls.com/en/2024/08/why-the-lamar-hunt-u-s-open-cup-is-crucial-for-mls-teams/")</f>
        <v>https://territoriomls.com/en/2024/08/why-the-lamar-hunt-u-s-open-cup-is-crucial-for-mls-teams/</v>
      </c>
    </row>
    <row r="130" spans="1:15" ht="66" x14ac:dyDescent="0.3">
      <c r="A130" s="2" t="s">
        <v>29</v>
      </c>
      <c r="B130" s="2" t="s">
        <v>1910</v>
      </c>
      <c r="C130" s="2" t="s">
        <v>1911</v>
      </c>
      <c r="D130" s="2" t="s">
        <v>1912</v>
      </c>
      <c r="E130" s="2" t="str">
        <f>HYPERLINK("http://twitter.com/DougRobersonAJC")</f>
        <v>http://twitter.com/DougRobersonAJC</v>
      </c>
      <c r="F130" s="2" t="str">
        <f>HYPERLINK("https://muckrack.com/doug-roberson")</f>
        <v>https://muckrack.com/doug-roberson</v>
      </c>
      <c r="G130" s="2">
        <v>16740</v>
      </c>
      <c r="H130" s="2" t="s">
        <v>1913</v>
      </c>
      <c r="I130" s="2" t="s">
        <v>1914</v>
      </c>
      <c r="J130" s="2" t="s">
        <v>1915</v>
      </c>
      <c r="K130" s="2" t="s">
        <v>30</v>
      </c>
      <c r="L130" s="2" t="s">
        <v>2294</v>
      </c>
      <c r="M130" s="5">
        <v>45532.454826388886</v>
      </c>
      <c r="N130" s="2" t="str">
        <f>HYPERLINK("http://twitter.com/DougRobersonAJC/status/1828808495694852329")</f>
        <v>http://twitter.com/DougRobersonAJC/status/1828808495694852329</v>
      </c>
      <c r="O130" s="2" t="str">
        <f>HYPERLINK("https://www.ajc.com/sports/atlanta-united/atlanta-uniteds-derrick-williams-could-use-some-luck/BGPDCNM5Y5GQ7IG3CTKIDAPK3Q/")</f>
        <v>https://www.ajc.com/sports/atlanta-united/atlanta-uniteds-derrick-williams-could-use-some-luck/BGPDCNM5Y5GQ7IG3CTKIDAPK3Q/</v>
      </c>
    </row>
    <row r="131" spans="1:15" ht="52.8" x14ac:dyDescent="0.3">
      <c r="A131" s="2" t="s">
        <v>60</v>
      </c>
      <c r="B131" s="2" t="s">
        <v>1924</v>
      </c>
      <c r="C131" s="2" t="s">
        <v>1925</v>
      </c>
      <c r="D131" s="2" t="s">
        <v>1926</v>
      </c>
      <c r="E131" s="2" t="str">
        <f>HYPERLINK("http://twitter.com/Soccerwriter")</f>
        <v>http://twitter.com/Soccerwriter</v>
      </c>
      <c r="F131" s="2" t="str">
        <f>HYPERLINK("https://muckrack.com/michael-lewis-4")</f>
        <v>https://muckrack.com/michael-lewis-4</v>
      </c>
      <c r="G131" s="2">
        <v>9867</v>
      </c>
      <c r="H131" s="2" t="s">
        <v>1927</v>
      </c>
      <c r="I131" s="2" t="s">
        <v>1928</v>
      </c>
      <c r="J131" s="2" t="s">
        <v>1929</v>
      </c>
      <c r="K131" s="2" t="s">
        <v>1930</v>
      </c>
      <c r="L131" s="2" t="s">
        <v>2295</v>
      </c>
      <c r="M131" s="5">
        <v>45532.300243055557</v>
      </c>
      <c r="N131" s="2" t="str">
        <f>HYPERLINK("http://twitter.com/Soccerwriter/status/1828752475047989525")</f>
        <v>http://twitter.com/Soccerwriter/status/1828752475047989525</v>
      </c>
      <c r="O131" s="2" t="str">
        <f>HYPERLINK("https://www.frontrowsoccer.com/2024/08/28/storming-into-the-final-sporting-kc-blanks-indy-eleven-in-open-cup-semis/")</f>
        <v>https://www.frontrowsoccer.com/2024/08/28/storming-into-the-final-sporting-kc-blanks-indy-eleven-in-open-cup-semis/</v>
      </c>
    </row>
    <row r="132" spans="1:15" ht="52.8" x14ac:dyDescent="0.3">
      <c r="A132" s="2" t="s">
        <v>60</v>
      </c>
      <c r="B132" s="2" t="s">
        <v>1924</v>
      </c>
      <c r="C132" s="2" t="s">
        <v>1925</v>
      </c>
      <c r="D132" s="2" t="s">
        <v>1926</v>
      </c>
      <c r="E132" s="2" t="str">
        <f>HYPERLINK("http://twitter.com/Soccerwriter")</f>
        <v>http://twitter.com/Soccerwriter</v>
      </c>
      <c r="F132" s="2" t="str">
        <f>HYPERLINK("https://muckrack.com/michael-lewis-4")</f>
        <v>https://muckrack.com/michael-lewis-4</v>
      </c>
      <c r="G132" s="2">
        <v>9867</v>
      </c>
      <c r="H132" s="2" t="s">
        <v>1927</v>
      </c>
      <c r="I132" s="2" t="s">
        <v>1928</v>
      </c>
      <c r="J132" s="2" t="s">
        <v>1929</v>
      </c>
      <c r="K132" s="2" t="s">
        <v>1930</v>
      </c>
      <c r="L132" s="2" t="s">
        <v>2296</v>
      </c>
      <c r="M132" s="5">
        <v>45533.323750000003</v>
      </c>
      <c r="N132" s="2" t="str">
        <f>HYPERLINK("http://twitter.com/Soccerwriter/status/1829123382526284231")</f>
        <v>http://twitter.com/Soccerwriter/status/1829123382526284231</v>
      </c>
      <c r="O132" s="2" t="str">
        <f>HYPERLINK("https://www.frontrowsoccer.com/2024/08/28/storming-into-the-final-sporting-kc-blanks-indy-eleven-in-open-cup-semis/")</f>
        <v>https://www.frontrowsoccer.com/2024/08/28/storming-into-the-final-sporting-kc-blanks-indy-eleven-in-open-cup-semis/</v>
      </c>
    </row>
    <row r="133" spans="1:15" ht="66" x14ac:dyDescent="0.3">
      <c r="A133" s="2" t="s">
        <v>463</v>
      </c>
      <c r="B133" s="2" t="s">
        <v>2297</v>
      </c>
      <c r="C133" s="2" t="s">
        <v>2298</v>
      </c>
      <c r="D133" s="2" t="s">
        <v>2299</v>
      </c>
      <c r="E133" s="2" t="str">
        <f>HYPERLINK("http://twitter.com/MLSist")</f>
        <v>http://twitter.com/MLSist</v>
      </c>
      <c r="F133" s="2" t="str">
        <f>HYPERLINK("https://muckrack.com/pablo-maurer")</f>
        <v>https://muckrack.com/pablo-maurer</v>
      </c>
      <c r="G133" s="2">
        <v>42426</v>
      </c>
      <c r="H133" s="2"/>
      <c r="I133" s="2" t="s">
        <v>2300</v>
      </c>
      <c r="J133" s="2" t="s">
        <v>2033</v>
      </c>
      <c r="K133" s="2" t="s">
        <v>1565</v>
      </c>
      <c r="L133" s="2" t="s">
        <v>2301</v>
      </c>
      <c r="M133" s="5">
        <v>45532.358819444453</v>
      </c>
      <c r="N133" s="2" t="str">
        <f>HYPERLINK("http://twitter.com/MLSist/status/1828773702173130962")</f>
        <v>http://twitter.com/MLSist/status/1828773702173130962</v>
      </c>
      <c r="O133" s="2" t="str">
        <f>HYPERLINK("https://www.nytimes.com/athletic/5727785/2024/08/28/leagues-cup-mls-opinion/")</f>
        <v>https://www.nytimes.com/athletic/5727785/2024/08/28/leagues-cup-mls-opinion/</v>
      </c>
    </row>
    <row r="134" spans="1:15" ht="66" x14ac:dyDescent="0.3">
      <c r="A134" s="2" t="s">
        <v>263</v>
      </c>
      <c r="B134" s="2" t="s">
        <v>2221</v>
      </c>
      <c r="C134" s="2" t="s">
        <v>2222</v>
      </c>
      <c r="D134" s="2" t="s">
        <v>2223</v>
      </c>
      <c r="E134" s="2" t="str">
        <f>HYPERLINK("http://twitter.com/pkedit")</f>
        <v>http://twitter.com/pkedit</v>
      </c>
      <c r="F134" s="2" t="str">
        <f>HYPERLINK("https://muckrack.com/paul-kennedy")</f>
        <v>https://muckrack.com/paul-kennedy</v>
      </c>
      <c r="G134" s="2">
        <v>10080</v>
      </c>
      <c r="H134" s="2"/>
      <c r="I134" s="2" t="s">
        <v>2224</v>
      </c>
      <c r="J134" s="2" t="s">
        <v>1929</v>
      </c>
      <c r="K134" s="2" t="s">
        <v>264</v>
      </c>
      <c r="L134" s="2" t="s">
        <v>2302</v>
      </c>
      <c r="M134" s="5">
        <v>45532.425000000003</v>
      </c>
      <c r="N134" s="2" t="str">
        <f>HYPERLINK("http://twitter.com/pkedit/status/1828797685782163801")</f>
        <v>http://twitter.com/pkedit/status/1828797685782163801</v>
      </c>
      <c r="O134" s="2" t="str">
        <f>HYPERLINK("https://www.socceramerica.com/sporting-kansas-city-headed-to-fifth-open-cup-final/")</f>
        <v>https://www.socceramerica.com/sporting-kansas-city-headed-to-fifth-open-cup-final/</v>
      </c>
    </row>
    <row r="135" spans="1:15" ht="105.6" x14ac:dyDescent="0.3">
      <c r="A135" s="2" t="s">
        <v>2303</v>
      </c>
      <c r="B135" s="2" t="s">
        <v>2304</v>
      </c>
      <c r="C135" s="2" t="s">
        <v>2305</v>
      </c>
      <c r="D135" s="2" t="s">
        <v>2306</v>
      </c>
      <c r="E135" s="2" t="str">
        <f>HYPERLINK("http://twitter.com/ChasenScott")</f>
        <v>http://twitter.com/ChasenScott</v>
      </c>
      <c r="F135" s="2" t="str">
        <f>HYPERLINK("https://muckrack.com/scott-chasen")</f>
        <v>https://muckrack.com/scott-chasen</v>
      </c>
      <c r="G135" s="2">
        <v>8971</v>
      </c>
      <c r="H135" s="2" t="s">
        <v>2307</v>
      </c>
      <c r="I135" s="2" t="s">
        <v>2308</v>
      </c>
      <c r="J135" s="2" t="s">
        <v>2000</v>
      </c>
      <c r="K135" s="2" t="s">
        <v>2309</v>
      </c>
      <c r="L135" s="2" t="s">
        <v>2310</v>
      </c>
      <c r="M135" s="5">
        <v>45532.042118055557</v>
      </c>
      <c r="N135" s="2" t="str">
        <f>HYPERLINK("http://twitter.com/ChasenScott/status/1828658936448270681")</f>
        <v>http://twitter.com/ChasenScott/status/1828658936448270681</v>
      </c>
      <c r="O135" s="2" t="str">
        <f>HYPERLINK("https://www.kansascity.com/sports/soccer/sporting-kc/article291578125.html")</f>
        <v>https://www.kansascity.com/sports/soccer/sporting-kc/article291578125.html</v>
      </c>
    </row>
    <row r="136" spans="1:15" ht="105.6" x14ac:dyDescent="0.3">
      <c r="A136" s="2" t="s">
        <v>474</v>
      </c>
      <c r="B136" s="2" t="s">
        <v>2311</v>
      </c>
      <c r="C136" s="2" t="s">
        <v>2312</v>
      </c>
      <c r="D136" s="2" t="s">
        <v>2313</v>
      </c>
      <c r="E136" s="2" t="str">
        <f>HYPERLINK("http://twitter.com/sperrydaniel94")</f>
        <v>http://twitter.com/sperrydaniel94</v>
      </c>
      <c r="F136" s="2" t="str">
        <f>HYPERLINK("https://muckrack.com/daniel-sperry-1")</f>
        <v>https://muckrack.com/daniel-sperry-1</v>
      </c>
      <c r="G136" s="2">
        <v>4581</v>
      </c>
      <c r="H136" s="2" t="s">
        <v>2314</v>
      </c>
      <c r="I136" s="2" t="s">
        <v>2315</v>
      </c>
      <c r="J136" s="2" t="s">
        <v>1954</v>
      </c>
      <c r="K136" s="2" t="s">
        <v>434</v>
      </c>
      <c r="L136" s="2" t="s">
        <v>2316</v>
      </c>
      <c r="M136" s="5">
        <v>45532.466909722221</v>
      </c>
      <c r="N136" s="2" t="str">
        <f>HYPERLINK("http://twitter.com/sperrydaniel94/status/1828812872350371978")</f>
        <v>http://twitter.com/sperrydaniel94/status/1828812872350371978</v>
      </c>
      <c r="O136" s="2" t="str">
        <f>HYPERLINK("https://www.kansascity.com/sports/soccer/sporting-kc/article291578125.html")</f>
        <v>https://www.kansascity.com/sports/soccer/sporting-kc/article291578125.html</v>
      </c>
    </row>
    <row r="137" spans="1:15" ht="118.8" x14ac:dyDescent="0.3">
      <c r="A137" s="2" t="s">
        <v>2317</v>
      </c>
      <c r="B137" s="2" t="s">
        <v>2318</v>
      </c>
      <c r="C137" s="2"/>
      <c r="D137" s="2" t="s">
        <v>2319</v>
      </c>
      <c r="E137" s="2" t="str">
        <f>HYPERLINK("http://twitter.com/BrianSciaretta")</f>
        <v>http://twitter.com/BrianSciaretta</v>
      </c>
      <c r="F137" s="2" t="str">
        <f>HYPERLINK("https://muckrack.com/brian-sciaretta")</f>
        <v>https://muckrack.com/brian-sciaretta</v>
      </c>
      <c r="G137" s="2">
        <v>38589</v>
      </c>
      <c r="H137" s="2" t="s">
        <v>2320</v>
      </c>
      <c r="I137" s="2" t="s">
        <v>2321</v>
      </c>
      <c r="J137" s="2" t="s">
        <v>1929</v>
      </c>
      <c r="K137" s="2" t="s">
        <v>2034</v>
      </c>
      <c r="L137" s="2" t="s">
        <v>2322</v>
      </c>
      <c r="M137" s="5">
        <v>45532.819513888891</v>
      </c>
      <c r="N137" s="2" t="str">
        <f>HYPERLINK("http://twitter.com/BrianSciaretta/status/1828940654858117522")</f>
        <v>http://twitter.com/BrianSciaretta/status/1828940654858117522</v>
      </c>
      <c r="O137" s="2" t="str">
        <f>HYPERLINK("http://www.americansoccernow.com/articles/skc-ends-indy-s-usoc-dream-brooks-returns-home-tessmann-to-lyon-amp-celtic-after-trusty")</f>
        <v>http://www.americansoccernow.com/articles/skc-ends-indy-s-usoc-dream-brooks-returns-home-tessmann-to-lyon-amp-celtic-after-trusty</v>
      </c>
    </row>
    <row r="138" spans="1:15" ht="92.4" x14ac:dyDescent="0.3">
      <c r="A138" s="2" t="s">
        <v>467</v>
      </c>
      <c r="B138" s="2" t="s">
        <v>2061</v>
      </c>
      <c r="C138" s="2" t="s">
        <v>2323</v>
      </c>
      <c r="D138" s="2" t="s">
        <v>2324</v>
      </c>
      <c r="E138" s="2" t="str">
        <f>HYPERLINK("http://twitter.com/ByPJGreen")</f>
        <v>http://twitter.com/ByPJGreen</v>
      </c>
      <c r="F138" s="2" t="str">
        <f>HYPERLINK("https://muckrack.com/pj-green-1")</f>
        <v>https://muckrack.com/pj-green-1</v>
      </c>
      <c r="G138" s="2">
        <v>6650</v>
      </c>
      <c r="H138" s="2" t="s">
        <v>2325</v>
      </c>
      <c r="I138" s="2" t="s">
        <v>2326</v>
      </c>
      <c r="J138" s="2" t="s">
        <v>2327</v>
      </c>
      <c r="K138" s="2" t="s">
        <v>434</v>
      </c>
      <c r="L138" s="2" t="s">
        <v>2328</v>
      </c>
      <c r="M138" s="5">
        <v>45531.807164351849</v>
      </c>
      <c r="N138" s="2" t="str">
        <f>HYPERLINK("http://twitter.com/ByPJGreen/status/1828573790353211413")</f>
        <v>http://twitter.com/ByPJGreen/status/1828573790353211413</v>
      </c>
      <c r="O138" s="2" t="str">
        <f t="shared" ref="O138:O152" si="7">HYPERLINK("https://tv.apple.com/us/sporting-event/sporting-kansas-city-vs-indy-eleven/umc.cse.28hjj6sxissompwsyyx7z1a0w")</f>
        <v>https://tv.apple.com/us/sporting-event/sporting-kansas-city-vs-indy-eleven/umc.cse.28hjj6sxissompwsyyx7z1a0w</v>
      </c>
    </row>
    <row r="139" spans="1:15" ht="66" x14ac:dyDescent="0.3">
      <c r="A139" s="2" t="s">
        <v>467</v>
      </c>
      <c r="B139" s="2" t="s">
        <v>2061</v>
      </c>
      <c r="C139" s="2" t="s">
        <v>2323</v>
      </c>
      <c r="D139" s="2" t="s">
        <v>2324</v>
      </c>
      <c r="E139" s="2" t="str">
        <f>HYPERLINK("http://twitter.com/ByPJGreen")</f>
        <v>http://twitter.com/ByPJGreen</v>
      </c>
      <c r="F139" s="2" t="str">
        <f>HYPERLINK("https://muckrack.com/pj-green-1")</f>
        <v>https://muckrack.com/pj-green-1</v>
      </c>
      <c r="G139" s="2">
        <v>6650</v>
      </c>
      <c r="H139" s="2" t="s">
        <v>2325</v>
      </c>
      <c r="I139" s="2" t="s">
        <v>2326</v>
      </c>
      <c r="J139" s="2" t="s">
        <v>2327</v>
      </c>
      <c r="K139" s="2" t="s">
        <v>434</v>
      </c>
      <c r="L139" s="2" t="s">
        <v>2329</v>
      </c>
      <c r="M139" s="5">
        <v>45531.91810185185</v>
      </c>
      <c r="N139" s="2" t="str">
        <f>HYPERLINK("http://twitter.com/ByPJGreen/status/1828613994199871863")</f>
        <v>http://twitter.com/ByPJGreen/status/1828613994199871863</v>
      </c>
      <c r="O139" s="2" t="str">
        <f t="shared" si="7"/>
        <v>https://tv.apple.com/us/sporting-event/sporting-kansas-city-vs-indy-eleven/umc.cse.28hjj6sxissompwsyyx7z1a0w</v>
      </c>
    </row>
    <row r="140" spans="1:15" ht="66" x14ac:dyDescent="0.3">
      <c r="A140" s="2" t="s">
        <v>2330</v>
      </c>
      <c r="B140" s="2" t="s">
        <v>2331</v>
      </c>
      <c r="C140" s="2" t="s">
        <v>2332</v>
      </c>
      <c r="D140" s="2" t="s">
        <v>2333</v>
      </c>
      <c r="E140" s="2" t="str">
        <f>HYPERLINK("http://twitter.com/ZimmKC")</f>
        <v>http://twitter.com/ZimmKC</v>
      </c>
      <c r="F140" s="2" t="str">
        <f>HYPERLINK("https://muckrack.com/andrew-zimmerman")</f>
        <v>https://muckrack.com/andrew-zimmerman</v>
      </c>
      <c r="G140" s="2">
        <v>2738</v>
      </c>
      <c r="H140" s="2" t="s">
        <v>2334</v>
      </c>
      <c r="I140" s="2" t="s">
        <v>2335</v>
      </c>
      <c r="J140" s="2" t="s">
        <v>1954</v>
      </c>
      <c r="K140" s="2" t="s">
        <v>469</v>
      </c>
      <c r="L140" s="2" t="s">
        <v>2329</v>
      </c>
      <c r="M140" s="5">
        <v>45531.919363425928</v>
      </c>
      <c r="N140" s="2" t="str">
        <f>HYPERLINK("http://twitter.com/ZimmKC/status/1828614449340592562")</f>
        <v>http://twitter.com/ZimmKC/status/1828614449340592562</v>
      </c>
      <c r="O140" s="2" t="str">
        <f t="shared" si="7"/>
        <v>https://tv.apple.com/us/sporting-event/sporting-kansas-city-vs-indy-eleven/umc.cse.28hjj6sxissompwsyyx7z1a0w</v>
      </c>
    </row>
    <row r="141" spans="1:15" ht="66" x14ac:dyDescent="0.3">
      <c r="A141" s="2" t="s">
        <v>2336</v>
      </c>
      <c r="B141" s="2" t="s">
        <v>2024</v>
      </c>
      <c r="C141" s="2" t="s">
        <v>2337</v>
      </c>
      <c r="D141" s="2" t="s">
        <v>2338</v>
      </c>
      <c r="E141" s="2" t="str">
        <f>HYPERLINK("http://twitter.com/RobCollinsTV")</f>
        <v>http://twitter.com/RobCollinsTV</v>
      </c>
      <c r="F141" s="2" t="str">
        <f>HYPERLINK("https://muckrack.com/rob-collins")</f>
        <v>https://muckrack.com/rob-collins</v>
      </c>
      <c r="G141" s="2">
        <v>9190</v>
      </c>
      <c r="H141" s="2" t="s">
        <v>2314</v>
      </c>
      <c r="I141" s="2" t="s">
        <v>2339</v>
      </c>
      <c r="J141" s="2" t="s">
        <v>2000</v>
      </c>
      <c r="K141" s="2" t="s">
        <v>469</v>
      </c>
      <c r="L141" s="2" t="s">
        <v>2329</v>
      </c>
      <c r="M141" s="5">
        <v>45531.919444444437</v>
      </c>
      <c r="N141" s="2" t="str">
        <f>HYPERLINK("http://twitter.com/RobCollinsTV/status/1828614479677915359")</f>
        <v>http://twitter.com/RobCollinsTV/status/1828614479677915359</v>
      </c>
      <c r="O141" s="2" t="str">
        <f t="shared" si="7"/>
        <v>https://tv.apple.com/us/sporting-event/sporting-kansas-city-vs-indy-eleven/umc.cse.28hjj6sxissompwsyyx7z1a0w</v>
      </c>
    </row>
    <row r="142" spans="1:15" ht="66" x14ac:dyDescent="0.3">
      <c r="A142" s="2" t="s">
        <v>2336</v>
      </c>
      <c r="B142" s="2" t="s">
        <v>2024</v>
      </c>
      <c r="C142" s="2" t="s">
        <v>2337</v>
      </c>
      <c r="D142" s="2" t="s">
        <v>2338</v>
      </c>
      <c r="E142" s="2" t="str">
        <f>HYPERLINK("http://twitter.com/RobCollinsTV")</f>
        <v>http://twitter.com/RobCollinsTV</v>
      </c>
      <c r="F142" s="2" t="str">
        <f>HYPERLINK("https://muckrack.com/rob-collins")</f>
        <v>https://muckrack.com/rob-collins</v>
      </c>
      <c r="G142" s="2">
        <v>9190</v>
      </c>
      <c r="H142" s="2" t="s">
        <v>2314</v>
      </c>
      <c r="I142" s="2" t="s">
        <v>2339</v>
      </c>
      <c r="J142" s="2" t="s">
        <v>2000</v>
      </c>
      <c r="K142" s="2" t="s">
        <v>469</v>
      </c>
      <c r="L142" s="2" t="s">
        <v>2340</v>
      </c>
      <c r="M142" s="5">
        <v>45531.960092592592</v>
      </c>
      <c r="N142" s="2" t="str">
        <f>HYPERLINK("http://twitter.com/RobCollinsTV/status/1828629209444389048")</f>
        <v>http://twitter.com/RobCollinsTV/status/1828629209444389048</v>
      </c>
      <c r="O142" s="2" t="str">
        <f t="shared" si="7"/>
        <v>https://tv.apple.com/us/sporting-event/sporting-kansas-city-vs-indy-eleven/umc.cse.28hjj6sxissompwsyyx7z1a0w</v>
      </c>
    </row>
    <row r="143" spans="1:15" ht="66" x14ac:dyDescent="0.3">
      <c r="A143" s="2" t="s">
        <v>2336</v>
      </c>
      <c r="B143" s="2" t="s">
        <v>2024</v>
      </c>
      <c r="C143" s="2" t="s">
        <v>2337</v>
      </c>
      <c r="D143" s="2" t="s">
        <v>2338</v>
      </c>
      <c r="E143" s="2" t="str">
        <f>HYPERLINK("http://twitter.com/RobCollinsTV")</f>
        <v>http://twitter.com/RobCollinsTV</v>
      </c>
      <c r="F143" s="2" t="str">
        <f>HYPERLINK("https://muckrack.com/rob-collins")</f>
        <v>https://muckrack.com/rob-collins</v>
      </c>
      <c r="G143" s="2">
        <v>9190</v>
      </c>
      <c r="H143" s="2" t="s">
        <v>2314</v>
      </c>
      <c r="I143" s="2" t="s">
        <v>2339</v>
      </c>
      <c r="J143" s="2" t="s">
        <v>2000</v>
      </c>
      <c r="K143" s="2" t="s">
        <v>469</v>
      </c>
      <c r="L143" s="2" t="s">
        <v>2341</v>
      </c>
      <c r="M143" s="5">
        <v>45531.985601851848</v>
      </c>
      <c r="N143" s="2" t="str">
        <f>HYPERLINK("http://twitter.com/RobCollinsTV/status/1828638453552050500")</f>
        <v>http://twitter.com/RobCollinsTV/status/1828638453552050500</v>
      </c>
      <c r="O143" s="2" t="str">
        <f t="shared" si="7"/>
        <v>https://tv.apple.com/us/sporting-event/sporting-kansas-city-vs-indy-eleven/umc.cse.28hjj6sxissompwsyyx7z1a0w</v>
      </c>
    </row>
    <row r="144" spans="1:15" ht="66" x14ac:dyDescent="0.3">
      <c r="A144" s="2" t="s">
        <v>2342</v>
      </c>
      <c r="B144" s="2" t="s">
        <v>2343</v>
      </c>
      <c r="C144" s="2" t="s">
        <v>2344</v>
      </c>
      <c r="D144" s="2" t="s">
        <v>2345</v>
      </c>
      <c r="E144" s="2" t="str">
        <f>HYPERLINK("http://twitter.com/HeidisView")</f>
        <v>http://twitter.com/HeidisView</v>
      </c>
      <c r="F144" s="2" t="str">
        <f>HYPERLINK("https://muckrack.com/heidi-schmidt")</f>
        <v>https://muckrack.com/heidi-schmidt</v>
      </c>
      <c r="G144" s="2">
        <v>1257</v>
      </c>
      <c r="H144" s="2" t="s">
        <v>2314</v>
      </c>
      <c r="I144" s="2" t="s">
        <v>2346</v>
      </c>
      <c r="J144" s="2" t="s">
        <v>1954</v>
      </c>
      <c r="K144" s="2" t="s">
        <v>488</v>
      </c>
      <c r="L144" s="2" t="s">
        <v>2329</v>
      </c>
      <c r="M144" s="5">
        <v>45531.91946759259</v>
      </c>
      <c r="N144" s="2" t="str">
        <f>HYPERLINK("http://twitter.com/HeidisView/status/1828614488657985598")</f>
        <v>http://twitter.com/HeidisView/status/1828614488657985598</v>
      </c>
      <c r="O144" s="2" t="str">
        <f t="shared" si="7"/>
        <v>https://tv.apple.com/us/sporting-event/sporting-kansas-city-vs-indy-eleven/umc.cse.28hjj6sxissompwsyyx7z1a0w</v>
      </c>
    </row>
    <row r="145" spans="1:15" ht="66" x14ac:dyDescent="0.3">
      <c r="A145" s="2" t="s">
        <v>474</v>
      </c>
      <c r="B145" s="2" t="s">
        <v>2311</v>
      </c>
      <c r="C145" s="2" t="s">
        <v>2312</v>
      </c>
      <c r="D145" s="2" t="s">
        <v>2313</v>
      </c>
      <c r="E145" s="2" t="str">
        <f>HYPERLINK("http://twitter.com/sperrydaniel94")</f>
        <v>http://twitter.com/sperrydaniel94</v>
      </c>
      <c r="F145" s="2" t="str">
        <f>HYPERLINK("https://muckrack.com/daniel-sperry-1")</f>
        <v>https://muckrack.com/daniel-sperry-1</v>
      </c>
      <c r="G145" s="2">
        <v>4581</v>
      </c>
      <c r="H145" s="2" t="s">
        <v>2314</v>
      </c>
      <c r="I145" s="2" t="s">
        <v>2315</v>
      </c>
      <c r="J145" s="2" t="s">
        <v>1954</v>
      </c>
      <c r="K145" s="2" t="s">
        <v>434</v>
      </c>
      <c r="L145" s="2" t="s">
        <v>2329</v>
      </c>
      <c r="M145" s="5">
        <v>45531.919756944437</v>
      </c>
      <c r="N145" s="2" t="str">
        <f>HYPERLINK("http://twitter.com/sperrydaniel94/status/1828614590340460815")</f>
        <v>http://twitter.com/sperrydaniel94/status/1828614590340460815</v>
      </c>
      <c r="O145" s="2" t="str">
        <f t="shared" si="7"/>
        <v>https://tv.apple.com/us/sporting-event/sporting-kansas-city-vs-indy-eleven/umc.cse.28hjj6sxissompwsyyx7z1a0w</v>
      </c>
    </row>
    <row r="146" spans="1:15" ht="66" x14ac:dyDescent="0.3">
      <c r="A146" s="2" t="s">
        <v>2347</v>
      </c>
      <c r="B146" s="2" t="s">
        <v>2215</v>
      </c>
      <c r="C146" s="2" t="s">
        <v>2348</v>
      </c>
      <c r="D146" s="2" t="s">
        <v>2349</v>
      </c>
      <c r="E146" s="2" t="str">
        <f>HYPERLINK("http://twitter.com/HaroldRKuntz3")</f>
        <v>http://twitter.com/HaroldRKuntz3</v>
      </c>
      <c r="F146" s="2" t="str">
        <f>HYPERLINK("https://muckrack.com/harold-kuntz")</f>
        <v>https://muckrack.com/harold-kuntz</v>
      </c>
      <c r="G146" s="2">
        <v>22821</v>
      </c>
      <c r="H146" s="2" t="s">
        <v>2307</v>
      </c>
      <c r="I146" s="2" t="s">
        <v>2350</v>
      </c>
      <c r="J146" s="2" t="s">
        <v>2351</v>
      </c>
      <c r="K146" s="2" t="s">
        <v>469</v>
      </c>
      <c r="L146" s="2" t="s">
        <v>2329</v>
      </c>
      <c r="M146" s="5">
        <v>45531.920138888891</v>
      </c>
      <c r="N146" s="2" t="str">
        <f>HYPERLINK("http://twitter.com/HaroldRKuntz3/status/1828614730182754392")</f>
        <v>http://twitter.com/HaroldRKuntz3/status/1828614730182754392</v>
      </c>
      <c r="O146" s="2" t="str">
        <f t="shared" si="7"/>
        <v>https://tv.apple.com/us/sporting-event/sporting-kansas-city-vs-indy-eleven/umc.cse.28hjj6sxissompwsyyx7z1a0w</v>
      </c>
    </row>
    <row r="147" spans="1:15" ht="66" x14ac:dyDescent="0.3">
      <c r="A147" s="2" t="s">
        <v>2347</v>
      </c>
      <c r="B147" s="2" t="s">
        <v>2215</v>
      </c>
      <c r="C147" s="2" t="s">
        <v>2348</v>
      </c>
      <c r="D147" s="2" t="s">
        <v>2349</v>
      </c>
      <c r="E147" s="2" t="str">
        <f>HYPERLINK("http://twitter.com/HaroldRKuntz3")</f>
        <v>http://twitter.com/HaroldRKuntz3</v>
      </c>
      <c r="F147" s="2" t="str">
        <f>HYPERLINK("https://muckrack.com/harold-kuntz")</f>
        <v>https://muckrack.com/harold-kuntz</v>
      </c>
      <c r="G147" s="2">
        <v>22821</v>
      </c>
      <c r="H147" s="2" t="s">
        <v>2307</v>
      </c>
      <c r="I147" s="2" t="s">
        <v>2350</v>
      </c>
      <c r="J147" s="2" t="s">
        <v>2351</v>
      </c>
      <c r="K147" s="2" t="s">
        <v>469</v>
      </c>
      <c r="L147" s="2" t="s">
        <v>2340</v>
      </c>
      <c r="M147" s="5">
        <v>45531.962337962963</v>
      </c>
      <c r="N147" s="2" t="str">
        <f>HYPERLINK("http://twitter.com/HaroldRKuntz3/status/1828630021306511617")</f>
        <v>http://twitter.com/HaroldRKuntz3/status/1828630021306511617</v>
      </c>
      <c r="O147" s="2" t="str">
        <f t="shared" si="7"/>
        <v>https://tv.apple.com/us/sporting-event/sporting-kansas-city-vs-indy-eleven/umc.cse.28hjj6sxissompwsyyx7z1a0w</v>
      </c>
    </row>
    <row r="148" spans="1:15" ht="66" x14ac:dyDescent="0.3">
      <c r="A148" s="2" t="s">
        <v>2352</v>
      </c>
      <c r="B148" s="2" t="s">
        <v>2172</v>
      </c>
      <c r="C148" s="2"/>
      <c r="D148" s="2" t="s">
        <v>2353</v>
      </c>
      <c r="E148" s="2" t="str">
        <f>HYPERLINK("http://twitter.com/NPaceSports")</f>
        <v>http://twitter.com/NPaceSports</v>
      </c>
      <c r="F148" s="2" t="str">
        <f>HYPERLINK("https://muckrack.com/nathan-pace")</f>
        <v>https://muckrack.com/nathan-pace</v>
      </c>
      <c r="G148" s="2">
        <v>1398</v>
      </c>
      <c r="H148" s="2" t="s">
        <v>2354</v>
      </c>
      <c r="I148" s="2" t="s">
        <v>2355</v>
      </c>
      <c r="J148" s="2" t="s">
        <v>2000</v>
      </c>
      <c r="K148" s="2" t="s">
        <v>2356</v>
      </c>
      <c r="L148" s="2" t="s">
        <v>2329</v>
      </c>
      <c r="M148" s="5">
        <v>45531.921134259261</v>
      </c>
      <c r="N148" s="2" t="str">
        <f>HYPERLINK("http://twitter.com/NPaceSports/status/1828615090779639817")</f>
        <v>http://twitter.com/NPaceSports/status/1828615090779639817</v>
      </c>
      <c r="O148" s="2" t="str">
        <f t="shared" si="7"/>
        <v>https://tv.apple.com/us/sporting-event/sporting-kansas-city-vs-indy-eleven/umc.cse.28hjj6sxissompwsyyx7z1a0w</v>
      </c>
    </row>
    <row r="149" spans="1:15" ht="66" x14ac:dyDescent="0.3">
      <c r="A149" s="2" t="s">
        <v>2357</v>
      </c>
      <c r="B149" s="2" t="s">
        <v>2061</v>
      </c>
      <c r="C149" s="2" t="s">
        <v>2358</v>
      </c>
      <c r="D149" s="2" t="s">
        <v>2359</v>
      </c>
      <c r="E149" s="2" t="str">
        <f>HYPERLINK("http://twitter.com/CWatkinsNews")</f>
        <v>http://twitter.com/CWatkinsNews</v>
      </c>
      <c r="F149" s="2" t="str">
        <f>HYPERLINK("https://muckrack.com/chandler-watkins")</f>
        <v>https://muckrack.com/chandler-watkins</v>
      </c>
      <c r="G149" s="2">
        <v>1197</v>
      </c>
      <c r="H149" s="2" t="s">
        <v>2307</v>
      </c>
      <c r="I149" s="2" t="s">
        <v>2360</v>
      </c>
      <c r="J149" s="2" t="s">
        <v>2361</v>
      </c>
      <c r="K149" s="2" t="s">
        <v>488</v>
      </c>
      <c r="L149" s="2" t="s">
        <v>2329</v>
      </c>
      <c r="M149" s="5">
        <v>45531.925000000003</v>
      </c>
      <c r="N149" s="2" t="str">
        <f>HYPERLINK("http://twitter.com/CWatkinsNews/status/1828616490670751922")</f>
        <v>http://twitter.com/CWatkinsNews/status/1828616490670751922</v>
      </c>
      <c r="O149" s="2" t="str">
        <f t="shared" si="7"/>
        <v>https://tv.apple.com/us/sporting-event/sporting-kansas-city-vs-indy-eleven/umc.cse.28hjj6sxissompwsyyx7z1a0w</v>
      </c>
    </row>
    <row r="150" spans="1:15" ht="66" x14ac:dyDescent="0.3">
      <c r="A150" s="2" t="s">
        <v>2362</v>
      </c>
      <c r="B150" s="2" t="s">
        <v>2363</v>
      </c>
      <c r="C150" s="2" t="s">
        <v>2364</v>
      </c>
      <c r="D150" s="2" t="s">
        <v>2365</v>
      </c>
      <c r="E150" s="2" t="str">
        <f>HYPERLINK("http://twitter.com/victoraraiza")</f>
        <v>http://twitter.com/victoraraiza</v>
      </c>
      <c r="F150" s="2" t="str">
        <f>HYPERLINK("https://muckrack.com/victor-araiza-1")</f>
        <v>https://muckrack.com/victor-araiza-1</v>
      </c>
      <c r="G150" s="2">
        <v>6470</v>
      </c>
      <c r="H150" s="2" t="s">
        <v>2366</v>
      </c>
      <c r="I150" s="2" t="s">
        <v>2367</v>
      </c>
      <c r="J150" s="2" t="s">
        <v>1929</v>
      </c>
      <c r="K150" s="2" t="s">
        <v>2034</v>
      </c>
      <c r="L150" s="2" t="s">
        <v>2329</v>
      </c>
      <c r="M150" s="5">
        <v>45531.943310185183</v>
      </c>
      <c r="N150" s="2" t="str">
        <f>HYPERLINK("http://twitter.com/victoraraiza/status/1828623128953540915")</f>
        <v>http://twitter.com/victoraraiza/status/1828623128953540915</v>
      </c>
      <c r="O150" s="2" t="str">
        <f t="shared" si="7"/>
        <v>https://tv.apple.com/us/sporting-event/sporting-kansas-city-vs-indy-eleven/umc.cse.28hjj6sxissompwsyyx7z1a0w</v>
      </c>
    </row>
    <row r="151" spans="1:15" ht="66" x14ac:dyDescent="0.3">
      <c r="A151" s="2" t="s">
        <v>1578</v>
      </c>
      <c r="B151" s="2" t="s">
        <v>2363</v>
      </c>
      <c r="C151" s="2" t="s">
        <v>2368</v>
      </c>
      <c r="D151" s="2" t="s">
        <v>2369</v>
      </c>
      <c r="E151" s="2" t="str">
        <f>HYPERLINK("http://twitter.com/choosesam")</f>
        <v>http://twitter.com/choosesam</v>
      </c>
      <c r="F151" s="2" t="str">
        <f>HYPERLINK("https://muckrack.com/choosesam")</f>
        <v>https://muckrack.com/choosesam</v>
      </c>
      <c r="G151" s="2">
        <v>4346</v>
      </c>
      <c r="H151" s="2" t="s">
        <v>2370</v>
      </c>
      <c r="I151" s="2" t="s">
        <v>2371</v>
      </c>
      <c r="J151" s="2" t="s">
        <v>2033</v>
      </c>
      <c r="K151" s="2" t="s">
        <v>2034</v>
      </c>
      <c r="L151" s="2" t="s">
        <v>2329</v>
      </c>
      <c r="M151" s="5">
        <v>45531.957650462973</v>
      </c>
      <c r="N151" s="2" t="str">
        <f>HYPERLINK("http://twitter.com/choosesam/status/1828628324505080033")</f>
        <v>http://twitter.com/choosesam/status/1828628324505080033</v>
      </c>
      <c r="O151" s="2" t="str">
        <f t="shared" si="7"/>
        <v>https://tv.apple.com/us/sporting-event/sporting-kansas-city-vs-indy-eleven/umc.cse.28hjj6sxissompwsyyx7z1a0w</v>
      </c>
    </row>
    <row r="152" spans="1:15" ht="66" x14ac:dyDescent="0.3">
      <c r="A152" s="2" t="s">
        <v>96</v>
      </c>
      <c r="B152" s="2" t="s">
        <v>2372</v>
      </c>
      <c r="C152" s="2" t="s">
        <v>2373</v>
      </c>
      <c r="D152" s="2" t="s">
        <v>2374</v>
      </c>
      <c r="E152" s="2" t="str">
        <f>HYPERLINK("http://twitter.com/pbergabo")</f>
        <v>http://twitter.com/pbergabo</v>
      </c>
      <c r="F152" s="2" t="str">
        <f>HYPERLINK("https://muckrack.com/patrik-bergabo")</f>
        <v>https://muckrack.com/patrik-bergabo</v>
      </c>
      <c r="G152" s="2">
        <v>701</v>
      </c>
      <c r="H152" s="2" t="s">
        <v>2375</v>
      </c>
      <c r="I152" s="2" t="s">
        <v>2376</v>
      </c>
      <c r="J152" s="2" t="s">
        <v>2033</v>
      </c>
      <c r="K152" s="2" t="s">
        <v>97</v>
      </c>
      <c r="L152" s="2" t="s">
        <v>2340</v>
      </c>
      <c r="M152" s="5">
        <v>45532.154444444437</v>
      </c>
      <c r="N152" s="2" t="str">
        <f>HYPERLINK("http://twitter.com/pbergabo/status/1828699640700469274")</f>
        <v>http://twitter.com/pbergabo/status/1828699640700469274</v>
      </c>
      <c r="O152" s="2" t="str">
        <f t="shared" si="7"/>
        <v>https://tv.apple.com/us/sporting-event/sporting-kansas-city-vs-indy-eleven/umc.cse.28hjj6sxissompwsyyx7z1a0w</v>
      </c>
    </row>
    <row r="153" spans="1:15" ht="105.6" x14ac:dyDescent="0.3">
      <c r="A153" s="2" t="s">
        <v>1602</v>
      </c>
      <c r="B153" s="2" t="s">
        <v>2289</v>
      </c>
      <c r="C153" s="2"/>
      <c r="D153" s="2" t="s">
        <v>2290</v>
      </c>
      <c r="E153" s="2" t="str">
        <f>HYPERLINK("http://twitter.com/MichaelBattista")</f>
        <v>http://twitter.com/MichaelBattista</v>
      </c>
      <c r="F153" s="2" t="str">
        <f>HYPERLINK("https://muckrack.com/michael-battista")</f>
        <v>https://muckrack.com/michael-battista</v>
      </c>
      <c r="G153" s="2">
        <v>1614</v>
      </c>
      <c r="H153" s="2" t="s">
        <v>2291</v>
      </c>
      <c r="I153" s="2" t="s">
        <v>2292</v>
      </c>
      <c r="J153" s="2" t="s">
        <v>2033</v>
      </c>
      <c r="K153" s="2" t="s">
        <v>2034</v>
      </c>
      <c r="L153" s="2" t="s">
        <v>2377</v>
      </c>
      <c r="M153" s="5">
        <v>45531.442476851851</v>
      </c>
      <c r="N153" s="2" t="str">
        <f>HYPERLINK("http://twitter.com/MichaelBattista/status/1828441633739674023")</f>
        <v>http://twitter.com/MichaelBattista/status/1828441633739674023</v>
      </c>
      <c r="O153" s="2" t="str">
        <f>HYPERLINK("https://www.hudsonriverblue.com/drama-history-and-bias-the-us-open-cup-semifinals-start-today/")</f>
        <v>https://www.hudsonriverblue.com/drama-history-and-bias-the-us-open-cup-semifinals-start-today/</v>
      </c>
    </row>
    <row r="154" spans="1:15" ht="66" x14ac:dyDescent="0.3">
      <c r="A154" s="2" t="s">
        <v>522</v>
      </c>
      <c r="B154" s="2" t="s">
        <v>1910</v>
      </c>
      <c r="C154" s="2" t="s">
        <v>2378</v>
      </c>
      <c r="D154" s="2" t="s">
        <v>2379</v>
      </c>
      <c r="E154" s="2" t="str">
        <f>HYPERLINK("http://twitter.com/EthanAHanson")</f>
        <v>http://twitter.com/EthanAHanson</v>
      </c>
      <c r="F154" s="2" t="str">
        <f>HYPERLINK("https://muckrack.com/ethan-hanson")</f>
        <v>https://muckrack.com/ethan-hanson</v>
      </c>
      <c r="G154" s="2">
        <v>3959</v>
      </c>
      <c r="H154" s="2" t="s">
        <v>2380</v>
      </c>
      <c r="I154" s="2" t="s">
        <v>2381</v>
      </c>
      <c r="J154" s="2" t="s">
        <v>2000</v>
      </c>
      <c r="K154" s="2" t="s">
        <v>523</v>
      </c>
      <c r="L154" s="2" t="s">
        <v>2382</v>
      </c>
      <c r="M154" s="5">
        <v>45531.325011574067</v>
      </c>
      <c r="N154" s="2" t="str">
        <f>HYPERLINK("http://twitter.com/EthanAHanson/status/1828399062489485491")</f>
        <v>http://twitter.com/EthanAHanson/status/1828399062489485491</v>
      </c>
      <c r="O154" s="2" t="str">
        <f>HYPERLINK("https://www.jconline.com/story/sports/high-school/2024/08/27/faith-christian-girls-soccer-player-leans-on-family-to-battle-knee-injuries/74909794007/")</f>
        <v>https://www.jconline.com/story/sports/high-school/2024/08/27/faith-christian-girls-soccer-player-leans-on-family-to-battle-knee-injuries/74909794007/</v>
      </c>
    </row>
    <row r="155" spans="1:15" ht="52.8" x14ac:dyDescent="0.3">
      <c r="A155" s="2" t="s">
        <v>263</v>
      </c>
      <c r="B155" s="2" t="s">
        <v>2221</v>
      </c>
      <c r="C155" s="2" t="s">
        <v>2222</v>
      </c>
      <c r="D155" s="2" t="s">
        <v>2223</v>
      </c>
      <c r="E155" s="2" t="str">
        <f>HYPERLINK("http://twitter.com/pkedit")</f>
        <v>http://twitter.com/pkedit</v>
      </c>
      <c r="F155" s="2" t="str">
        <f>HYPERLINK("https://muckrack.com/paul-kennedy")</f>
        <v>https://muckrack.com/paul-kennedy</v>
      </c>
      <c r="G155" s="2">
        <v>10080</v>
      </c>
      <c r="H155" s="2"/>
      <c r="I155" s="2" t="s">
        <v>2224</v>
      </c>
      <c r="J155" s="2" t="s">
        <v>1929</v>
      </c>
      <c r="K155" s="2" t="s">
        <v>264</v>
      </c>
      <c r="L155" s="2" t="s">
        <v>2383</v>
      </c>
      <c r="M155" s="5">
        <v>45531.475694444453</v>
      </c>
      <c r="N155" s="2" t="str">
        <f>HYPERLINK("http://twitter.com/pkedit/status/1828453668687130814")</f>
        <v>http://twitter.com/pkedit/status/1828453668687130814</v>
      </c>
      <c r="O155" s="2" t="str">
        <f>HYPERLINK("https://www.socceramerica.com/u-s-open-cup-sporting-kc-indy-eleven/")</f>
        <v>https://www.socceramerica.com/u-s-open-cup-sporting-kc-indy-eleven/</v>
      </c>
    </row>
    <row r="156" spans="1:15" ht="52.8" x14ac:dyDescent="0.3">
      <c r="A156" s="2" t="s">
        <v>919</v>
      </c>
      <c r="B156" s="2" t="s">
        <v>2279</v>
      </c>
      <c r="C156" s="2" t="s">
        <v>2280</v>
      </c>
      <c r="D156" s="2" t="s">
        <v>2281</v>
      </c>
      <c r="E156" s="2" t="str">
        <f>HYPERLINK("http://twitter.com/ADChernoff")</f>
        <v>http://twitter.com/ADChernoff</v>
      </c>
      <c r="F156" s="2" t="str">
        <f>HYPERLINK("https://muckrack.com/andrew-chernoff")</f>
        <v>https://muckrack.com/andrew-chernoff</v>
      </c>
      <c r="G156" s="2">
        <v>7778</v>
      </c>
      <c r="H156" s="2" t="s">
        <v>1972</v>
      </c>
      <c r="I156" s="2" t="s">
        <v>2282</v>
      </c>
      <c r="J156" s="2" t="s">
        <v>2000</v>
      </c>
      <c r="K156" s="2" t="s">
        <v>2283</v>
      </c>
      <c r="L156" s="2" t="s">
        <v>2384</v>
      </c>
      <c r="M156" s="5">
        <v>45531.375</v>
      </c>
      <c r="N156" s="2" t="str">
        <f>HYPERLINK("http://twitter.com/ADChernoff/status/1828417180959957152")</f>
        <v>http://twitter.com/ADChernoff/status/1828417180959957152</v>
      </c>
      <c r="O156" s="2" t="str">
        <f>HYPERLINK("https://www.wishtv.com/sports/indy-eleven/indy-eleven-prepare-for-u-s-open-cup-semifinals/")</f>
        <v>https://www.wishtv.com/sports/indy-eleven/indy-eleven-prepare-for-u-s-open-cup-semifinals/</v>
      </c>
    </row>
    <row r="157" spans="1:15" ht="39.6" x14ac:dyDescent="0.3">
      <c r="A157" s="2" t="s">
        <v>2385</v>
      </c>
      <c r="B157" s="2" t="s">
        <v>2178</v>
      </c>
      <c r="C157" s="2" t="s">
        <v>2386</v>
      </c>
      <c r="D157" s="2" t="s">
        <v>2387</v>
      </c>
      <c r="E157" s="2" t="str">
        <f>HYPERLINK("http://twitter.com/jeff_rosen88")</f>
        <v>http://twitter.com/jeff_rosen88</v>
      </c>
      <c r="F157" s="2" t="str">
        <f>HYPERLINK("https://muckrack.com/jeff_rosen88")</f>
        <v>https://muckrack.com/jeff_rosen88</v>
      </c>
      <c r="G157" s="2">
        <v>16527</v>
      </c>
      <c r="H157" s="2" t="s">
        <v>2375</v>
      </c>
      <c r="I157" s="2" t="s">
        <v>2388</v>
      </c>
      <c r="J157" s="2" t="s">
        <v>2000</v>
      </c>
      <c r="K157" s="2" t="s">
        <v>434</v>
      </c>
      <c r="L157" s="2" t="s">
        <v>2389</v>
      </c>
      <c r="M157" s="5">
        <v>45530.629652777781</v>
      </c>
      <c r="N157" s="2" t="str">
        <f>HYPERLINK("http://twitter.com/jeff_rosen88/status/1828147073155522965")</f>
        <v>http://twitter.com/jeff_rosen88/status/1828147073155522965</v>
      </c>
      <c r="O157" s="2" t="str">
        <f>HYPERLINK("https://www.kansascity.com/sports/soccer/sporting-kc/article291490825.html")</f>
        <v>https://www.kansascity.com/sports/soccer/sporting-kc/article291490825.html</v>
      </c>
    </row>
    <row r="158" spans="1:15" ht="92.4" x14ac:dyDescent="0.3">
      <c r="A158" s="2" t="s">
        <v>2390</v>
      </c>
      <c r="B158" s="2" t="s">
        <v>2036</v>
      </c>
      <c r="C158" s="2" t="s">
        <v>2391</v>
      </c>
      <c r="D158" s="2" t="s">
        <v>2392</v>
      </c>
      <c r="E158" s="2" t="str">
        <f>HYPERLINK("http://twitter.com/GreggDoyelStar")</f>
        <v>http://twitter.com/GreggDoyelStar</v>
      </c>
      <c r="F158" s="2" t="str">
        <f>HYPERLINK("https://muckrack.com/greggdoyelstar")</f>
        <v>https://muckrack.com/greggdoyelstar</v>
      </c>
      <c r="G158" s="2">
        <v>92219</v>
      </c>
      <c r="H158" s="2" t="s">
        <v>1972</v>
      </c>
      <c r="I158" s="2" t="s">
        <v>2393</v>
      </c>
      <c r="J158" s="2" t="s">
        <v>2000</v>
      </c>
      <c r="K158" s="2" t="s">
        <v>321</v>
      </c>
      <c r="L158" s="2" t="s">
        <v>2394</v>
      </c>
      <c r="M158" s="5">
        <v>45530.481030092589</v>
      </c>
      <c r="N158" s="2" t="str">
        <f>HYPERLINK("http://twitter.com/GreggDoyelStar/status/1828093215007744473")</f>
        <v>http://twitter.com/GreggDoyelStar/status/1828093215007744473</v>
      </c>
      <c r="O158" s="2" t="str">
        <f>HYPERLINK("https://www.indystar.com/story/sports/columnists/gregg-doyel/2024/08/26/indy-eleven-logan-neidlinger-in-open-cup-semis-vs-sporting-kc-of-mls/74904277007/")</f>
        <v>https://www.indystar.com/story/sports/columnists/gregg-doyel/2024/08/26/indy-eleven-logan-neidlinger-in-open-cup-semis-vs-sporting-kc-of-mls/74904277007/</v>
      </c>
    </row>
    <row r="159" spans="1:15" ht="92.4" x14ac:dyDescent="0.3">
      <c r="A159" s="2" t="s">
        <v>2390</v>
      </c>
      <c r="B159" s="2" t="s">
        <v>2036</v>
      </c>
      <c r="C159" s="2" t="s">
        <v>2391</v>
      </c>
      <c r="D159" s="2" t="s">
        <v>2392</v>
      </c>
      <c r="E159" s="2" t="str">
        <f>HYPERLINK("http://twitter.com/GreggDoyelStar")</f>
        <v>http://twitter.com/GreggDoyelStar</v>
      </c>
      <c r="F159" s="2" t="str">
        <f>HYPERLINK("https://muckrack.com/greggdoyelstar")</f>
        <v>https://muckrack.com/greggdoyelstar</v>
      </c>
      <c r="G159" s="2">
        <v>92219</v>
      </c>
      <c r="H159" s="2" t="s">
        <v>1972</v>
      </c>
      <c r="I159" s="2" t="s">
        <v>2393</v>
      </c>
      <c r="J159" s="2" t="s">
        <v>2000</v>
      </c>
      <c r="K159" s="2" t="s">
        <v>321</v>
      </c>
      <c r="L159" s="2" t="s">
        <v>2395</v>
      </c>
      <c r="M159" s="5">
        <v>45530.849363425928</v>
      </c>
      <c r="N159" s="2" t="str">
        <f>HYPERLINK("http://twitter.com/GreggDoyelStar/status/1828226694081069430")</f>
        <v>http://twitter.com/GreggDoyelStar/status/1828226694081069430</v>
      </c>
      <c r="O159" s="2" t="str">
        <f>HYPERLINK("https://www.indystar.com/story/sports/columnists/gregg-doyel/2024/08/26/indy-eleven-logan-neidlinger-in-open-cup-semis-vs-sporting-kc-of-mls/74904277007/")</f>
        <v>https://www.indystar.com/story/sports/columnists/gregg-doyel/2024/08/26/indy-eleven-logan-neidlinger-in-open-cup-semis-vs-sporting-kc-of-mls/74904277007/</v>
      </c>
    </row>
    <row r="160" spans="1:15" ht="158.4" x14ac:dyDescent="0.3">
      <c r="A160" s="2" t="s">
        <v>564</v>
      </c>
      <c r="B160" s="2" t="s">
        <v>2396</v>
      </c>
      <c r="C160" s="2"/>
      <c r="D160" s="2" t="s">
        <v>2397</v>
      </c>
      <c r="E160" s="2" t="str">
        <f>HYPERLINK("http://twitter.com/DannyWebster21")</f>
        <v>http://twitter.com/DannyWebster21</v>
      </c>
      <c r="F160" s="2" t="str">
        <f>HYPERLINK("https://muckrack.com/danny-webster")</f>
        <v>https://muckrack.com/danny-webster</v>
      </c>
      <c r="G160" s="2">
        <v>8715</v>
      </c>
      <c r="H160" s="2" t="s">
        <v>2398</v>
      </c>
      <c r="I160" s="2" t="s">
        <v>2399</v>
      </c>
      <c r="J160" s="2" t="s">
        <v>2000</v>
      </c>
      <c r="K160" s="2" t="s">
        <v>565</v>
      </c>
      <c r="L160" s="2" t="s">
        <v>2400</v>
      </c>
      <c r="M160" s="5">
        <v>45532.499895833331</v>
      </c>
      <c r="N160" s="2" t="str">
        <f>HYPERLINK("http://twitter.com/DannyWebster21/status/1828824827911901661")</f>
        <v>http://twitter.com/DannyWebster21/status/1828824827911901661</v>
      </c>
      <c r="O160" s="2" t="str">
        <f>HYPERLINK("https://www.reviewjournal.com/sports/lights/lights-captain-proud-of-path-from-england-to-las-vegas-im-so-happy-3147164/")</f>
        <v>https://www.reviewjournal.com/sports/lights/lights-captain-proud-of-path-from-england-to-las-vegas-im-so-happy-3147164/</v>
      </c>
    </row>
    <row r="161" spans="1:15" ht="105.6" x14ac:dyDescent="0.3">
      <c r="A161" s="2" t="s">
        <v>474</v>
      </c>
      <c r="B161" s="2" t="s">
        <v>2311</v>
      </c>
      <c r="C161" s="2" t="s">
        <v>2312</v>
      </c>
      <c r="D161" s="2" t="s">
        <v>2313</v>
      </c>
      <c r="E161" s="2" t="str">
        <f>HYPERLINK("http://twitter.com/sperrydaniel94")</f>
        <v>http://twitter.com/sperrydaniel94</v>
      </c>
      <c r="F161" s="2" t="str">
        <f>HYPERLINK("https://muckrack.com/daniel-sperry-1")</f>
        <v>https://muckrack.com/daniel-sperry-1</v>
      </c>
      <c r="G161" s="2">
        <v>4581</v>
      </c>
      <c r="H161" s="2" t="s">
        <v>2314</v>
      </c>
      <c r="I161" s="2" t="s">
        <v>2315</v>
      </c>
      <c r="J161" s="2" t="s">
        <v>1954</v>
      </c>
      <c r="K161" s="2" t="s">
        <v>434</v>
      </c>
      <c r="L161" s="2" t="s">
        <v>2401</v>
      </c>
      <c r="M161" s="5">
        <v>45529.037673611107</v>
      </c>
      <c r="N161" s="2" t="str">
        <f>HYPERLINK("http://twitter.com/sperrydaniel94/status/1827570159592083466")</f>
        <v>http://twitter.com/sperrydaniel94/status/1827570159592083466</v>
      </c>
      <c r="O161" s="2" t="str">
        <f>HYPERLINK("https://www.kansascity.com/sports/soccer/sporting-kc/article285962026.html")</f>
        <v>https://www.kansascity.com/sports/soccer/sporting-kc/article285962026.html</v>
      </c>
    </row>
    <row r="162" spans="1:15" ht="66" x14ac:dyDescent="0.3">
      <c r="A162" s="2" t="s">
        <v>29</v>
      </c>
      <c r="B162" s="2" t="s">
        <v>1910</v>
      </c>
      <c r="C162" s="2" t="s">
        <v>1911</v>
      </c>
      <c r="D162" s="2" t="s">
        <v>1912</v>
      </c>
      <c r="E162" s="2" t="str">
        <f t="shared" ref="E162:E168" si="8">HYPERLINK("http://twitter.com/DougRobersonAJC")</f>
        <v>http://twitter.com/DougRobersonAJC</v>
      </c>
      <c r="F162" s="2" t="str">
        <f t="shared" ref="F162:F168" si="9">HYPERLINK("https://muckrack.com/doug-roberson")</f>
        <v>https://muckrack.com/doug-roberson</v>
      </c>
      <c r="G162" s="2">
        <v>16740</v>
      </c>
      <c r="H162" s="2" t="s">
        <v>1913</v>
      </c>
      <c r="I162" s="2" t="s">
        <v>1914</v>
      </c>
      <c r="J162" s="2" t="s">
        <v>1915</v>
      </c>
      <c r="K162" s="2" t="s">
        <v>30</v>
      </c>
      <c r="L162" s="2" t="s">
        <v>2402</v>
      </c>
      <c r="M162" s="5">
        <v>45527.573541666658</v>
      </c>
      <c r="N162" s="2" t="str">
        <f>HYPERLINK("http://twitter.com/DougRobersonAJC/status/1827039577137095050")</f>
        <v>http://twitter.com/DougRobersonAJC/status/1827039577137095050</v>
      </c>
      <c r="O162" s="2" t="str">
        <f>HYPERLINK("https://www.ajc.com/sports/atlanta-united/southern-fried-soccer-previewing-atlanta-united-at-la-galaxy/BZCYNSRVNRHZFBCIW4RT52P3MY/")</f>
        <v>https://www.ajc.com/sports/atlanta-united/southern-fried-soccer-previewing-atlanta-united-at-la-galaxy/BZCYNSRVNRHZFBCIW4RT52P3MY/</v>
      </c>
    </row>
    <row r="163" spans="1:15" ht="66" x14ac:dyDescent="0.3">
      <c r="A163" s="2" t="s">
        <v>29</v>
      </c>
      <c r="B163" s="2" t="s">
        <v>1910</v>
      </c>
      <c r="C163" s="2" t="s">
        <v>1911</v>
      </c>
      <c r="D163" s="2" t="s">
        <v>1912</v>
      </c>
      <c r="E163" s="2" t="str">
        <f t="shared" si="8"/>
        <v>http://twitter.com/DougRobersonAJC</v>
      </c>
      <c r="F163" s="2" t="str">
        <f t="shared" si="9"/>
        <v>https://muckrack.com/doug-roberson</v>
      </c>
      <c r="G163" s="2">
        <v>16740</v>
      </c>
      <c r="H163" s="2" t="s">
        <v>1913</v>
      </c>
      <c r="I163" s="2" t="s">
        <v>1914</v>
      </c>
      <c r="J163" s="2" t="s">
        <v>1915</v>
      </c>
      <c r="K163" s="2" t="s">
        <v>30</v>
      </c>
      <c r="L163" s="2" t="s">
        <v>2403</v>
      </c>
      <c r="M163" s="5">
        <v>45528.389907407407</v>
      </c>
      <c r="N163" s="2" t="str">
        <f>HYPERLINK("http://twitter.com/DougRobersonAJC/status/1827335417131077679")</f>
        <v>http://twitter.com/DougRobersonAJC/status/1827335417131077679</v>
      </c>
      <c r="O163" s="2" t="str">
        <f>HYPERLINK("https://www.ajc.com/sports/atlanta-united/southern-fried-soccer-previewing-atlanta-united-at-la-galaxy/BZCYNSRVNRHZFBCIW4RT52P3MY/")</f>
        <v>https://www.ajc.com/sports/atlanta-united/southern-fried-soccer-previewing-atlanta-united-at-la-galaxy/BZCYNSRVNRHZFBCIW4RT52P3MY/</v>
      </c>
    </row>
    <row r="164" spans="1:15" ht="66" x14ac:dyDescent="0.3">
      <c r="A164" s="2" t="s">
        <v>29</v>
      </c>
      <c r="B164" s="2" t="s">
        <v>1910</v>
      </c>
      <c r="C164" s="2" t="s">
        <v>1911</v>
      </c>
      <c r="D164" s="2" t="s">
        <v>1912</v>
      </c>
      <c r="E164" s="2" t="str">
        <f t="shared" si="8"/>
        <v>http://twitter.com/DougRobersonAJC</v>
      </c>
      <c r="F164" s="2" t="str">
        <f t="shared" si="9"/>
        <v>https://muckrack.com/doug-roberson</v>
      </c>
      <c r="G164" s="2">
        <v>16740</v>
      </c>
      <c r="H164" s="2" t="s">
        <v>1913</v>
      </c>
      <c r="I164" s="2" t="s">
        <v>1914</v>
      </c>
      <c r="J164" s="2" t="s">
        <v>1915</v>
      </c>
      <c r="K164" s="2" t="s">
        <v>30</v>
      </c>
      <c r="L164" s="2" t="s">
        <v>2404</v>
      </c>
      <c r="M164" s="5">
        <v>45526.560185185182</v>
      </c>
      <c r="N164" s="2" t="str">
        <f>HYPERLINK("http://twitter.com/DougRobersonAJC/status/1826672347853553831")</f>
        <v>http://twitter.com/DougRobersonAJC/status/1826672347853553831</v>
      </c>
      <c r="O164" s="2" t="str">
        <f>HYPERLINK("https://www.ajc.com/sports/atlanta-united/alexey-miranchuk-integrating-well-into-atlanta-united/QDA6SCR4NFBM7MJ3CTCSAJBZ3A/")</f>
        <v>https://www.ajc.com/sports/atlanta-united/alexey-miranchuk-integrating-well-into-atlanta-united/QDA6SCR4NFBM7MJ3CTCSAJBZ3A/</v>
      </c>
    </row>
    <row r="165" spans="1:15" ht="66" x14ac:dyDescent="0.3">
      <c r="A165" s="2" t="s">
        <v>29</v>
      </c>
      <c r="B165" s="2" t="s">
        <v>1910</v>
      </c>
      <c r="C165" s="2" t="s">
        <v>1911</v>
      </c>
      <c r="D165" s="2" t="s">
        <v>1912</v>
      </c>
      <c r="E165" s="2" t="str">
        <f t="shared" si="8"/>
        <v>http://twitter.com/DougRobersonAJC</v>
      </c>
      <c r="F165" s="2" t="str">
        <f t="shared" si="9"/>
        <v>https://muckrack.com/doug-roberson</v>
      </c>
      <c r="G165" s="2">
        <v>16740</v>
      </c>
      <c r="H165" s="2" t="s">
        <v>1913</v>
      </c>
      <c r="I165" s="2" t="s">
        <v>1914</v>
      </c>
      <c r="J165" s="2" t="s">
        <v>1915</v>
      </c>
      <c r="K165" s="2" t="s">
        <v>30</v>
      </c>
      <c r="L165" s="2" t="s">
        <v>2405</v>
      </c>
      <c r="M165" s="5">
        <v>45524.611435185187</v>
      </c>
      <c r="N165" s="2" t="str">
        <f>HYPERLINK("http://twitter.com/DougRobersonAJC/status/1825966145226289160")</f>
        <v>http://twitter.com/DougRobersonAJC/status/1825966145226289160</v>
      </c>
      <c r="O165" s="2" t="str">
        <f>HYPERLINK("https://www.ajc.com/sports/atlanta-united/atlanta-uniteds-dax-mccarty-talks-about-retirement/7625IZB7QBGSNPIREO6NBAWCMI/")</f>
        <v>https://www.ajc.com/sports/atlanta-united/atlanta-uniteds-dax-mccarty-talks-about-retirement/7625IZB7QBGSNPIREO6NBAWCMI/</v>
      </c>
    </row>
    <row r="166" spans="1:15" ht="79.2" x14ac:dyDescent="0.3">
      <c r="A166" s="2" t="s">
        <v>29</v>
      </c>
      <c r="B166" s="2" t="s">
        <v>1910</v>
      </c>
      <c r="C166" s="2" t="s">
        <v>1911</v>
      </c>
      <c r="D166" s="2" t="s">
        <v>1912</v>
      </c>
      <c r="E166" s="2" t="str">
        <f t="shared" si="8"/>
        <v>http://twitter.com/DougRobersonAJC</v>
      </c>
      <c r="F166" s="2" t="str">
        <f t="shared" si="9"/>
        <v>https://muckrack.com/doug-roberson</v>
      </c>
      <c r="G166" s="2">
        <v>16740</v>
      </c>
      <c r="H166" s="2" t="s">
        <v>1913</v>
      </c>
      <c r="I166" s="2" t="s">
        <v>1914</v>
      </c>
      <c r="J166" s="2" t="s">
        <v>1915</v>
      </c>
      <c r="K166" s="2" t="s">
        <v>30</v>
      </c>
      <c r="L166" s="2" t="s">
        <v>2406</v>
      </c>
      <c r="M166" s="5">
        <v>45524.56863425926</v>
      </c>
      <c r="N166" s="2" t="str">
        <f>HYPERLINK("http://twitter.com/DougRobersonAJC/status/1825950636648669295")</f>
        <v>http://twitter.com/DougRobersonAJC/status/1825950636648669295</v>
      </c>
      <c r="O166" s="2" t="str">
        <f>HYPERLINK("https://www.ajc.com/sports/atlanta-united/atlanta-uniteds-alexey-miranchuk-says-he-will-help-team-score-goals/SYPNQKK3HRFJZLEEI5B3QMBD34/")</f>
        <v>https://www.ajc.com/sports/atlanta-united/atlanta-uniteds-alexey-miranchuk-says-he-will-help-team-score-goals/SYPNQKK3HRFJZLEEI5B3QMBD34/</v>
      </c>
    </row>
    <row r="167" spans="1:15" ht="66" x14ac:dyDescent="0.3">
      <c r="A167" s="2" t="s">
        <v>29</v>
      </c>
      <c r="B167" s="2" t="s">
        <v>1910</v>
      </c>
      <c r="C167" s="2" t="s">
        <v>1911</v>
      </c>
      <c r="D167" s="2" t="s">
        <v>1912</v>
      </c>
      <c r="E167" s="2" t="str">
        <f t="shared" si="8"/>
        <v>http://twitter.com/DougRobersonAJC</v>
      </c>
      <c r="F167" s="2" t="str">
        <f t="shared" si="9"/>
        <v>https://muckrack.com/doug-roberson</v>
      </c>
      <c r="G167" s="2">
        <v>16740</v>
      </c>
      <c r="H167" s="2" t="s">
        <v>1913</v>
      </c>
      <c r="I167" s="2" t="s">
        <v>1914</v>
      </c>
      <c r="J167" s="2" t="s">
        <v>1915</v>
      </c>
      <c r="K167" s="2" t="s">
        <v>30</v>
      </c>
      <c r="L167" s="2" t="s">
        <v>2407</v>
      </c>
      <c r="M167" s="5">
        <v>45523.526585648149</v>
      </c>
      <c r="N167" s="2" t="str">
        <f>HYPERLINK("http://twitter.com/DougRobersonAJC/status/1825573010037674493")</f>
        <v>http://twitter.com/DougRobersonAJC/status/1825573010037674493</v>
      </c>
      <c r="O167" s="2" t="str">
        <f>HYPERLINK("https://www.ajc.com/sports/atlanta-united/atlanta-united-used-time-off-to-100-get-better/WFIBNVRW5NHUNIE6SMRPRKOQ5Q/")</f>
        <v>https://www.ajc.com/sports/atlanta-united/atlanta-united-used-time-off-to-100-get-better/WFIBNVRW5NHUNIE6SMRPRKOQ5Q/</v>
      </c>
    </row>
    <row r="168" spans="1:15" ht="66" x14ac:dyDescent="0.3">
      <c r="A168" s="2" t="s">
        <v>29</v>
      </c>
      <c r="B168" s="2" t="s">
        <v>1910</v>
      </c>
      <c r="C168" s="2" t="s">
        <v>1911</v>
      </c>
      <c r="D168" s="2" t="s">
        <v>1912</v>
      </c>
      <c r="E168" s="2" t="str">
        <f t="shared" si="8"/>
        <v>http://twitter.com/DougRobersonAJC</v>
      </c>
      <c r="F168" s="2" t="str">
        <f t="shared" si="9"/>
        <v>https://muckrack.com/doug-roberson</v>
      </c>
      <c r="G168" s="2">
        <v>16740</v>
      </c>
      <c r="H168" s="2" t="s">
        <v>1913</v>
      </c>
      <c r="I168" s="2" t="s">
        <v>1914</v>
      </c>
      <c r="J168" s="2" t="s">
        <v>1915</v>
      </c>
      <c r="K168" s="2" t="s">
        <v>30</v>
      </c>
      <c r="L168" s="2" t="s">
        <v>2408</v>
      </c>
      <c r="M168" s="5">
        <v>45523.508298611108</v>
      </c>
      <c r="N168" s="2" t="str">
        <f>HYPERLINK("http://twitter.com/DougRobersonAJC/status/1825566382840512893")</f>
        <v>http://twitter.com/DougRobersonAJC/status/1825566382840512893</v>
      </c>
      <c r="O168" s="2" t="str">
        <f>HYPERLINK("https://www.ajc.com/sports/atlanta-united/new-logo-unveiled-for-arthur-m-blank-national-training-center/LJTHVOEGAFHS3NPSKFI2EHG2AQ/")</f>
        <v>https://www.ajc.com/sports/atlanta-united/new-logo-unveiled-for-arthur-m-blank-national-training-center/LJTHVOEGAFHS3NPSKFI2EHG2AQ/</v>
      </c>
    </row>
    <row r="169" spans="1:15" ht="52.8" x14ac:dyDescent="0.3">
      <c r="A169" s="2" t="s">
        <v>522</v>
      </c>
      <c r="B169" s="2" t="s">
        <v>1910</v>
      </c>
      <c r="C169" s="2" t="s">
        <v>2378</v>
      </c>
      <c r="D169" s="2" t="s">
        <v>2379</v>
      </c>
      <c r="E169" s="2" t="str">
        <f>HYPERLINK("http://twitter.com/EthanAHanson")</f>
        <v>http://twitter.com/EthanAHanson</v>
      </c>
      <c r="F169" s="2" t="str">
        <f>HYPERLINK("https://muckrack.com/ethan-hanson")</f>
        <v>https://muckrack.com/ethan-hanson</v>
      </c>
      <c r="G169" s="2">
        <v>3959</v>
      </c>
      <c r="H169" s="2" t="s">
        <v>2380</v>
      </c>
      <c r="I169" s="2" t="s">
        <v>2381</v>
      </c>
      <c r="J169" s="2" t="s">
        <v>2000</v>
      </c>
      <c r="K169" s="2" t="s">
        <v>523</v>
      </c>
      <c r="L169" s="2" t="s">
        <v>2409</v>
      </c>
      <c r="M169" s="5">
        <v>45523.590127314812</v>
      </c>
      <c r="N169" s="2" t="str">
        <f>HYPERLINK("http://twitter.com/EthanAHanson/status/1825596034376151550")</f>
        <v>http://twitter.com/EthanAHanson/status/1825596034376151550</v>
      </c>
      <c r="O169" s="2" t="str">
        <f>HYPERLINK("https://www.jconline.com/story/sports/high-school/2024/08/19/lafayette-area-boys-soccer-top-50-players-2024-ihsaa/74647935007/")</f>
        <v>https://www.jconline.com/story/sports/high-school/2024/08/19/lafayette-area-boys-soccer-top-50-players-2024-ihsaa/74647935007/</v>
      </c>
    </row>
    <row r="170" spans="1:15" ht="118.8" x14ac:dyDescent="0.3">
      <c r="A170" s="2" t="s">
        <v>614</v>
      </c>
      <c r="B170" s="2" t="s">
        <v>2410</v>
      </c>
      <c r="C170" s="2" t="s">
        <v>2411</v>
      </c>
      <c r="D170" s="2" t="s">
        <v>2412</v>
      </c>
      <c r="E170" s="2" t="str">
        <f>HYPERLINK("http://twitter.com/shre98")</f>
        <v>http://twitter.com/shre98</v>
      </c>
      <c r="F170" s="2" t="str">
        <f>HYPERLINK("https://muckrack.com/shreyas-laddha")</f>
        <v>https://muckrack.com/shreyas-laddha</v>
      </c>
      <c r="G170" s="2">
        <v>6030</v>
      </c>
      <c r="H170" s="2" t="s">
        <v>2413</v>
      </c>
      <c r="I170" s="2" t="s">
        <v>2414</v>
      </c>
      <c r="J170" s="2" t="s">
        <v>2000</v>
      </c>
      <c r="K170" s="2" t="s">
        <v>434</v>
      </c>
      <c r="L170" s="2" t="s">
        <v>2415</v>
      </c>
      <c r="M170" s="5">
        <v>45521.4059375</v>
      </c>
      <c r="N170" s="2" t="str">
        <f>HYPERLINK("http://twitter.com/shre98/status/1824804511904407997")</f>
        <v>http://twitter.com/shre98/status/1824804511904407997</v>
      </c>
      <c r="O170" s="2" t="str">
        <f>HYPERLINK("https://www.kansascity.com/sports/college/big-12/university-of-kansas/article291122330.html")</f>
        <v>https://www.kansascity.com/sports/college/big-12/university-of-kansas/article291122330.html</v>
      </c>
    </row>
    <row r="171" spans="1:15" ht="66" x14ac:dyDescent="0.3">
      <c r="A171" s="2" t="s">
        <v>614</v>
      </c>
      <c r="B171" s="2" t="s">
        <v>2410</v>
      </c>
      <c r="C171" s="2" t="s">
        <v>2411</v>
      </c>
      <c r="D171" s="2" t="s">
        <v>2412</v>
      </c>
      <c r="E171" s="2" t="str">
        <f>HYPERLINK("http://twitter.com/shre98")</f>
        <v>http://twitter.com/shre98</v>
      </c>
      <c r="F171" s="2" t="str">
        <f>HYPERLINK("https://muckrack.com/shreyas-laddha")</f>
        <v>https://muckrack.com/shreyas-laddha</v>
      </c>
      <c r="G171" s="2">
        <v>6030</v>
      </c>
      <c r="H171" s="2" t="s">
        <v>2413</v>
      </c>
      <c r="I171" s="2" t="s">
        <v>2414</v>
      </c>
      <c r="J171" s="2" t="s">
        <v>2000</v>
      </c>
      <c r="K171" s="2" t="s">
        <v>434</v>
      </c>
      <c r="L171" s="2" t="s">
        <v>2416</v>
      </c>
      <c r="M171" s="5">
        <v>45521.41070601852</v>
      </c>
      <c r="N171" s="2" t="str">
        <f>HYPERLINK("http://twitter.com/shre98/status/1824806240788291908")</f>
        <v>http://twitter.com/shre98/status/1824806240788291908</v>
      </c>
      <c r="O171" s="2" t="str">
        <f>HYPERLINK("https://www.kansascity.com/sports/college/big-12/university-of-kansas/article291122330.html")</f>
        <v>https://www.kansascity.com/sports/college/big-12/university-of-kansas/article291122330.html</v>
      </c>
    </row>
    <row r="172" spans="1:15" ht="66" x14ac:dyDescent="0.3">
      <c r="A172" s="2" t="s">
        <v>29</v>
      </c>
      <c r="B172" s="2" t="s">
        <v>1910</v>
      </c>
      <c r="C172" s="2" t="s">
        <v>1911</v>
      </c>
      <c r="D172" s="2" t="s">
        <v>1912</v>
      </c>
      <c r="E172" s="2" t="str">
        <f>HYPERLINK("http://twitter.com/DougRobersonAJC")</f>
        <v>http://twitter.com/DougRobersonAJC</v>
      </c>
      <c r="F172" s="2" t="str">
        <f>HYPERLINK("https://muckrack.com/doug-roberson")</f>
        <v>https://muckrack.com/doug-roberson</v>
      </c>
      <c r="G172" s="2">
        <v>16740</v>
      </c>
      <c r="H172" s="2" t="s">
        <v>1913</v>
      </c>
      <c r="I172" s="2" t="s">
        <v>1914</v>
      </c>
      <c r="J172" s="2" t="s">
        <v>1915</v>
      </c>
      <c r="K172" s="2" t="s">
        <v>30</v>
      </c>
      <c r="L172" s="2" t="s">
        <v>2417</v>
      </c>
      <c r="M172" s="5">
        <v>45520.612800925926</v>
      </c>
      <c r="N172" s="2" t="str">
        <f>HYPERLINK("http://twitter.com/DougRobersonAJC/status/1824517087462838429")</f>
        <v>http://twitter.com/DougRobersonAJC/status/1824517087462838429</v>
      </c>
      <c r="O172" s="2" t="str">
        <f>HYPERLINK("https://www.ajc.com/sports/atlanta-united/southern-fried-soccer-what-happened-with-atlanta-uniteds-transfers/TU4L7MITJBA4TEVBQHDZQZZCFY/")</f>
        <v>https://www.ajc.com/sports/atlanta-united/southern-fried-soccer-what-happened-with-atlanta-uniteds-transfers/TU4L7MITJBA4TEVBQHDZQZZCFY/</v>
      </c>
    </row>
    <row r="173" spans="1:15" ht="92.4" x14ac:dyDescent="0.3">
      <c r="A173" s="2" t="s">
        <v>615</v>
      </c>
      <c r="B173" s="2" t="s">
        <v>2418</v>
      </c>
      <c r="C173" s="2" t="s">
        <v>2419</v>
      </c>
      <c r="D173" s="2" t="s">
        <v>2420</v>
      </c>
      <c r="E173" s="2" t="str">
        <f>HYPERLINK("http://twitter.com/ShelatNeel")</f>
        <v>http://twitter.com/ShelatNeel</v>
      </c>
      <c r="F173" s="2" t="str">
        <f>HYPERLINK("https://muckrack.com/neel-shelat")</f>
        <v>https://muckrack.com/neel-shelat</v>
      </c>
      <c r="G173" s="2">
        <v>2863</v>
      </c>
      <c r="H173" s="2" t="s">
        <v>2421</v>
      </c>
      <c r="I173" s="2" t="s">
        <v>2422</v>
      </c>
      <c r="J173" s="2" t="s">
        <v>2033</v>
      </c>
      <c r="K173" s="2" t="s">
        <v>2034</v>
      </c>
      <c r="L173" s="2" t="s">
        <v>2423</v>
      </c>
      <c r="M173" s="5">
        <v>45520.441921296297</v>
      </c>
      <c r="N173" s="2" t="str">
        <f>HYPERLINK("http://twitter.com/ShelatNeel/status/1824455165589549247")</f>
        <v>http://twitter.com/ShelatNeel/status/1824455165589549247</v>
      </c>
      <c r="O173" s="2" t="str">
        <f>HYPERLINK("https://www.forbes.com/sites/neelshelat/2024/08/16/usl-super-league-preview-schedule-teams--standout-players/")</f>
        <v>https://www.forbes.com/sites/neelshelat/2024/08/16/usl-super-league-preview-schedule-teams--standout-players/</v>
      </c>
    </row>
    <row r="174" spans="1:15" ht="66" x14ac:dyDescent="0.3">
      <c r="A174" s="2" t="s">
        <v>615</v>
      </c>
      <c r="B174" s="2" t="s">
        <v>2418</v>
      </c>
      <c r="C174" s="2" t="s">
        <v>2419</v>
      </c>
      <c r="D174" s="2" t="s">
        <v>2420</v>
      </c>
      <c r="E174" s="2" t="str">
        <f>HYPERLINK("http://twitter.com/ShelatNeel")</f>
        <v>http://twitter.com/ShelatNeel</v>
      </c>
      <c r="F174" s="2" t="str">
        <f>HYPERLINK("https://muckrack.com/neel-shelat")</f>
        <v>https://muckrack.com/neel-shelat</v>
      </c>
      <c r="G174" s="2">
        <v>2863</v>
      </c>
      <c r="H174" s="2" t="s">
        <v>2421</v>
      </c>
      <c r="I174" s="2" t="s">
        <v>2422</v>
      </c>
      <c r="J174" s="2" t="s">
        <v>2033</v>
      </c>
      <c r="K174" s="2" t="s">
        <v>2034</v>
      </c>
      <c r="L174" s="2" t="s">
        <v>2424</v>
      </c>
      <c r="M174" s="5">
        <v>45521.388356481482</v>
      </c>
      <c r="N174" s="2" t="str">
        <f>HYPERLINK("http://twitter.com/ShelatNeel/status/1824798139183738998")</f>
        <v>http://twitter.com/ShelatNeel/status/1824798139183738998</v>
      </c>
      <c r="O174" s="2" t="str">
        <f>HYPERLINK("https://www.forbes.com/sites/neelshelat/2024/08/16/usl-super-league-preview-schedule-teams--standout-players/")</f>
        <v>https://www.forbes.com/sites/neelshelat/2024/08/16/usl-super-league-preview-schedule-teams--standout-players/</v>
      </c>
    </row>
    <row r="175" spans="1:15" ht="79.2" x14ac:dyDescent="0.3">
      <c r="A175" s="2" t="s">
        <v>664</v>
      </c>
      <c r="B175" s="2" t="s">
        <v>2289</v>
      </c>
      <c r="C175" s="2" t="s">
        <v>2425</v>
      </c>
      <c r="D175" s="2" t="s">
        <v>2426</v>
      </c>
      <c r="E175" s="2" t="str">
        <f>HYPERLINK("http://twitter.com/Brian_Haenchen")</f>
        <v>http://twitter.com/Brian_Haenchen</v>
      </c>
      <c r="F175" s="2" t="str">
        <f>HYPERLINK("https://muckrack.com/brian_haenchen")</f>
        <v>https://muckrack.com/brian_haenchen</v>
      </c>
      <c r="G175" s="2">
        <v>10028</v>
      </c>
      <c r="H175" s="2" t="s">
        <v>1972</v>
      </c>
      <c r="I175" s="2" t="s">
        <v>2427</v>
      </c>
      <c r="J175" s="2" t="s">
        <v>2000</v>
      </c>
      <c r="K175" s="2" t="s">
        <v>321</v>
      </c>
      <c r="L175" s="2" t="s">
        <v>2428</v>
      </c>
      <c r="M175" s="5">
        <v>45519.287824074083</v>
      </c>
      <c r="N175" s="2" t="str">
        <f>HYPERLINK("http://twitter.com/Brian_Haenchen/status/1824036935167332619")</f>
        <v>http://twitter.com/Brian_Haenchen/status/1824036935167332619</v>
      </c>
      <c r="O175" s="2" t="str">
        <f>HYPERLINK("https://www.indystar.com/story/sports/high-school/all-usa/2024/08/15/ihsaa-girls-soccer-super-team-2024-meet-central-indiana-best-players-preview-preseason/74603710007/")</f>
        <v>https://www.indystar.com/story/sports/high-school/all-usa/2024/08/15/ihsaa-girls-soccer-super-team-2024-meet-central-indiana-best-players-preview-preseason/74603710007/</v>
      </c>
    </row>
    <row r="176" spans="1:15" ht="79.2" x14ac:dyDescent="0.3">
      <c r="A176" s="2" t="s">
        <v>664</v>
      </c>
      <c r="B176" s="2" t="s">
        <v>2289</v>
      </c>
      <c r="C176" s="2" t="s">
        <v>2425</v>
      </c>
      <c r="D176" s="2" t="s">
        <v>2426</v>
      </c>
      <c r="E176" s="2" t="str">
        <f>HYPERLINK("http://twitter.com/Brian_Haenchen")</f>
        <v>http://twitter.com/Brian_Haenchen</v>
      </c>
      <c r="F176" s="2" t="str">
        <f>HYPERLINK("https://muckrack.com/brian_haenchen")</f>
        <v>https://muckrack.com/brian_haenchen</v>
      </c>
      <c r="G176" s="2">
        <v>10028</v>
      </c>
      <c r="H176" s="2" t="s">
        <v>1972</v>
      </c>
      <c r="I176" s="2" t="s">
        <v>2427</v>
      </c>
      <c r="J176" s="2" t="s">
        <v>2000</v>
      </c>
      <c r="K176" s="2" t="s">
        <v>321</v>
      </c>
      <c r="L176" s="2" t="s">
        <v>2429</v>
      </c>
      <c r="M176" s="5">
        <v>45519.647280092591</v>
      </c>
      <c r="N176" s="2" t="str">
        <f>HYPERLINK("http://twitter.com/Brian_Haenchen/status/1824167194256871667")</f>
        <v>http://twitter.com/Brian_Haenchen/status/1824167194256871667</v>
      </c>
      <c r="O176" s="2" t="str">
        <f>HYPERLINK("https://www.indystar.com/story/sports/high-school/all-usa/2024/08/15/ihsaa-girls-soccer-super-team-2024-meet-central-indiana-best-players-preview-preseason/74603710007/")</f>
        <v>https://www.indystar.com/story/sports/high-school/all-usa/2024/08/15/ihsaa-girls-soccer-super-team-2024-meet-central-indiana-best-players-preview-preseason/74603710007/</v>
      </c>
    </row>
    <row r="177" spans="1:15" ht="105.6" x14ac:dyDescent="0.3">
      <c r="A177" s="2" t="s">
        <v>2430</v>
      </c>
      <c r="B177" s="2" t="s">
        <v>2431</v>
      </c>
      <c r="C177" s="2" t="s">
        <v>2432</v>
      </c>
      <c r="D177" s="2" t="s">
        <v>2433</v>
      </c>
      <c r="E177" s="2" t="str">
        <f>HYPERLINK("http://twitter.com/ScottEHorner")</f>
        <v>http://twitter.com/ScottEHorner</v>
      </c>
      <c r="F177" s="2" t="str">
        <f>HYPERLINK("https://muckrack.com/scott-hunt")</f>
        <v>https://muckrack.com/scott-hunt</v>
      </c>
      <c r="G177" s="2">
        <v>3217</v>
      </c>
      <c r="H177" s="2"/>
      <c r="I177" s="2" t="s">
        <v>2434</v>
      </c>
      <c r="J177" s="2" t="s">
        <v>2000</v>
      </c>
      <c r="K177" s="2" t="s">
        <v>321</v>
      </c>
      <c r="L177" s="2" t="s">
        <v>2435</v>
      </c>
      <c r="M177" s="5">
        <v>45519.325694444437</v>
      </c>
      <c r="N177" s="2" t="str">
        <f>HYPERLINK("http://twitter.com/ScottEHorner/status/1824050656367595556")</f>
        <v>http://twitter.com/ScottEHorner/status/1824050656367595556</v>
      </c>
      <c r="O177" s="2" t="str">
        <f>HYPERLINK("https://www.indystar.com/story/sports/high-school/all-usa/2024/08/15/ihsaa-girls-soccer-super-team-2024-meet-central-indiana-best-players-preview-preseason/74603710007/")</f>
        <v>https://www.indystar.com/story/sports/high-school/all-usa/2024/08/15/ihsaa-girls-soccer-super-team-2024-meet-central-indiana-best-players-preview-preseason/74603710007/</v>
      </c>
    </row>
    <row r="178" spans="1:15" ht="79.2" x14ac:dyDescent="0.3">
      <c r="A178" s="2" t="s">
        <v>2436</v>
      </c>
      <c r="B178" s="2" t="s">
        <v>2437</v>
      </c>
      <c r="C178" s="2" t="s">
        <v>2438</v>
      </c>
      <c r="D178" s="2" t="s">
        <v>2439</v>
      </c>
      <c r="E178" s="2" t="str">
        <f>HYPERLINK("http://twitter.com/MattGlenesk")</f>
        <v>http://twitter.com/MattGlenesk</v>
      </c>
      <c r="F178" s="2" t="str">
        <f>HYPERLINK("https://muckrack.com/matthew-glenesk")</f>
        <v>https://muckrack.com/matthew-glenesk</v>
      </c>
      <c r="G178" s="2">
        <v>8773</v>
      </c>
      <c r="H178" s="2" t="s">
        <v>2440</v>
      </c>
      <c r="I178" s="2" t="s">
        <v>2441</v>
      </c>
      <c r="J178" s="2" t="s">
        <v>2000</v>
      </c>
      <c r="K178" s="2" t="s">
        <v>321</v>
      </c>
      <c r="L178" s="2" t="s">
        <v>2442</v>
      </c>
      <c r="M178" s="5">
        <v>45519.657129629632</v>
      </c>
      <c r="N178" s="2" t="str">
        <f>HYPERLINK("http://twitter.com/MattGlenesk/status/1824170766029688928")</f>
        <v>http://twitter.com/MattGlenesk/status/1824170766029688928</v>
      </c>
      <c r="O178" s="2" t="str">
        <f>HYPERLINK("https://www.indystar.com/story/sports/high-school/all-usa/2024/08/15/ihsaa-girls-soccer-super-team-2024-meet-central-indiana-best-players-preview-preseason/74603710007/")</f>
        <v>https://www.indystar.com/story/sports/high-school/all-usa/2024/08/15/ihsaa-girls-soccer-super-team-2024-meet-central-indiana-best-players-preview-preseason/74603710007/</v>
      </c>
    </row>
    <row r="179" spans="1:15" ht="79.2" x14ac:dyDescent="0.3">
      <c r="A179" s="2" t="s">
        <v>2390</v>
      </c>
      <c r="B179" s="2" t="s">
        <v>2036</v>
      </c>
      <c r="C179" s="2" t="s">
        <v>2391</v>
      </c>
      <c r="D179" s="2" t="s">
        <v>2392</v>
      </c>
      <c r="E179" s="2" t="str">
        <f>HYPERLINK("http://twitter.com/GreggDoyelStar")</f>
        <v>http://twitter.com/GreggDoyelStar</v>
      </c>
      <c r="F179" s="2" t="str">
        <f>HYPERLINK("https://muckrack.com/greggdoyelstar")</f>
        <v>https://muckrack.com/greggdoyelstar</v>
      </c>
      <c r="G179" s="2">
        <v>92219</v>
      </c>
      <c r="H179" s="2" t="s">
        <v>1972</v>
      </c>
      <c r="I179" s="2" t="s">
        <v>2393</v>
      </c>
      <c r="J179" s="2" t="s">
        <v>2000</v>
      </c>
      <c r="K179" s="2" t="s">
        <v>321</v>
      </c>
      <c r="L179" s="2" t="s">
        <v>2442</v>
      </c>
      <c r="M179" s="5">
        <v>45520.395972222221</v>
      </c>
      <c r="N179" s="2" t="str">
        <f>HYPERLINK("http://twitter.com/GreggDoyelStar/status/1824438512470364180")</f>
        <v>http://twitter.com/GreggDoyelStar/status/1824438512470364180</v>
      </c>
      <c r="O179" s="2" t="str">
        <f>HYPERLINK("https://www.indystar.com/story/sports/high-school/all-usa/2024/08/15/ihsaa-girls-soccer-super-team-2024-meet-central-indiana-best-players-preview-preseason/74603710007/")</f>
        <v>https://www.indystar.com/story/sports/high-school/all-usa/2024/08/15/ihsaa-girls-soccer-super-team-2024-meet-central-indiana-best-players-preview-preseason/74603710007/</v>
      </c>
    </row>
    <row r="180" spans="1:15" ht="52.8" x14ac:dyDescent="0.3">
      <c r="A180" s="2" t="s">
        <v>2443</v>
      </c>
      <c r="B180" s="2" t="s">
        <v>2444</v>
      </c>
      <c r="C180" s="2"/>
      <c r="D180" s="2" t="s">
        <v>2445</v>
      </c>
      <c r="E180" s="2" t="str">
        <f>HYPERLINK("http://twitter.com/vaughtsviews")</f>
        <v>http://twitter.com/vaughtsviews</v>
      </c>
      <c r="F180" s="2" t="str">
        <f>HYPERLINK("https://muckrack.com/larry-vaught")</f>
        <v>https://muckrack.com/larry-vaught</v>
      </c>
      <c r="G180" s="2">
        <v>46537</v>
      </c>
      <c r="H180" s="2" t="s">
        <v>2446</v>
      </c>
      <c r="I180" s="2" t="s">
        <v>2447</v>
      </c>
      <c r="J180" s="2"/>
      <c r="K180" s="2" t="s">
        <v>620</v>
      </c>
      <c r="L180" s="2" t="s">
        <v>2448</v>
      </c>
      <c r="M180" s="5">
        <v>45518.340416666673</v>
      </c>
      <c r="N180" s="2" t="str">
        <f>HYPERLINK("http://twitter.com/vaughtsviews/status/1823693604130328642")</f>
        <v>http://twitter.com/vaughtsviews/status/1823693604130328642</v>
      </c>
      <c r="O180" s="2" t="str">
        <f>HYPERLINK("https://www.yoursportsedge.com/2024/08/14/lexington-sporting-club-to-join-usl-championship-for-2025-season/vaughts-views/larryvaught/")</f>
        <v>https://www.yoursportsedge.com/2024/08/14/lexington-sporting-club-to-join-usl-championship-for-2025-season/vaughts-views/larryvaught/</v>
      </c>
    </row>
    <row r="181" spans="1:15" ht="39.6" x14ac:dyDescent="0.3">
      <c r="A181" s="2" t="s">
        <v>2449</v>
      </c>
      <c r="B181" s="2" t="s">
        <v>2024</v>
      </c>
      <c r="C181" s="2" t="s">
        <v>2450</v>
      </c>
      <c r="D181" s="2" t="s">
        <v>2451</v>
      </c>
      <c r="E181" s="2" t="str">
        <f>HYPERLINK("http://twitter.com/krqesports")</f>
        <v>http://twitter.com/krqesports</v>
      </c>
      <c r="F181" s="2" t="str">
        <f>HYPERLINK("https://muckrack.com/krqesports")</f>
        <v>https://muckrack.com/krqesports</v>
      </c>
      <c r="G181" s="2">
        <v>10267</v>
      </c>
      <c r="H181" s="2" t="s">
        <v>2452</v>
      </c>
      <c r="I181" s="2" t="s">
        <v>2453</v>
      </c>
      <c r="J181" s="2" t="s">
        <v>1929</v>
      </c>
      <c r="K181" s="2" t="s">
        <v>621</v>
      </c>
      <c r="L181" s="2" t="str">
        <f>HYPERLINK("https://t.co/yvUqp3DAyz")</f>
        <v>https://t.co/yvUqp3DAyz</v>
      </c>
      <c r="M181" s="5">
        <v>45518.005254629628</v>
      </c>
      <c r="N181" s="2" t="str">
        <f>HYPERLINK("http://twitter.com/krqesports/status/1823572145366011906")</f>
        <v>http://twitter.com/krqesports/status/1823572145366011906</v>
      </c>
      <c r="O181" s="2" t="str">
        <f>HYPERLINK("https://www.krqe.com/news/community/nm-united-looks-to-reinforce-homefield-advantage/")</f>
        <v>https://www.krqe.com/news/community/nm-united-looks-to-reinforce-homefield-advantage/</v>
      </c>
    </row>
    <row r="182" spans="1:15" ht="39.6" x14ac:dyDescent="0.3">
      <c r="A182" s="2" t="s">
        <v>622</v>
      </c>
      <c r="B182" s="2" t="s">
        <v>2215</v>
      </c>
      <c r="C182" s="2" t="s">
        <v>2454</v>
      </c>
      <c r="D182" s="2" t="s">
        <v>2455</v>
      </c>
      <c r="E182" s="2" t="str">
        <f>HYPERLINK("http://twitter.com/HowardWKYT")</f>
        <v>http://twitter.com/HowardWKYT</v>
      </c>
      <c r="F182" s="2" t="str">
        <f>HYPERLINK("https://muckrack.com/lee-howard-1")</f>
        <v>https://muckrack.com/lee-howard-1</v>
      </c>
      <c r="G182" s="2">
        <v>6810</v>
      </c>
      <c r="H182" s="2" t="s">
        <v>2456</v>
      </c>
      <c r="I182" s="2" t="s">
        <v>2457</v>
      </c>
      <c r="J182" s="2" t="s">
        <v>2000</v>
      </c>
      <c r="K182" s="2" t="s">
        <v>623</v>
      </c>
      <c r="L182" s="2" t="s">
        <v>2458</v>
      </c>
      <c r="M182" s="5">
        <v>45517.715266203697</v>
      </c>
      <c r="N182" s="2" t="str">
        <f>HYPERLINK("http://twitter.com/HowardWKYT/status/1823467058950234321")</f>
        <v>http://twitter.com/HowardWKYT/status/1823467058950234321</v>
      </c>
      <c r="O182" s="2" t="str">
        <f>HYPERLINK("https://www.wkyt.com/2024/08/13/lexington-sporting-club-join-usl-championship-2025-season/")</f>
        <v>https://www.wkyt.com/2024/08/13/lexington-sporting-club-join-usl-championship-2025-season/</v>
      </c>
    </row>
    <row r="183" spans="1:15" ht="92.4" x14ac:dyDescent="0.3">
      <c r="A183" s="2" t="s">
        <v>2459</v>
      </c>
      <c r="B183" s="2" t="s">
        <v>1949</v>
      </c>
      <c r="C183" s="2"/>
      <c r="D183" s="2" t="s">
        <v>2460</v>
      </c>
      <c r="E183" s="2" t="str">
        <f>HYPERLINK("http://twitter.com/ramincol")</f>
        <v>http://twitter.com/ramincol</v>
      </c>
      <c r="F183" s="2" t="str">
        <f>HYPERLINK("https://muckrack.com/harry-austin")</f>
        <v>https://muckrack.com/harry-austin</v>
      </c>
      <c r="G183" s="2">
        <v>1615</v>
      </c>
      <c r="H183" s="2" t="s">
        <v>2461</v>
      </c>
      <c r="I183" s="2" t="s">
        <v>2462</v>
      </c>
      <c r="J183" s="2" t="s">
        <v>2033</v>
      </c>
      <c r="K183" s="2" t="s">
        <v>2463</v>
      </c>
      <c r="L183" s="2" t="s">
        <v>2464</v>
      </c>
      <c r="M183" s="5">
        <v>45516.720891203702</v>
      </c>
      <c r="N183" s="2" t="str">
        <f>HYPERLINK("http://twitter.com/ramincol/status/1823106708136153328")</f>
        <v>http://twitter.com/ramincol/status/1823106708136153328</v>
      </c>
      <c r="O183" s="2" t="str">
        <f>HYPERLINK("https://www.ihateyourclub.com/uslcpr")</f>
        <v>https://www.ihateyourclub.com/uslcpr</v>
      </c>
    </row>
    <row r="184" spans="1:15" ht="66" x14ac:dyDescent="0.3">
      <c r="A184" s="2" t="s">
        <v>29</v>
      </c>
      <c r="B184" s="2" t="s">
        <v>1910</v>
      </c>
      <c r="C184" s="2" t="s">
        <v>1911</v>
      </c>
      <c r="D184" s="2" t="s">
        <v>1912</v>
      </c>
      <c r="E184" s="2" t="str">
        <f>HYPERLINK("http://twitter.com/DougRobersonAJC")</f>
        <v>http://twitter.com/DougRobersonAJC</v>
      </c>
      <c r="F184" s="2" t="str">
        <f>HYPERLINK("https://muckrack.com/doug-roberson")</f>
        <v>https://muckrack.com/doug-roberson</v>
      </c>
      <c r="G184" s="2">
        <v>16740</v>
      </c>
      <c r="H184" s="2" t="s">
        <v>1913</v>
      </c>
      <c r="I184" s="2" t="s">
        <v>1914</v>
      </c>
      <c r="J184" s="2" t="s">
        <v>1915</v>
      </c>
      <c r="K184" s="2" t="s">
        <v>30</v>
      </c>
      <c r="L184" s="2" t="s">
        <v>2465</v>
      </c>
      <c r="M184" s="5">
        <v>45516.509826388887</v>
      </c>
      <c r="N184" s="2" t="str">
        <f>HYPERLINK("http://twitter.com/DougRobersonAJC/status/1823030219629805707")</f>
        <v>http://twitter.com/DougRobersonAJC/status/1823030219629805707</v>
      </c>
      <c r="O184" s="2" t="str">
        <f>HYPERLINK("https://www.ajc.com/sports/atlanta-united/what-are-odds-on-atlanta-united-adding-another-player/V36OPIMSWZBLLFRB2DG6LRG4DM/")</f>
        <v>https://www.ajc.com/sports/atlanta-united/what-are-odds-on-atlanta-united-adding-another-player/V36OPIMSWZBLLFRB2DG6LRG4DM/</v>
      </c>
    </row>
    <row r="185" spans="1:15" ht="66" x14ac:dyDescent="0.3">
      <c r="A185" s="2" t="s">
        <v>2466</v>
      </c>
      <c r="B185" s="2" t="s">
        <v>2467</v>
      </c>
      <c r="C185" s="2" t="s">
        <v>2468</v>
      </c>
      <c r="D185" s="2" t="s">
        <v>2469</v>
      </c>
      <c r="E185" s="2" t="str">
        <f>HYPERLINK("http://twitter.com/RobUsry")</f>
        <v>http://twitter.com/RobUsry</v>
      </c>
      <c r="F185" s="2" t="str">
        <f>HYPERLINK("https://muckrack.com/rob-usry")</f>
        <v>https://muckrack.com/rob-usry</v>
      </c>
      <c r="G185" s="2">
        <v>10768</v>
      </c>
      <c r="H185" s="2" t="s">
        <v>2470</v>
      </c>
      <c r="I185" s="2" t="s">
        <v>2471</v>
      </c>
      <c r="J185" s="2" t="s">
        <v>2033</v>
      </c>
      <c r="K185" s="2" t="s">
        <v>2472</v>
      </c>
      <c r="L185" s="2" t="s">
        <v>2473</v>
      </c>
      <c r="M185" s="5">
        <v>45516.51734953704</v>
      </c>
      <c r="N185" s="2" t="str">
        <f>HYPERLINK("http://twitter.com/RobUsry/status/1823032948414644301")</f>
        <v>http://twitter.com/RobUsry/status/1823032948414644301</v>
      </c>
      <c r="O185" s="2" t="str">
        <f>HYPERLINK("https://www.ajc.com/sports/atlanta-united/what-are-odds-on-atlanta-united-adding-another-player/V36OPIMSWZBLLFRB2DG6LRG4DM/")</f>
        <v>https://www.ajc.com/sports/atlanta-united/what-are-odds-on-atlanta-united-adding-another-player/V36OPIMSWZBLLFRB2DG6LRG4DM/</v>
      </c>
    </row>
    <row r="186" spans="1:15" ht="118.8" x14ac:dyDescent="0.3">
      <c r="A186" s="2" t="s">
        <v>564</v>
      </c>
      <c r="B186" s="2" t="s">
        <v>2396</v>
      </c>
      <c r="C186" s="2"/>
      <c r="D186" s="2" t="s">
        <v>2397</v>
      </c>
      <c r="E186" s="2" t="str">
        <f>HYPERLINK("http://twitter.com/DannyWebster21")</f>
        <v>http://twitter.com/DannyWebster21</v>
      </c>
      <c r="F186" s="2" t="str">
        <f>HYPERLINK("https://muckrack.com/danny-webster")</f>
        <v>https://muckrack.com/danny-webster</v>
      </c>
      <c r="G186" s="2">
        <v>8715</v>
      </c>
      <c r="H186" s="2" t="s">
        <v>2398</v>
      </c>
      <c r="I186" s="2" t="s">
        <v>2399</v>
      </c>
      <c r="J186" s="2" t="s">
        <v>2000</v>
      </c>
      <c r="K186" s="2" t="s">
        <v>565</v>
      </c>
      <c r="L186" s="2" t="s">
        <v>2474</v>
      </c>
      <c r="M186" s="5">
        <v>45516.579351851848</v>
      </c>
      <c r="N186" s="2" t="str">
        <f>HYPERLINK("http://twitter.com/DannyWebster21/status/1823055413715321229")</f>
        <v>http://twitter.com/DannyWebster21/status/1823055413715321229</v>
      </c>
      <c r="O186" s="2" t="str">
        <f>HYPERLINK("https://www.reviewjournal.com/sports/lights/lights-after-hitting-rock-bottom-have-first-playoff-berth-in-sight-3126680/")</f>
        <v>https://www.reviewjournal.com/sports/lights/lights-after-hitting-rock-bottom-have-first-playoff-berth-in-sight-3126680/</v>
      </c>
    </row>
    <row r="187" spans="1:15" ht="79.2" x14ac:dyDescent="0.3">
      <c r="A187" s="2" t="s">
        <v>2475</v>
      </c>
      <c r="B187" s="2" t="s">
        <v>2476</v>
      </c>
      <c r="C187" s="2" t="s">
        <v>2477</v>
      </c>
      <c r="D187" s="2" t="s">
        <v>2478</v>
      </c>
      <c r="E187" s="2" t="str">
        <f>HYPERLINK("http://twitter.com/JamesARadio")</f>
        <v>http://twitter.com/JamesARadio</v>
      </c>
      <c r="F187" s="2" t="str">
        <f>HYPERLINK("https://muckrack.com/james-adams-19")</f>
        <v>https://muckrack.com/james-adams-19</v>
      </c>
      <c r="G187" s="2">
        <v>232</v>
      </c>
      <c r="H187" s="2"/>
      <c r="I187" s="2" t="s">
        <v>2479</v>
      </c>
      <c r="J187" s="2"/>
      <c r="K187" s="2" t="s">
        <v>75</v>
      </c>
      <c r="L187" s="2" t="s">
        <v>2480</v>
      </c>
      <c r="M187" s="5">
        <v>45514.912141203713</v>
      </c>
      <c r="N187" s="2" t="str">
        <f>HYPERLINK("http://twitter.com/JamesARadio/status/1822451239671443884")</f>
        <v>http://twitter.com/JamesARadio/status/1822451239671443884</v>
      </c>
      <c r="O187" s="2" t="str">
        <f>HYPERLINK("https://omny.fm/shows/the-ride-with-jmv-podcast/best-of-jmv-8-8-24-greg-rakestraw-hosts")</f>
        <v>https://omny.fm/shows/the-ride-with-jmv-podcast/best-of-jmv-8-8-24-greg-rakestraw-hosts</v>
      </c>
    </row>
    <row r="188" spans="1:15" ht="39.6" x14ac:dyDescent="0.3">
      <c r="A188" s="2" t="s">
        <v>2102</v>
      </c>
      <c r="B188" s="2" t="s">
        <v>2103</v>
      </c>
      <c r="C188" s="2" t="s">
        <v>2104</v>
      </c>
      <c r="D188" s="2" t="s">
        <v>2105</v>
      </c>
      <c r="E188" s="2" t="str">
        <f>HYPERLINK("http://twitter.com/HolyCitySinner")</f>
        <v>http://twitter.com/HolyCitySinner</v>
      </c>
      <c r="F188" s="2" t="str">
        <f>HYPERLINK("https://muckrack.com/christian-senger")</f>
        <v>https://muckrack.com/christian-senger</v>
      </c>
      <c r="G188" s="2">
        <v>61543</v>
      </c>
      <c r="H188" s="2" t="s">
        <v>2106</v>
      </c>
      <c r="I188" s="2" t="s">
        <v>2107</v>
      </c>
      <c r="J188" s="2" t="s">
        <v>2108</v>
      </c>
      <c r="K188" s="2" t="s">
        <v>2109</v>
      </c>
      <c r="L188" s="2" t="s">
        <v>2481</v>
      </c>
      <c r="M188" s="5">
        <v>45514.684305555558</v>
      </c>
      <c r="N188" s="2" t="str">
        <f>HYPERLINK("http://twitter.com/HolyCitySinner/status/1822368672465486234")</f>
        <v>http://twitter.com/HolyCitySinner/status/1822368672465486234</v>
      </c>
      <c r="O188" s="2" t="str">
        <f>HYPERLINK("https://holycitysinner.com/sports/battery-host-memphis-on-saturday-at-patriots-point/")</f>
        <v>https://holycitysinner.com/sports/battery-host-memphis-on-saturday-at-patriots-point/</v>
      </c>
    </row>
    <row r="189" spans="1:15" ht="52.8" x14ac:dyDescent="0.3">
      <c r="A189" s="2" t="s">
        <v>654</v>
      </c>
      <c r="B189" s="2" t="s">
        <v>2482</v>
      </c>
      <c r="C189" s="2"/>
      <c r="D189" s="2" t="s">
        <v>2483</v>
      </c>
      <c r="E189" s="2" t="str">
        <f>HYPERLINK("http://twitter.com/ldock93")</f>
        <v>http://twitter.com/ldock93</v>
      </c>
      <c r="F189" s="2" t="str">
        <f>HYPERLINK("https://muckrack.com/lawrence-dockery")</f>
        <v>https://muckrack.com/lawrence-dockery</v>
      </c>
      <c r="G189" s="2">
        <v>1147</v>
      </c>
      <c r="H189" s="2" t="s">
        <v>2484</v>
      </c>
      <c r="I189" s="2" t="s">
        <v>2485</v>
      </c>
      <c r="J189" s="2" t="s">
        <v>2033</v>
      </c>
      <c r="K189" s="2" t="s">
        <v>2486</v>
      </c>
      <c r="L189" s="2" t="s">
        <v>2487</v>
      </c>
      <c r="M189" s="5">
        <v>45514.436516203707</v>
      </c>
      <c r="N189" s="2" t="str">
        <f>HYPERLINK("http://twitter.com/ldock93/status/1822278879068803205")</f>
        <v>http://twitter.com/ldock93/status/1822278879068803205</v>
      </c>
      <c r="O189" s="2" t="str">
        <f>HYPERLINK("https://bluffcitymedia.co/memphis-901-fc-charleston-battery-preview-2/")</f>
        <v>https://bluffcitymedia.co/memphis-901-fc-charleston-battery-preview-2/</v>
      </c>
    </row>
    <row r="190" spans="1:15" ht="118.8" x14ac:dyDescent="0.3">
      <c r="A190" s="2" t="s">
        <v>664</v>
      </c>
      <c r="B190" s="2" t="s">
        <v>2289</v>
      </c>
      <c r="C190" s="2" t="s">
        <v>2425</v>
      </c>
      <c r="D190" s="2" t="s">
        <v>2426</v>
      </c>
      <c r="E190" s="2" t="str">
        <f>HYPERLINK("http://twitter.com/Brian_Haenchen")</f>
        <v>http://twitter.com/Brian_Haenchen</v>
      </c>
      <c r="F190" s="2" t="str">
        <f>HYPERLINK("https://muckrack.com/brian_haenchen")</f>
        <v>https://muckrack.com/brian_haenchen</v>
      </c>
      <c r="G190" s="2">
        <v>10028</v>
      </c>
      <c r="H190" s="2" t="s">
        <v>1972</v>
      </c>
      <c r="I190" s="2" t="s">
        <v>2427</v>
      </c>
      <c r="J190" s="2" t="s">
        <v>2000</v>
      </c>
      <c r="K190" s="2" t="s">
        <v>321</v>
      </c>
      <c r="L190" s="2" t="s">
        <v>2488</v>
      </c>
      <c r="M190" s="5">
        <v>45512.292361111111</v>
      </c>
      <c r="N190" s="2" t="str">
        <f>HYPERLINK("http://twitter.com/Brian_Haenchen/status/1821501862128075082")</f>
        <v>http://twitter.com/Brian_Haenchen/status/1821501862128075082</v>
      </c>
      <c r="O190" s="2" t="str">
        <f>HYPERLINK("https://www.indystar.com/story/sports/high-school/2024/08/08/ihsaa-girls-soccer-central-indiana-top-forwards-for-2024-high-school-best-players-goal-scorers/74353553007/")</f>
        <v>https://www.indystar.com/story/sports/high-school/2024/08/08/ihsaa-girls-soccer-central-indiana-top-forwards-for-2024-high-school-best-players-goal-scorers/74353553007/</v>
      </c>
    </row>
    <row r="191" spans="1:15" ht="66" x14ac:dyDescent="0.3">
      <c r="A191" s="2" t="s">
        <v>2489</v>
      </c>
      <c r="B191" s="2" t="s">
        <v>2490</v>
      </c>
      <c r="C191" s="2" t="s">
        <v>2491</v>
      </c>
      <c r="D191" s="2" t="s">
        <v>2492</v>
      </c>
      <c r="E191" s="2" t="str">
        <f>HYPERLINK("http://twitter.com/MarkTreinen")</f>
        <v>http://twitter.com/MarkTreinen</v>
      </c>
      <c r="F191" s="2" t="str">
        <f>HYPERLINK("https://muckrack.com/marktreinen")</f>
        <v>https://muckrack.com/marktreinen</v>
      </c>
      <c r="G191" s="2">
        <v>2304</v>
      </c>
      <c r="H191" s="2" t="s">
        <v>2493</v>
      </c>
      <c r="I191" s="2" t="s">
        <v>2494</v>
      </c>
      <c r="J191" s="2" t="s">
        <v>2008</v>
      </c>
      <c r="K191" s="2" t="s">
        <v>675</v>
      </c>
      <c r="L191" s="2" t="s">
        <v>2495</v>
      </c>
      <c r="M191" s="5">
        <v>45511.29923611111</v>
      </c>
      <c r="N191" s="2" t="str">
        <f>HYPERLINK("http://twitter.com/MarkTreinen/status/1821141965586522225")</f>
        <v>http://twitter.com/MarkTreinen/status/1821141965586522225</v>
      </c>
      <c r="O191" s="2" t="str">
        <f>HYPERLINK("https://captimes.com/sports/flocking-to-forward-madison-fc-with-a-fan-group-like-no-other/article_4ea00058-5419-11ef-8c11-47d893182881.html")</f>
        <v>https://captimes.com/sports/flocking-to-forward-madison-fc-with-a-fan-group-like-no-other/article_4ea00058-5419-11ef-8c11-47d893182881.html</v>
      </c>
    </row>
    <row r="192" spans="1:15" ht="79.2" x14ac:dyDescent="0.3">
      <c r="A192" s="2" t="s">
        <v>679</v>
      </c>
      <c r="B192" s="2" t="s">
        <v>2172</v>
      </c>
      <c r="C192" s="2" t="s">
        <v>2496</v>
      </c>
      <c r="D192" s="2" t="s">
        <v>2497</v>
      </c>
      <c r="E192" s="2" t="str">
        <f>HYPERLINK("http://twitter.com/DanaBenbow")</f>
        <v>http://twitter.com/DanaBenbow</v>
      </c>
      <c r="F192" s="2" t="str">
        <f>HYPERLINK("https://muckrack.com/danabenbow")</f>
        <v>https://muckrack.com/danabenbow</v>
      </c>
      <c r="G192" s="2">
        <v>6968</v>
      </c>
      <c r="H192" s="2" t="s">
        <v>2132</v>
      </c>
      <c r="I192" s="2" t="s">
        <v>2498</v>
      </c>
      <c r="J192" s="2" t="s">
        <v>2499</v>
      </c>
      <c r="K192" s="2" t="s">
        <v>321</v>
      </c>
      <c r="L192" s="2" t="s">
        <v>2500</v>
      </c>
      <c r="M192" s="5">
        <v>45510.455335648148</v>
      </c>
      <c r="N192" s="2" t="str">
        <f>HYPERLINK("http://twitter.com/DanaBenbow/status/1820836144608911674")</f>
        <v>http://twitter.com/DanaBenbow/status/1820836144608911674</v>
      </c>
      <c r="O192" s="2" t="str">
        <f>HYPERLINK("https://www.indystar.com/story/sports/2024/08/06/hey-mike-indy-eleven-is-going-for-a-world-record-and-needs-your-help/74663127007/")</f>
        <v>https://www.indystar.com/story/sports/2024/08/06/hey-mike-indy-eleven-is-going-for-a-world-record-and-needs-your-help/74663127007/</v>
      </c>
    </row>
    <row r="193" spans="1:15" ht="132" x14ac:dyDescent="0.3">
      <c r="A193" s="2" t="s">
        <v>104</v>
      </c>
      <c r="B193" s="2" t="s">
        <v>2184</v>
      </c>
      <c r="C193" s="2" t="s">
        <v>2185</v>
      </c>
      <c r="D193" s="2" t="s">
        <v>2186</v>
      </c>
      <c r="E193" s="2" t="str">
        <f>HYPERLINK("http://twitter.com/JohnKrysinsky")</f>
        <v>http://twitter.com/JohnKrysinsky</v>
      </c>
      <c r="F193" s="2" t="str">
        <f>HYPERLINK("https://muckrack.com/john-krysinsky")</f>
        <v>https://muckrack.com/john-krysinsky</v>
      </c>
      <c r="G193" s="2">
        <v>3332</v>
      </c>
      <c r="H193" s="2" t="s">
        <v>2187</v>
      </c>
      <c r="I193" s="2" t="s">
        <v>2188</v>
      </c>
      <c r="J193" s="2" t="s">
        <v>2000</v>
      </c>
      <c r="K193" s="2" t="s">
        <v>2034</v>
      </c>
      <c r="L193" s="2" t="s">
        <v>2501</v>
      </c>
      <c r="M193" s="5">
        <v>45544.721597222233</v>
      </c>
      <c r="N193" s="2" t="str">
        <f>HYPERLINK("http://twitter.com/JohnKrysinsky/status/1833253824305500261")</f>
        <v>http://twitter.com/JohnKrysinsky/status/1833253824305500261</v>
      </c>
      <c r="O193" s="2" t="str">
        <f>HYPERLINK("https://pittsburghsoccernow.com/2024/08/05/riverhounds-notebook-projecting-a-difficult-but-not-impossible-path-to-the-postseason-with-12-matches-remaining/")</f>
        <v>https://pittsburghsoccernow.com/2024/08/05/riverhounds-notebook-projecting-a-difficult-but-not-impossible-path-to-the-postseason-with-12-matches-remaining/</v>
      </c>
    </row>
    <row r="194" spans="1:15" ht="66" x14ac:dyDescent="0.3">
      <c r="A194" s="2" t="s">
        <v>2502</v>
      </c>
      <c r="B194" s="2" t="s">
        <v>2503</v>
      </c>
      <c r="C194" s="2"/>
      <c r="D194" s="2" t="s">
        <v>2504</v>
      </c>
      <c r="E194" s="2" t="str">
        <f>HYPERLINK("http://twitter.com/zachirwin")</f>
        <v>http://twitter.com/zachirwin</v>
      </c>
      <c r="F194" s="2" t="str">
        <f>HYPERLINK("https://muckrack.com/zach-irwin")</f>
        <v>https://muckrack.com/zach-irwin</v>
      </c>
      <c r="G194" s="2">
        <v>1417</v>
      </c>
      <c r="H194" s="2" t="s">
        <v>2505</v>
      </c>
      <c r="I194" s="2" t="s">
        <v>2506</v>
      </c>
      <c r="J194" s="2" t="s">
        <v>1954</v>
      </c>
      <c r="K194" s="2" t="s">
        <v>2507</v>
      </c>
      <c r="L194" s="2" t="s">
        <v>2508</v>
      </c>
      <c r="M194" s="5">
        <v>45508.782546296286</v>
      </c>
      <c r="N194" s="2" t="str">
        <f>HYPERLINK("http://twitter.com/zachirwin/status/1820229948310781999")</f>
        <v>http://twitter.com/zachirwin/status/1820229948310781999</v>
      </c>
      <c r="O194" s="2" t="str">
        <f>HYPERLINK("https://www.ajc.com/sports/atlanta-united/atlanta-united-knocked-out-of-leagues-cup-by-santos-laguna/IBDBGTEFQZAZ5OG5BARIMVH42M/")</f>
        <v>https://www.ajc.com/sports/atlanta-united/atlanta-united-knocked-out-of-leagues-cup-by-santos-laguna/IBDBGTEFQZAZ5OG5BARIMVH42M/</v>
      </c>
    </row>
    <row r="195" spans="1:15" ht="66" x14ac:dyDescent="0.3">
      <c r="A195" s="2" t="s">
        <v>29</v>
      </c>
      <c r="B195" s="2" t="s">
        <v>1910</v>
      </c>
      <c r="C195" s="2" t="s">
        <v>1911</v>
      </c>
      <c r="D195" s="2" t="s">
        <v>1912</v>
      </c>
      <c r="E195" s="2" t="str">
        <f>HYPERLINK("http://twitter.com/DougRobersonAJC")</f>
        <v>http://twitter.com/DougRobersonAJC</v>
      </c>
      <c r="F195" s="2" t="str">
        <f>HYPERLINK("https://muckrack.com/doug-roberson")</f>
        <v>https://muckrack.com/doug-roberson</v>
      </c>
      <c r="G195" s="2">
        <v>16740</v>
      </c>
      <c r="H195" s="2" t="s">
        <v>1913</v>
      </c>
      <c r="I195" s="2" t="s">
        <v>1914</v>
      </c>
      <c r="J195" s="2" t="s">
        <v>1915</v>
      </c>
      <c r="K195" s="2" t="s">
        <v>30</v>
      </c>
      <c r="L195" s="2" t="s">
        <v>2509</v>
      </c>
      <c r="M195" s="5">
        <v>45508.815300925933</v>
      </c>
      <c r="N195" s="2" t="str">
        <f>HYPERLINK("http://twitter.com/DougRobersonAJC/status/1820241818795295181")</f>
        <v>http://twitter.com/DougRobersonAJC/status/1820241818795295181</v>
      </c>
      <c r="O195" s="2" t="str">
        <f>HYPERLINK("https://www.ajc.com/sports/atlanta-united/atlanta-united-knocked-out-of-leagues-cup-by-santos-laguna/IBDBGTEFQZAZ5OG5BARIMVH42M/")</f>
        <v>https://www.ajc.com/sports/atlanta-united/atlanta-united-knocked-out-of-leagues-cup-by-santos-laguna/IBDBGTEFQZAZ5OG5BARIMVH42M/</v>
      </c>
    </row>
    <row r="196" spans="1:15" ht="92.4" x14ac:dyDescent="0.3">
      <c r="A196" s="2" t="s">
        <v>682</v>
      </c>
      <c r="B196" s="2" t="s">
        <v>2510</v>
      </c>
      <c r="C196" s="2" t="s">
        <v>2511</v>
      </c>
      <c r="D196" s="2" t="s">
        <v>2512</v>
      </c>
      <c r="E196" s="2" t="str">
        <f>HYPERLINK("http://twitter.com/YesWeCrann")</f>
        <v>http://twitter.com/YesWeCrann</v>
      </c>
      <c r="F196" s="2" t="str">
        <f>HYPERLINK("https://muckrack.com/joe-crann")</f>
        <v>https://muckrack.com/joe-crann</v>
      </c>
      <c r="G196" s="2">
        <v>199124</v>
      </c>
      <c r="H196" s="2" t="s">
        <v>2513</v>
      </c>
      <c r="I196" s="2" t="s">
        <v>2514</v>
      </c>
      <c r="J196" s="2" t="s">
        <v>2515</v>
      </c>
      <c r="K196" s="2" t="s">
        <v>683</v>
      </c>
      <c r="L196" s="2" t="s">
        <v>2516</v>
      </c>
      <c r="M196" s="5">
        <v>45508.482858796298</v>
      </c>
      <c r="N196" s="2" t="str">
        <f>HYPERLINK("http://twitter.com/YesWeCrann/status/1820121343985160450")</f>
        <v>http://twitter.com/YesWeCrann/status/1820121343985160450</v>
      </c>
      <c r="O196" s="2" t="str">
        <f>HYPERLINK("https://www.thestar.co.uk/sport/football/sheffield-wednesday/hed-understand-why-sheffield-wednesday-always-knew-that-owls-swiss-army-knife-would-make-the-cut-4728455")</f>
        <v>https://www.thestar.co.uk/sport/football/sheffield-wednesday/hed-understand-why-sheffield-wednesday-always-knew-that-owls-swiss-army-knife-would-make-the-cut-4728455</v>
      </c>
    </row>
    <row r="197" spans="1:15" ht="39.6" x14ac:dyDescent="0.3">
      <c r="A197" s="2" t="s">
        <v>2102</v>
      </c>
      <c r="B197" s="2" t="s">
        <v>2103</v>
      </c>
      <c r="C197" s="2" t="s">
        <v>2104</v>
      </c>
      <c r="D197" s="2" t="s">
        <v>2105</v>
      </c>
      <c r="E197" s="2" t="str">
        <f>HYPERLINK("http://twitter.com/HolyCitySinner")</f>
        <v>http://twitter.com/HolyCitySinner</v>
      </c>
      <c r="F197" s="2" t="str">
        <f>HYPERLINK("https://muckrack.com/christian-senger")</f>
        <v>https://muckrack.com/christian-senger</v>
      </c>
      <c r="G197" s="2">
        <v>61543</v>
      </c>
      <c r="H197" s="2" t="s">
        <v>2106</v>
      </c>
      <c r="I197" s="2" t="s">
        <v>2107</v>
      </c>
      <c r="J197" s="2" t="s">
        <v>2108</v>
      </c>
      <c r="K197" s="2" t="s">
        <v>2109</v>
      </c>
      <c r="L197" s="2" t="s">
        <v>2517</v>
      </c>
      <c r="M197" s="5">
        <v>45507.72152777778</v>
      </c>
      <c r="N197" s="2" t="str">
        <f>HYPERLINK("http://twitter.com/HolyCitySinner/status/1819845446442828179")</f>
        <v>http://twitter.com/HolyCitySinner/status/1819845446442828179</v>
      </c>
      <c r="O197" s="2" t="str">
        <f>HYPERLINK("https://holycitysinner.com/sports/battery-blast-indy-5-0-at-patriots-point-five-different-play/")</f>
        <v>https://holycitysinner.com/sports/battery-blast-indy-5-0-at-patriots-point-five-different-play/</v>
      </c>
    </row>
    <row r="198" spans="1:15" ht="39.6" x14ac:dyDescent="0.3">
      <c r="A198" s="2" t="s">
        <v>2102</v>
      </c>
      <c r="B198" s="2" t="s">
        <v>2103</v>
      </c>
      <c r="C198" s="2" t="s">
        <v>2104</v>
      </c>
      <c r="D198" s="2" t="s">
        <v>2105</v>
      </c>
      <c r="E198" s="2" t="str">
        <f>HYPERLINK("http://twitter.com/HolyCitySinner")</f>
        <v>http://twitter.com/HolyCitySinner</v>
      </c>
      <c r="F198" s="2" t="str">
        <f>HYPERLINK("https://muckrack.com/christian-senger")</f>
        <v>https://muckrack.com/christian-senger</v>
      </c>
      <c r="G198" s="2">
        <v>61543</v>
      </c>
      <c r="H198" s="2" t="s">
        <v>2106</v>
      </c>
      <c r="I198" s="2" t="s">
        <v>2107</v>
      </c>
      <c r="J198" s="2" t="s">
        <v>2108</v>
      </c>
      <c r="K198" s="2" t="s">
        <v>2109</v>
      </c>
      <c r="L198" s="2" t="s">
        <v>2518</v>
      </c>
      <c r="M198" s="5">
        <v>45507.881249999999</v>
      </c>
      <c r="N198" s="2" t="str">
        <f>HYPERLINK("http://twitter.com/HolyCitySinner/status/1819903328211587530")</f>
        <v>http://twitter.com/HolyCitySinner/status/1819903328211587530</v>
      </c>
      <c r="O198" s="2" t="str">
        <f>HYPERLINK("https://holycitysinner.com/sports/battery-blast-indy-5-0-at-patriots-point-five-different-play/")</f>
        <v>https://holycitysinner.com/sports/battery-blast-indy-5-0-at-patriots-point-five-different-play/</v>
      </c>
    </row>
    <row r="199" spans="1:15" ht="66" x14ac:dyDescent="0.3">
      <c r="A199" s="2" t="s">
        <v>29</v>
      </c>
      <c r="B199" s="2" t="s">
        <v>1910</v>
      </c>
      <c r="C199" s="2" t="s">
        <v>1911</v>
      </c>
      <c r="D199" s="2" t="s">
        <v>1912</v>
      </c>
      <c r="E199" s="2" t="str">
        <f>HYPERLINK("http://twitter.com/DougRobersonAJC")</f>
        <v>http://twitter.com/DougRobersonAJC</v>
      </c>
      <c r="F199" s="2" t="str">
        <f>HYPERLINK("https://muckrack.com/doug-roberson")</f>
        <v>https://muckrack.com/doug-roberson</v>
      </c>
      <c r="G199" s="2">
        <v>16740</v>
      </c>
      <c r="H199" s="2" t="s">
        <v>1913</v>
      </c>
      <c r="I199" s="2" t="s">
        <v>1914</v>
      </c>
      <c r="J199" s="2" t="s">
        <v>1915</v>
      </c>
      <c r="K199" s="2" t="s">
        <v>30</v>
      </c>
      <c r="L199" s="2" t="s">
        <v>2519</v>
      </c>
      <c r="M199" s="5">
        <v>45507.512071759258</v>
      </c>
      <c r="N199" s="2" t="str">
        <f>HYPERLINK("http://twitter.com/DougRobersonAJC/status/1819769545101308406")</f>
        <v>http://twitter.com/DougRobersonAJC/status/1819769545101308406</v>
      </c>
      <c r="O199" s="2" t="str">
        <f>HYPERLINK("https://www.ajc.com/sports/atlanta-united/info-to-know-atlanta-united-vs-santos-laguna/KSKT4IHZGBDIVJB4BVR7YVOZIM/")</f>
        <v>https://www.ajc.com/sports/atlanta-united/info-to-know-atlanta-united-vs-santos-laguna/KSKT4IHZGBDIVJB4BVR7YVOZIM/</v>
      </c>
    </row>
    <row r="200" spans="1:15" ht="66" x14ac:dyDescent="0.3">
      <c r="A200" s="2" t="s">
        <v>29</v>
      </c>
      <c r="B200" s="2" t="s">
        <v>1910</v>
      </c>
      <c r="C200" s="2" t="s">
        <v>1911</v>
      </c>
      <c r="D200" s="2" t="s">
        <v>1912</v>
      </c>
      <c r="E200" s="2" t="str">
        <f>HYPERLINK("http://twitter.com/DougRobersonAJC")</f>
        <v>http://twitter.com/DougRobersonAJC</v>
      </c>
      <c r="F200" s="2" t="str">
        <f>HYPERLINK("https://muckrack.com/doug-roberson")</f>
        <v>https://muckrack.com/doug-roberson</v>
      </c>
      <c r="G200" s="2">
        <v>16740</v>
      </c>
      <c r="H200" s="2" t="s">
        <v>1913</v>
      </c>
      <c r="I200" s="2" t="s">
        <v>1914</v>
      </c>
      <c r="J200" s="2" t="s">
        <v>1915</v>
      </c>
      <c r="K200" s="2" t="s">
        <v>30</v>
      </c>
      <c r="L200" s="2" t="s">
        <v>2520</v>
      </c>
      <c r="M200" s="5">
        <v>45507.438344907408</v>
      </c>
      <c r="N200" s="2" t="str">
        <f>HYPERLINK("http://twitter.com/DougRobersonAJC/status/1819742827456110742")</f>
        <v>http://twitter.com/DougRobersonAJC/status/1819742827456110742</v>
      </c>
      <c r="O200" s="2" t="str">
        <f>HYPERLINK("https://www.ajc.com/sports/atlanta-united/atlanta-uniteds-ronald-hernandez-suffers-mcl-sprain/CWQSJXJBKZDDLIKLJ7AH5SZLUA/")</f>
        <v>https://www.ajc.com/sports/atlanta-united/atlanta-uniteds-ronald-hernandez-suffers-mcl-sprain/CWQSJXJBKZDDLIKLJ7AH5SZLUA/</v>
      </c>
    </row>
    <row r="201" spans="1:15" ht="39.6" x14ac:dyDescent="0.3">
      <c r="A201" s="2" t="s">
        <v>263</v>
      </c>
      <c r="B201" s="2" t="s">
        <v>2221</v>
      </c>
      <c r="C201" s="2" t="s">
        <v>2222</v>
      </c>
      <c r="D201" s="2" t="s">
        <v>2223</v>
      </c>
      <c r="E201" s="2" t="str">
        <f>HYPERLINK("http://twitter.com/pkedit")</f>
        <v>http://twitter.com/pkedit</v>
      </c>
      <c r="F201" s="2" t="str">
        <f>HYPERLINK("https://muckrack.com/paul-kennedy")</f>
        <v>https://muckrack.com/paul-kennedy</v>
      </c>
      <c r="G201" s="2">
        <v>10080</v>
      </c>
      <c r="H201" s="2"/>
      <c r="I201" s="2" t="s">
        <v>2224</v>
      </c>
      <c r="J201" s="2" t="s">
        <v>1929</v>
      </c>
      <c r="K201" s="2" t="s">
        <v>264</v>
      </c>
      <c r="L201" s="2" t="s">
        <v>2521</v>
      </c>
      <c r="M201" s="5">
        <v>45507.345138888893</v>
      </c>
      <c r="N201" s="2" t="str">
        <f>HYPERLINK("http://twitter.com/pkedit/status/1819709047794270332")</f>
        <v>http://twitter.com/pkedit/status/1819709047794270332</v>
      </c>
      <c r="O201" s="2" t="str">
        <f>HYPERLINK("https://www.socceramerica.com/the-american-soccer-weekend-preview-17/")</f>
        <v>https://www.socceramerica.com/the-american-soccer-weekend-preview-17/</v>
      </c>
    </row>
    <row r="202" spans="1:15" ht="105.6" x14ac:dyDescent="0.3">
      <c r="A202" s="2" t="s">
        <v>263</v>
      </c>
      <c r="B202" s="2" t="s">
        <v>2221</v>
      </c>
      <c r="C202" s="2" t="s">
        <v>2222</v>
      </c>
      <c r="D202" s="2" t="s">
        <v>2223</v>
      </c>
      <c r="E202" s="2" t="str">
        <f>HYPERLINK("http://twitter.com/pkedit")</f>
        <v>http://twitter.com/pkedit</v>
      </c>
      <c r="F202" s="2" t="str">
        <f>HYPERLINK("https://muckrack.com/paul-kennedy")</f>
        <v>https://muckrack.com/paul-kennedy</v>
      </c>
      <c r="G202" s="2">
        <v>10080</v>
      </c>
      <c r="H202" s="2"/>
      <c r="I202" s="2" t="s">
        <v>2224</v>
      </c>
      <c r="J202" s="2" t="s">
        <v>1929</v>
      </c>
      <c r="K202" s="2" t="s">
        <v>264</v>
      </c>
      <c r="L202" s="2" t="s">
        <v>2522</v>
      </c>
      <c r="M202" s="5">
        <v>45507.61041666667</v>
      </c>
      <c r="N202" s="2" t="str">
        <f>HYPERLINK("http://twitter.com/pkedit/status/1819805181254504778")</f>
        <v>http://twitter.com/pkedit/status/1819805181254504778</v>
      </c>
      <c r="O202" s="2" t="str">
        <f>HYPERLINK("https://www.socceramerica.com/the-american-soccer-weekend-preview-17/")</f>
        <v>https://www.socceramerica.com/the-american-soccer-weekend-preview-17/</v>
      </c>
    </row>
    <row r="203" spans="1:15" ht="66" x14ac:dyDescent="0.3">
      <c r="A203" s="2" t="s">
        <v>263</v>
      </c>
      <c r="B203" s="2" t="s">
        <v>2221</v>
      </c>
      <c r="C203" s="2" t="s">
        <v>2222</v>
      </c>
      <c r="D203" s="2" t="s">
        <v>2223</v>
      </c>
      <c r="E203" s="2" t="str">
        <f>HYPERLINK("http://twitter.com/pkedit")</f>
        <v>http://twitter.com/pkedit</v>
      </c>
      <c r="F203" s="2" t="str">
        <f>HYPERLINK("https://muckrack.com/paul-kennedy")</f>
        <v>https://muckrack.com/paul-kennedy</v>
      </c>
      <c r="G203" s="2">
        <v>10080</v>
      </c>
      <c r="H203" s="2"/>
      <c r="I203" s="2" t="s">
        <v>2224</v>
      </c>
      <c r="J203" s="2" t="s">
        <v>1929</v>
      </c>
      <c r="K203" s="2" t="s">
        <v>264</v>
      </c>
      <c r="L203" s="2" t="s">
        <v>2523</v>
      </c>
      <c r="M203" s="5">
        <v>45507.635416666657</v>
      </c>
      <c r="N203" s="2" t="str">
        <f>HYPERLINK("http://twitter.com/pkedit/status/1819814241047564330")</f>
        <v>http://twitter.com/pkedit/status/1819814241047564330</v>
      </c>
      <c r="O203" s="2" t="str">
        <f>HYPERLINK("https://www.socceramerica.com/the-american-soccer-weekend-preview-17/")</f>
        <v>https://www.socceramerica.com/the-american-soccer-weekend-preview-17/</v>
      </c>
    </row>
    <row r="204" spans="1:15" ht="118.8" x14ac:dyDescent="0.3">
      <c r="A204" s="2" t="s">
        <v>349</v>
      </c>
      <c r="B204" s="2" t="s">
        <v>2524</v>
      </c>
      <c r="C204" s="2" t="s">
        <v>2525</v>
      </c>
      <c r="D204" s="2" t="s">
        <v>2526</v>
      </c>
      <c r="E204" s="2" t="str">
        <f>HYPERLINK("http://twitter.com/MikeWoitalla")</f>
        <v>http://twitter.com/MikeWoitalla</v>
      </c>
      <c r="F204" s="2" t="str">
        <f>HYPERLINK("https://muckrack.com/mike-woitalla")</f>
        <v>https://muckrack.com/mike-woitalla</v>
      </c>
      <c r="G204" s="2">
        <v>3965</v>
      </c>
      <c r="H204" s="2" t="s">
        <v>2527</v>
      </c>
      <c r="I204" s="2" t="s">
        <v>2528</v>
      </c>
      <c r="J204" s="2" t="s">
        <v>2529</v>
      </c>
      <c r="K204" s="2" t="s">
        <v>264</v>
      </c>
      <c r="L204" s="2" t="s">
        <v>2530</v>
      </c>
      <c r="M204" s="5">
        <v>45507.42796296296</v>
      </c>
      <c r="N204" s="2" t="str">
        <f>HYPERLINK("http://twitter.com/MikeWoitalla/status/1819739063408361574")</f>
        <v>http://twitter.com/MikeWoitalla/status/1819739063408361574</v>
      </c>
      <c r="O204" s="2" t="str">
        <f>HYPERLINK("https://www.socceramerica.com/the-american-soccer-weekend-preview-17/")</f>
        <v>https://www.socceramerica.com/the-american-soccer-weekend-preview-17/</v>
      </c>
    </row>
    <row r="205" spans="1:15" ht="39.6" x14ac:dyDescent="0.3">
      <c r="A205" s="2" t="s">
        <v>2531</v>
      </c>
      <c r="B205" s="2" t="s">
        <v>2532</v>
      </c>
      <c r="C205" s="2"/>
      <c r="D205" s="2" t="s">
        <v>2533</v>
      </c>
      <c r="E205" s="2" t="str">
        <f>HYPERLINK("http://twitter.com/fangsbites")</f>
        <v>http://twitter.com/fangsbites</v>
      </c>
      <c r="F205" s="2" t="str">
        <f>HYPERLINK("https://muckrack.com/ken-fang")</f>
        <v>https://muckrack.com/ken-fang</v>
      </c>
      <c r="G205" s="2">
        <v>8124</v>
      </c>
      <c r="H205" s="2" t="s">
        <v>2534</v>
      </c>
      <c r="I205" s="2" t="s">
        <v>2535</v>
      </c>
      <c r="J205" s="2" t="s">
        <v>2033</v>
      </c>
      <c r="K205" s="2" t="s">
        <v>694</v>
      </c>
      <c r="L205" s="2" t="s">
        <v>2536</v>
      </c>
      <c r="M205" s="5">
        <v>45506.293912037043</v>
      </c>
      <c r="N205" s="2" t="str">
        <f>HYPERLINK("http://twitter.com/fangsbites/status/1819328097243877868")</f>
        <v>http://twitter.com/fangsbites/status/1819328097243877868</v>
      </c>
      <c r="O205" s="2" t="str">
        <f>HYPERLINK("https://awfulannouncing.com/viewing-picks/august-2-2024-watch-olympic-3x3-basketball.html")</f>
        <v>https://awfulannouncing.com/viewing-picks/august-2-2024-watch-olympic-3x3-basketball.html</v>
      </c>
    </row>
    <row r="206" spans="1:15" ht="39.6" x14ac:dyDescent="0.3">
      <c r="A206" s="2" t="s">
        <v>2102</v>
      </c>
      <c r="B206" s="2" t="s">
        <v>2103</v>
      </c>
      <c r="C206" s="2" t="s">
        <v>2104</v>
      </c>
      <c r="D206" s="2" t="s">
        <v>2105</v>
      </c>
      <c r="E206" s="2" t="str">
        <f>HYPERLINK("http://twitter.com/HolyCitySinner")</f>
        <v>http://twitter.com/HolyCitySinner</v>
      </c>
      <c r="F206" s="2" t="str">
        <f>HYPERLINK("https://muckrack.com/christian-senger")</f>
        <v>https://muckrack.com/christian-senger</v>
      </c>
      <c r="G206" s="2">
        <v>61543</v>
      </c>
      <c r="H206" s="2" t="s">
        <v>2106</v>
      </c>
      <c r="I206" s="2" t="s">
        <v>2107</v>
      </c>
      <c r="J206" s="2" t="s">
        <v>2108</v>
      </c>
      <c r="K206" s="2" t="s">
        <v>2109</v>
      </c>
      <c r="L206" s="2" t="s">
        <v>2537</v>
      </c>
      <c r="M206" s="5">
        <v>45505.901388888888</v>
      </c>
      <c r="N206" s="2" t="str">
        <f>HYPERLINK("http://twitter.com/HolyCitySinner/status/1819185850544165114")</f>
        <v>http://twitter.com/HolyCitySinner/status/1819185850544165114</v>
      </c>
      <c r="O206" s="2" t="str">
        <f>HYPERLINK("https://holycitysinner.com/charleston-battery-acquire-jay-chapman-christian-garner-on-l/")</f>
        <v>https://holycitysinner.com/charleston-battery-acquire-jay-chapman-christian-garner-on-l/</v>
      </c>
    </row>
    <row r="207" spans="1:15" ht="39.6" x14ac:dyDescent="0.3">
      <c r="A207" s="2" t="s">
        <v>2102</v>
      </c>
      <c r="B207" s="2" t="s">
        <v>2103</v>
      </c>
      <c r="C207" s="2" t="s">
        <v>2104</v>
      </c>
      <c r="D207" s="2" t="s">
        <v>2105</v>
      </c>
      <c r="E207" s="2" t="str">
        <f>HYPERLINK("http://twitter.com/HolyCitySinner")</f>
        <v>http://twitter.com/HolyCitySinner</v>
      </c>
      <c r="F207" s="2" t="str">
        <f>HYPERLINK("https://muckrack.com/christian-senger")</f>
        <v>https://muckrack.com/christian-senger</v>
      </c>
      <c r="G207" s="2">
        <v>61543</v>
      </c>
      <c r="H207" s="2" t="s">
        <v>2106</v>
      </c>
      <c r="I207" s="2" t="s">
        <v>2107</v>
      </c>
      <c r="J207" s="2" t="s">
        <v>2108</v>
      </c>
      <c r="K207" s="2" t="s">
        <v>2109</v>
      </c>
      <c r="L207" s="2" t="s">
        <v>2538</v>
      </c>
      <c r="M207" s="5">
        <v>45506.462500000001</v>
      </c>
      <c r="N207" s="2" t="str">
        <f>HYPERLINK("http://twitter.com/HolyCitySinner/status/1819389190259269874")</f>
        <v>http://twitter.com/HolyCitySinner/status/1819389190259269874</v>
      </c>
      <c r="O207" s="2" t="str">
        <f>HYPERLINK("https://holycitysinner.com/charleston-battery-acquire-jay-chapman-christian-garner-on-l/")</f>
        <v>https://holycitysinner.com/charleston-battery-acquire-jay-chapman-christian-garner-on-l/</v>
      </c>
    </row>
    <row r="208" spans="1:15" ht="79.2" x14ac:dyDescent="0.3">
      <c r="A208" s="2" t="s">
        <v>29</v>
      </c>
      <c r="B208" s="2" t="s">
        <v>1910</v>
      </c>
      <c r="C208" s="2" t="s">
        <v>1911</v>
      </c>
      <c r="D208" s="2" t="s">
        <v>1912</v>
      </c>
      <c r="E208" s="2" t="str">
        <f>HYPERLINK("http://twitter.com/DougRobersonAJC")</f>
        <v>http://twitter.com/DougRobersonAJC</v>
      </c>
      <c r="F208" s="2" t="str">
        <f>HYPERLINK("https://muckrack.com/doug-roberson")</f>
        <v>https://muckrack.com/doug-roberson</v>
      </c>
      <c r="G208" s="2">
        <v>16740</v>
      </c>
      <c r="H208" s="2" t="s">
        <v>1913</v>
      </c>
      <c r="I208" s="2" t="s">
        <v>1914</v>
      </c>
      <c r="J208" s="2" t="s">
        <v>1915</v>
      </c>
      <c r="K208" s="2" t="s">
        <v>30</v>
      </c>
      <c r="L208" s="2" t="s">
        <v>2539</v>
      </c>
      <c r="M208" s="5">
        <v>45504.559733796297</v>
      </c>
      <c r="N208" s="2" t="str">
        <f>HYPERLINK("http://twitter.com/DougRobersonAJC/status/1818699653933940816")</f>
        <v>http://twitter.com/DougRobersonAJC/status/1818699653933940816</v>
      </c>
      <c r="O208" s="2" t="str">
        <f>HYPERLINK("https://www.ajc.com/sports/atlanta-united/southern-fried-soccer-atlanta-united-adds-a-dp-and-chelsea-talks-caleb-wiley/4UWQ4LBLKJE4BHBPQY7I5QL4D4/")</f>
        <v>https://www.ajc.com/sports/atlanta-united/southern-fried-soccer-atlanta-united-adds-a-dp-and-chelsea-talks-caleb-wiley/4UWQ4LBLKJE4BHBPQY7I5QL4D4/</v>
      </c>
    </row>
    <row r="209" spans="1:15" ht="52.8" x14ac:dyDescent="0.3">
      <c r="A209" s="2" t="s">
        <v>664</v>
      </c>
      <c r="B209" s="2" t="s">
        <v>2289</v>
      </c>
      <c r="C209" s="2" t="s">
        <v>2425</v>
      </c>
      <c r="D209" s="2" t="s">
        <v>2426</v>
      </c>
      <c r="E209" s="2" t="str">
        <f>HYPERLINK("http://twitter.com/Brian_Haenchen")</f>
        <v>http://twitter.com/Brian_Haenchen</v>
      </c>
      <c r="F209" s="2" t="str">
        <f>HYPERLINK("https://muckrack.com/brian_haenchen")</f>
        <v>https://muckrack.com/brian_haenchen</v>
      </c>
      <c r="G209" s="2">
        <v>10028</v>
      </c>
      <c r="H209" s="2" t="s">
        <v>1972</v>
      </c>
      <c r="I209" s="2" t="s">
        <v>2427</v>
      </c>
      <c r="J209" s="2" t="s">
        <v>2000</v>
      </c>
      <c r="K209" s="2" t="s">
        <v>321</v>
      </c>
      <c r="L209" s="2" t="s">
        <v>2540</v>
      </c>
      <c r="M209" s="5">
        <v>45504.314525462964</v>
      </c>
      <c r="N209" s="2" t="str">
        <f>HYPERLINK("http://twitter.com/Brian_Haenchen/status/1818610791412580531")</f>
        <v>http://twitter.com/Brian_Haenchen/status/1818610791412580531</v>
      </c>
      <c r="O209" s="2" t="str">
        <f t="shared" ref="O209:O216" si="10">HYPERLINK("https://www.indystar.com/story/news/local/indianapolis/2024/07/31/mls-soccer-stadium-indianapolis/74235564007/")</f>
        <v>https://www.indystar.com/story/news/local/indianapolis/2024/07/31/mls-soccer-stadium-indianapolis/74235564007/</v>
      </c>
    </row>
    <row r="210" spans="1:15" ht="52.8" x14ac:dyDescent="0.3">
      <c r="A210" s="2" t="s">
        <v>2119</v>
      </c>
      <c r="B210" s="2" t="s">
        <v>2120</v>
      </c>
      <c r="C210" s="2" t="s">
        <v>2121</v>
      </c>
      <c r="D210" s="2" t="s">
        <v>2122</v>
      </c>
      <c r="E210" s="2" t="str">
        <f>HYPERLINK("http://twitter.com/starwatchtim")</f>
        <v>http://twitter.com/starwatchtim</v>
      </c>
      <c r="F210" s="2" t="str">
        <f>HYPERLINK("https://muckrack.com/starwatchtim")</f>
        <v>https://muckrack.com/starwatchtim</v>
      </c>
      <c r="G210" s="2">
        <v>7285</v>
      </c>
      <c r="H210" s="2" t="s">
        <v>2123</v>
      </c>
      <c r="I210" s="2" t="s">
        <v>2124</v>
      </c>
      <c r="J210" s="2" t="s">
        <v>2125</v>
      </c>
      <c r="K210" s="2" t="s">
        <v>321</v>
      </c>
      <c r="L210" s="2" t="s">
        <v>2541</v>
      </c>
      <c r="M210" s="5">
        <v>45504.326805555553</v>
      </c>
      <c r="N210" s="2" t="str">
        <f>HYPERLINK("http://twitter.com/starwatchtim/status/1818615240839356542")</f>
        <v>http://twitter.com/starwatchtim/status/1818615240839356542</v>
      </c>
      <c r="O210" s="2" t="str">
        <f t="shared" si="10"/>
        <v>https://www.indystar.com/story/news/local/indianapolis/2024/07/31/mls-soccer-stadium-indianapolis/74235564007/</v>
      </c>
    </row>
    <row r="211" spans="1:15" ht="52.8" x14ac:dyDescent="0.3">
      <c r="A211" s="2" t="s">
        <v>2119</v>
      </c>
      <c r="B211" s="2" t="s">
        <v>2120</v>
      </c>
      <c r="C211" s="2" t="s">
        <v>2121</v>
      </c>
      <c r="D211" s="2" t="s">
        <v>2122</v>
      </c>
      <c r="E211" s="2" t="str">
        <f>HYPERLINK("http://twitter.com/starwatchtim")</f>
        <v>http://twitter.com/starwatchtim</v>
      </c>
      <c r="F211" s="2" t="str">
        <f>HYPERLINK("https://muckrack.com/starwatchtim")</f>
        <v>https://muckrack.com/starwatchtim</v>
      </c>
      <c r="G211" s="2">
        <v>7285</v>
      </c>
      <c r="H211" s="2" t="s">
        <v>2123</v>
      </c>
      <c r="I211" s="2" t="s">
        <v>2124</v>
      </c>
      <c r="J211" s="2" t="s">
        <v>2125</v>
      </c>
      <c r="K211" s="2" t="s">
        <v>321</v>
      </c>
      <c r="L211" s="2" t="s">
        <v>2542</v>
      </c>
      <c r="M211" s="5">
        <v>45504.567812499998</v>
      </c>
      <c r="N211" s="2" t="str">
        <f>HYPERLINK("http://twitter.com/starwatchtim/status/1818702581541028070")</f>
        <v>http://twitter.com/starwatchtim/status/1818702581541028070</v>
      </c>
      <c r="O211" s="2" t="str">
        <f t="shared" si="10"/>
        <v>https://www.indystar.com/story/news/local/indianapolis/2024/07/31/mls-soccer-stadium-indianapolis/74235564007/</v>
      </c>
    </row>
    <row r="212" spans="1:15" ht="52.8" x14ac:dyDescent="0.3">
      <c r="A212" s="2" t="s">
        <v>2119</v>
      </c>
      <c r="B212" s="2" t="s">
        <v>2120</v>
      </c>
      <c r="C212" s="2" t="s">
        <v>2121</v>
      </c>
      <c r="D212" s="2" t="s">
        <v>2122</v>
      </c>
      <c r="E212" s="2" t="str">
        <f>HYPERLINK("http://twitter.com/starwatchtim")</f>
        <v>http://twitter.com/starwatchtim</v>
      </c>
      <c r="F212" s="2" t="str">
        <f>HYPERLINK("https://muckrack.com/starwatchtim")</f>
        <v>https://muckrack.com/starwatchtim</v>
      </c>
      <c r="G212" s="2">
        <v>7285</v>
      </c>
      <c r="H212" s="2" t="s">
        <v>2123</v>
      </c>
      <c r="I212" s="2" t="s">
        <v>2124</v>
      </c>
      <c r="J212" s="2" t="s">
        <v>2125</v>
      </c>
      <c r="K212" s="2" t="s">
        <v>321</v>
      </c>
      <c r="L212" s="2" t="s">
        <v>2543</v>
      </c>
      <c r="M212" s="5">
        <v>45505.344085648147</v>
      </c>
      <c r="N212" s="2" t="str">
        <f>HYPERLINK("http://twitter.com/starwatchtim/status/1818983892184903773")</f>
        <v>http://twitter.com/starwatchtim/status/1818983892184903773</v>
      </c>
      <c r="O212" s="2" t="str">
        <f t="shared" si="10"/>
        <v>https://www.indystar.com/story/news/local/indianapolis/2024/07/31/mls-soccer-stadium-indianapolis/74235564007/</v>
      </c>
    </row>
    <row r="213" spans="1:15" ht="52.8" x14ac:dyDescent="0.3">
      <c r="A213" s="2" t="s">
        <v>1023</v>
      </c>
      <c r="B213" s="2" t="s">
        <v>2544</v>
      </c>
      <c r="C213" s="2" t="s">
        <v>2545</v>
      </c>
      <c r="D213" s="2" t="s">
        <v>2546</v>
      </c>
      <c r="E213" s="2" t="str">
        <f>HYPERLINK("http://twitter.com/AllyBurris")</f>
        <v>http://twitter.com/AllyBurris</v>
      </c>
      <c r="F213" s="2" t="str">
        <f>HYPERLINK("https://muckrack.com/allyburris")</f>
        <v>https://muckrack.com/allyburris</v>
      </c>
      <c r="G213" s="2">
        <v>1524</v>
      </c>
      <c r="H213" s="2" t="s">
        <v>1972</v>
      </c>
      <c r="I213" s="2" t="s">
        <v>2547</v>
      </c>
      <c r="J213" s="2" t="s">
        <v>2141</v>
      </c>
      <c r="K213" s="2" t="s">
        <v>321</v>
      </c>
      <c r="L213" s="2" t="s">
        <v>2548</v>
      </c>
      <c r="M213" s="5">
        <v>45504.389733796299</v>
      </c>
      <c r="N213" s="2" t="str">
        <f>HYPERLINK("http://twitter.com/AllyBurris/status/1818638046784258380")</f>
        <v>http://twitter.com/AllyBurris/status/1818638046784258380</v>
      </c>
      <c r="O213" s="2" t="str">
        <f t="shared" si="10"/>
        <v>https://www.indystar.com/story/news/local/indianapolis/2024/07/31/mls-soccer-stadium-indianapolis/74235564007/</v>
      </c>
    </row>
    <row r="214" spans="1:15" ht="52.8" x14ac:dyDescent="0.3">
      <c r="A214" s="2" t="s">
        <v>1986</v>
      </c>
      <c r="B214" s="2" t="s">
        <v>1987</v>
      </c>
      <c r="C214" s="2" t="s">
        <v>1988</v>
      </c>
      <c r="D214" s="2" t="s">
        <v>1989</v>
      </c>
      <c r="E214" s="2" t="str">
        <f>HYPERLINK("http://twitter.com/clairerafford")</f>
        <v>http://twitter.com/clairerafford</v>
      </c>
      <c r="F214" s="2" t="str">
        <f>HYPERLINK("https://muckrack.com/claire-rafford")</f>
        <v>https://muckrack.com/claire-rafford</v>
      </c>
      <c r="G214" s="2">
        <v>1224</v>
      </c>
      <c r="H214" s="2" t="s">
        <v>1990</v>
      </c>
      <c r="I214" s="2" t="s">
        <v>1991</v>
      </c>
      <c r="J214" s="2" t="s">
        <v>1992</v>
      </c>
      <c r="K214" s="2" t="s">
        <v>132</v>
      </c>
      <c r="L214" s="2" t="s">
        <v>2549</v>
      </c>
      <c r="M214" s="5">
        <v>45504.405694444453</v>
      </c>
      <c r="N214" s="2" t="str">
        <f>HYPERLINK("http://twitter.com/clairerafford/status/1818643829060252143")</f>
        <v>http://twitter.com/clairerafford/status/1818643829060252143</v>
      </c>
      <c r="O214" s="2" t="str">
        <f t="shared" si="10"/>
        <v>https://www.indystar.com/story/news/local/indianapolis/2024/07/31/mls-soccer-stadium-indianapolis/74235564007/</v>
      </c>
    </row>
    <row r="215" spans="1:15" ht="52.8" x14ac:dyDescent="0.3">
      <c r="A215" s="2" t="s">
        <v>2550</v>
      </c>
      <c r="B215" s="2" t="s">
        <v>2544</v>
      </c>
      <c r="C215" s="2" t="s">
        <v>2551</v>
      </c>
      <c r="D215" s="2" t="s">
        <v>2552</v>
      </c>
      <c r="E215" s="2" t="str">
        <f>HYPERLINK("http://twitter.com/indystartony")</f>
        <v>http://twitter.com/indystartony</v>
      </c>
      <c r="F215" s="2" t="str">
        <f>HYPERLINK("https://muckrack.com/tony-cook")</f>
        <v>https://muckrack.com/tony-cook</v>
      </c>
      <c r="G215" s="2">
        <v>11239</v>
      </c>
      <c r="H215" s="2" t="s">
        <v>1972</v>
      </c>
      <c r="I215" s="2" t="s">
        <v>2553</v>
      </c>
      <c r="J215" s="2" t="s">
        <v>2554</v>
      </c>
      <c r="K215" s="2" t="s">
        <v>321</v>
      </c>
      <c r="L215" s="2" t="s">
        <v>2555</v>
      </c>
      <c r="M215" s="5">
        <v>45504.450590277767</v>
      </c>
      <c r="N215" s="2" t="str">
        <f>HYPERLINK("http://twitter.com/indystartony/status/1818660100862562389")</f>
        <v>http://twitter.com/indystartony/status/1818660100862562389</v>
      </c>
      <c r="O215" s="2" t="str">
        <f t="shared" si="10"/>
        <v>https://www.indystar.com/story/news/local/indianapolis/2024/07/31/mls-soccer-stadium-indianapolis/74235564007/</v>
      </c>
    </row>
    <row r="216" spans="1:15" ht="52.8" x14ac:dyDescent="0.3">
      <c r="A216" s="2" t="s">
        <v>965</v>
      </c>
      <c r="B216" s="2" t="s">
        <v>2556</v>
      </c>
      <c r="C216" s="2" t="s">
        <v>2557</v>
      </c>
      <c r="D216" s="2" t="s">
        <v>2558</v>
      </c>
      <c r="E216" s="2" t="str">
        <f>HYPERLINK("http://twitter.com/hayleighcolombo")</f>
        <v>http://twitter.com/hayleighcolombo</v>
      </c>
      <c r="F216" s="2" t="str">
        <f>HYPERLINK("https://muckrack.com/hayleigh-colombo")</f>
        <v>https://muckrack.com/hayleigh-colombo</v>
      </c>
      <c r="G216" s="2">
        <v>4609</v>
      </c>
      <c r="H216" s="2" t="s">
        <v>1972</v>
      </c>
      <c r="I216" s="2" t="s">
        <v>2559</v>
      </c>
      <c r="J216" s="2" t="s">
        <v>2141</v>
      </c>
      <c r="K216" s="2" t="s">
        <v>321</v>
      </c>
      <c r="L216" s="2" t="s">
        <v>2540</v>
      </c>
      <c r="M216" s="5">
        <v>45504.622800925928</v>
      </c>
      <c r="N216" s="2" t="str">
        <f>HYPERLINK("http://twitter.com/hayleighcolombo/status/1818722505504559506")</f>
        <v>http://twitter.com/hayleighcolombo/status/1818722505504559506</v>
      </c>
      <c r="O216" s="2" t="str">
        <f t="shared" si="10"/>
        <v>https://www.indystar.com/story/news/local/indianapolis/2024/07/31/mls-soccer-stadium-indianapolis/74235564007/</v>
      </c>
    </row>
    <row r="217" spans="1:15" ht="66" x14ac:dyDescent="0.3">
      <c r="A217" s="2" t="s">
        <v>697</v>
      </c>
      <c r="B217" s="2" t="s">
        <v>2194</v>
      </c>
      <c r="C217" s="2" t="s">
        <v>2560</v>
      </c>
      <c r="D217" s="2" t="s">
        <v>2561</v>
      </c>
      <c r="E217" s="2" t="str">
        <f>HYPERLINK("http://twitter.com/PKendrickWIG")</f>
        <v>http://twitter.com/PKendrickWIG</v>
      </c>
      <c r="F217" s="2" t="str">
        <f>HYPERLINK("https://muckrack.com/paul-kendrick")</f>
        <v>https://muckrack.com/paul-kendrick</v>
      </c>
      <c r="G217" s="2">
        <v>16316</v>
      </c>
      <c r="H217" s="2" t="s">
        <v>2562</v>
      </c>
      <c r="I217" s="2" t="s">
        <v>2563</v>
      </c>
      <c r="J217" s="2" t="s">
        <v>2515</v>
      </c>
      <c r="K217" s="2" t="s">
        <v>2564</v>
      </c>
      <c r="L217" s="2" t="s">
        <v>2565</v>
      </c>
      <c r="M217" s="5">
        <v>45503.659305555557</v>
      </c>
      <c r="N217" s="2" t="str">
        <f>HYPERLINK("http://twitter.com/PKendrickWIG/status/1818373347572609420")</f>
        <v>http://twitter.com/PKendrickWIG/status/1818373347572609420</v>
      </c>
      <c r="O217" s="2" t="str">
        <f>HYPERLINK("https://www.wigantoday.net/sport/football/wigan-athletic-make-assistant-manager-appointment-following-departure-of-graham-barrow-4723236")</f>
        <v>https://www.wigantoday.net/sport/football/wigan-athletic-make-assistant-manager-appointment-following-departure-of-graham-barrow-4723236</v>
      </c>
    </row>
    <row r="218" spans="1:15" ht="52.8" x14ac:dyDescent="0.3">
      <c r="A218" s="2" t="s">
        <v>29</v>
      </c>
      <c r="B218" s="2" t="s">
        <v>1910</v>
      </c>
      <c r="C218" s="2" t="s">
        <v>1911</v>
      </c>
      <c r="D218" s="2" t="s">
        <v>1912</v>
      </c>
      <c r="E218" s="2" t="str">
        <f>HYPERLINK("http://twitter.com/DougRobersonAJC")</f>
        <v>http://twitter.com/DougRobersonAJC</v>
      </c>
      <c r="F218" s="2" t="str">
        <f>HYPERLINK("https://muckrack.com/doug-roberson")</f>
        <v>https://muckrack.com/doug-roberson</v>
      </c>
      <c r="G218" s="2">
        <v>16740</v>
      </c>
      <c r="H218" s="2" t="s">
        <v>1913</v>
      </c>
      <c r="I218" s="2" t="s">
        <v>1914</v>
      </c>
      <c r="J218" s="2" t="s">
        <v>1915</v>
      </c>
      <c r="K218" s="2" t="s">
        <v>30</v>
      </c>
      <c r="L218" s="2" t="s">
        <v>2566</v>
      </c>
      <c r="M218" s="5">
        <v>45503.417650462958</v>
      </c>
      <c r="N218" s="2" t="str">
        <f>HYPERLINK("http://twitter.com/DougRobersonAJC/status/1818285772883349534")</f>
        <v>http://twitter.com/DougRobersonAJC/status/1818285772883349534</v>
      </c>
      <c r="O218" s="2" t="str">
        <f>HYPERLINK("https://www.ajc.com/sports/atlanta-united/ajc-united-hedline/VSJ3Y36ORJGJBM4U6M3W4ZKGGI/")</f>
        <v>https://www.ajc.com/sports/atlanta-united/ajc-united-hedline/VSJ3Y36ORJGJBM4U6M3W4ZKGGI/</v>
      </c>
    </row>
    <row r="219" spans="1:15" ht="66" x14ac:dyDescent="0.3">
      <c r="A219" s="2" t="s">
        <v>664</v>
      </c>
      <c r="B219" s="2" t="s">
        <v>2289</v>
      </c>
      <c r="C219" s="2" t="s">
        <v>2425</v>
      </c>
      <c r="D219" s="2" t="s">
        <v>2426</v>
      </c>
      <c r="E219" s="2" t="str">
        <f>HYPERLINK("http://twitter.com/Brian_Haenchen")</f>
        <v>http://twitter.com/Brian_Haenchen</v>
      </c>
      <c r="F219" s="2" t="str">
        <f>HYPERLINK("https://muckrack.com/brian_haenchen")</f>
        <v>https://muckrack.com/brian_haenchen</v>
      </c>
      <c r="G219" s="2">
        <v>10028</v>
      </c>
      <c r="H219" s="2" t="s">
        <v>1972</v>
      </c>
      <c r="I219" s="2" t="s">
        <v>2427</v>
      </c>
      <c r="J219" s="2" t="s">
        <v>2000</v>
      </c>
      <c r="K219" s="2" t="s">
        <v>321</v>
      </c>
      <c r="L219" s="2" t="s">
        <v>2567</v>
      </c>
      <c r="M219" s="5">
        <v>45502.277777777781</v>
      </c>
      <c r="N219" s="2" t="str">
        <f>HYPERLINK("http://twitter.com/Brian_Haenchen/status/1817872697986265260")</f>
        <v>http://twitter.com/Brian_Haenchen/status/1817872697986265260</v>
      </c>
      <c r="O219" s="2" t="str">
        <f>HYPERLINK("https://www.indystar.com/story/sports/high-school/2024/07/29/24-things-know-for-2024-ihsaa-girls-sports-seasons-indiana-basketball-soccer-volleyball-golf/74500879007/")</f>
        <v>https://www.indystar.com/story/sports/high-school/2024/07/29/24-things-know-for-2024-ihsaa-girls-sports-seasons-indiana-basketball-soccer-volleyball-golf/74500879007/</v>
      </c>
    </row>
    <row r="220" spans="1:15" ht="105.6" x14ac:dyDescent="0.3">
      <c r="A220" s="2" t="s">
        <v>664</v>
      </c>
      <c r="B220" s="2" t="s">
        <v>2289</v>
      </c>
      <c r="C220" s="2" t="s">
        <v>2425</v>
      </c>
      <c r="D220" s="2" t="s">
        <v>2426</v>
      </c>
      <c r="E220" s="2" t="str">
        <f>HYPERLINK("http://twitter.com/Brian_Haenchen")</f>
        <v>http://twitter.com/Brian_Haenchen</v>
      </c>
      <c r="F220" s="2" t="str">
        <f>HYPERLINK("https://muckrack.com/brian_haenchen")</f>
        <v>https://muckrack.com/brian_haenchen</v>
      </c>
      <c r="G220" s="2">
        <v>10028</v>
      </c>
      <c r="H220" s="2" t="s">
        <v>1972</v>
      </c>
      <c r="I220" s="2" t="s">
        <v>2427</v>
      </c>
      <c r="J220" s="2" t="s">
        <v>2000</v>
      </c>
      <c r="K220" s="2" t="s">
        <v>321</v>
      </c>
      <c r="L220" s="2" t="s">
        <v>2568</v>
      </c>
      <c r="M220" s="5">
        <v>45502.452407407407</v>
      </c>
      <c r="N220" s="2" t="str">
        <f>HYPERLINK("http://twitter.com/Brian_Haenchen/status/1817935983515423127")</f>
        <v>http://twitter.com/Brian_Haenchen/status/1817935983515423127</v>
      </c>
      <c r="O220" s="2" t="str">
        <f>HYPERLINK("https://www.indystar.com/story/sports/high-school/2024/07/29/24-things-know-for-2024-ihsaa-girls-sports-seasons-indiana-basketball-soccer-volleyball-golf/74500879007/")</f>
        <v>https://www.indystar.com/story/sports/high-school/2024/07/29/24-things-know-for-2024-ihsaa-girls-sports-seasons-indiana-basketball-soccer-volleyball-golf/74500879007/</v>
      </c>
    </row>
    <row r="221" spans="1:15" ht="66" x14ac:dyDescent="0.3">
      <c r="A221" s="2" t="s">
        <v>2569</v>
      </c>
      <c r="B221" s="2" t="s">
        <v>2570</v>
      </c>
      <c r="C221" s="2" t="s">
        <v>2571</v>
      </c>
      <c r="D221" s="2" t="s">
        <v>2572</v>
      </c>
      <c r="E221" s="2" t="str">
        <f>HYPERLINK("http://twitter.com/KyleNeddenriep")</f>
        <v>http://twitter.com/KyleNeddenriep</v>
      </c>
      <c r="F221" s="2" t="str">
        <f>HYPERLINK("https://muckrack.com/kyleneddenriep")</f>
        <v>https://muckrack.com/kyleneddenriep</v>
      </c>
      <c r="G221" s="2">
        <v>54926</v>
      </c>
      <c r="H221" s="2" t="s">
        <v>2132</v>
      </c>
      <c r="I221" s="2" t="s">
        <v>2573</v>
      </c>
      <c r="J221" s="2" t="s">
        <v>2000</v>
      </c>
      <c r="K221" s="2" t="s">
        <v>321</v>
      </c>
      <c r="L221" s="2" t="s">
        <v>2574</v>
      </c>
      <c r="M221" s="5">
        <v>45502.32471064815</v>
      </c>
      <c r="N221" s="2" t="str">
        <f>HYPERLINK("http://twitter.com/KyleNeddenriep/status/1817889707751076319")</f>
        <v>http://twitter.com/KyleNeddenriep/status/1817889707751076319</v>
      </c>
      <c r="O221" s="2" t="str">
        <f>HYPERLINK("https://www.indystar.com/story/sports/high-school/2024/07/29/24-things-know-for-2024-ihsaa-girls-sports-seasons-indiana-basketball-soccer-volleyball-golf/74500879007/")</f>
        <v>https://www.indystar.com/story/sports/high-school/2024/07/29/24-things-know-for-2024-ihsaa-girls-sports-seasons-indiana-basketball-soccer-volleyball-golf/74500879007/</v>
      </c>
    </row>
    <row r="222" spans="1:15" ht="105.6" x14ac:dyDescent="0.3">
      <c r="A222" s="2" t="s">
        <v>2575</v>
      </c>
      <c r="B222" s="2" t="s">
        <v>2576</v>
      </c>
      <c r="C222" s="2" t="s">
        <v>2577</v>
      </c>
      <c r="D222" s="2" t="s">
        <v>2578</v>
      </c>
      <c r="E222" s="2" t="str">
        <f>HYPERLINK("http://twitter.com/ACwishtv")</f>
        <v>http://twitter.com/ACwishtv</v>
      </c>
      <c r="F222" s="2" t="str">
        <f>HYPERLINK("https://muckrack.com/acwishtv")</f>
        <v>https://muckrack.com/acwishtv</v>
      </c>
      <c r="G222" s="2">
        <v>21532</v>
      </c>
      <c r="H222" s="2" t="s">
        <v>1972</v>
      </c>
      <c r="I222" s="2" t="s">
        <v>2579</v>
      </c>
      <c r="J222" s="2" t="s">
        <v>2000</v>
      </c>
      <c r="K222" s="2" t="s">
        <v>2283</v>
      </c>
      <c r="L222" s="2" t="s">
        <v>2580</v>
      </c>
      <c r="M222" s="5">
        <v>45560.397499999999</v>
      </c>
      <c r="N222" s="2" t="str">
        <f>HYPERLINK("http://twitter.com/ACwishtv/status/1838934580662833305")</f>
        <v>http://twitter.com/ACwishtv/status/1838934580662833305</v>
      </c>
      <c r="O222" s="2" t="str">
        <f t="shared" ref="O222:O228" si="11">HYPERLINK("https://apps.apple.com/us/app/all-indiana-sports/id6508175115")</f>
        <v>https://apps.apple.com/us/app/all-indiana-sports/id6508175115</v>
      </c>
    </row>
    <row r="223" spans="1:15" ht="105.6" x14ac:dyDescent="0.3">
      <c r="A223" s="2" t="s">
        <v>2575</v>
      </c>
      <c r="B223" s="2" t="s">
        <v>2576</v>
      </c>
      <c r="C223" s="2" t="s">
        <v>2577</v>
      </c>
      <c r="D223" s="2" t="s">
        <v>2578</v>
      </c>
      <c r="E223" s="2" t="str">
        <f>HYPERLINK("http://twitter.com/ACwishtv")</f>
        <v>http://twitter.com/ACwishtv</v>
      </c>
      <c r="F223" s="2" t="str">
        <f>HYPERLINK("https://muckrack.com/acwishtv")</f>
        <v>https://muckrack.com/acwishtv</v>
      </c>
      <c r="G223" s="2">
        <v>21532</v>
      </c>
      <c r="H223" s="2" t="s">
        <v>1972</v>
      </c>
      <c r="I223" s="2" t="s">
        <v>2579</v>
      </c>
      <c r="J223" s="2" t="s">
        <v>2000</v>
      </c>
      <c r="K223" s="2" t="s">
        <v>2283</v>
      </c>
      <c r="L223" s="2" t="s">
        <v>2581</v>
      </c>
      <c r="M223" s="5">
        <v>45608.667280092603</v>
      </c>
      <c r="N223" s="2" t="str">
        <f>HYPERLINK("http://twitter.com/ACwishtv/status/1856442062981276027")</f>
        <v>http://twitter.com/ACwishtv/status/1856442062981276027</v>
      </c>
      <c r="O223" s="2" t="str">
        <f t="shared" si="11"/>
        <v>https://apps.apple.com/us/app/all-indiana-sports/id6508175115</v>
      </c>
    </row>
    <row r="224" spans="1:15" ht="105.6" x14ac:dyDescent="0.3">
      <c r="A224" s="2" t="s">
        <v>2582</v>
      </c>
      <c r="B224" s="2" t="s">
        <v>2583</v>
      </c>
      <c r="C224" s="2" t="s">
        <v>2584</v>
      </c>
      <c r="D224" s="2" t="s">
        <v>2585</v>
      </c>
      <c r="E224" s="2" t="str">
        <f>HYPERLINK("http://twitter.com/JeremyWishTV")</f>
        <v>http://twitter.com/JeremyWishTV</v>
      </c>
      <c r="F224" s="2" t="str">
        <f>HYPERLINK("https://muckrack.com/jeremy-jenkins")</f>
        <v>https://muckrack.com/jeremy-jenkins</v>
      </c>
      <c r="G224" s="2">
        <v>1520</v>
      </c>
      <c r="H224" s="2" t="s">
        <v>1972</v>
      </c>
      <c r="I224" s="2" t="s">
        <v>2586</v>
      </c>
      <c r="J224" s="2" t="s">
        <v>1954</v>
      </c>
      <c r="K224" s="2" t="s">
        <v>38</v>
      </c>
      <c r="L224" s="2" t="s">
        <v>2581</v>
      </c>
      <c r="M224" s="5">
        <v>45560.40519675926</v>
      </c>
      <c r="N224" s="2" t="str">
        <f>HYPERLINK("http://twitter.com/JeremyWishTV/status/1838937371334574537")</f>
        <v>http://twitter.com/JeremyWishTV/status/1838937371334574537</v>
      </c>
      <c r="O224" s="2" t="str">
        <f t="shared" si="11"/>
        <v>https://apps.apple.com/us/app/all-indiana-sports/id6508175115</v>
      </c>
    </row>
    <row r="225" spans="1:15" ht="105.6" x14ac:dyDescent="0.3">
      <c r="A225" s="2" t="s">
        <v>919</v>
      </c>
      <c r="B225" s="2" t="s">
        <v>2279</v>
      </c>
      <c r="C225" s="2" t="s">
        <v>2280</v>
      </c>
      <c r="D225" s="2" t="s">
        <v>2281</v>
      </c>
      <c r="E225" s="2" t="str">
        <f>HYPERLINK("http://twitter.com/ADChernoff")</f>
        <v>http://twitter.com/ADChernoff</v>
      </c>
      <c r="F225" s="2" t="str">
        <f>HYPERLINK("https://muckrack.com/andrew-chernoff")</f>
        <v>https://muckrack.com/andrew-chernoff</v>
      </c>
      <c r="G225" s="2">
        <v>7778</v>
      </c>
      <c r="H225" s="2" t="s">
        <v>1972</v>
      </c>
      <c r="I225" s="2" t="s">
        <v>2282</v>
      </c>
      <c r="J225" s="2" t="s">
        <v>2000</v>
      </c>
      <c r="K225" s="2" t="s">
        <v>2283</v>
      </c>
      <c r="L225" s="2" t="s">
        <v>2581</v>
      </c>
      <c r="M225" s="5">
        <v>45560.47583333333</v>
      </c>
      <c r="N225" s="2" t="str">
        <f>HYPERLINK("http://twitter.com/ADChernoff/status/1838962969276821513")</f>
        <v>http://twitter.com/ADChernoff/status/1838962969276821513</v>
      </c>
      <c r="O225" s="2" t="str">
        <f t="shared" si="11"/>
        <v>https://apps.apple.com/us/app/all-indiana-sports/id6508175115</v>
      </c>
    </row>
    <row r="226" spans="1:15" ht="105.6" x14ac:dyDescent="0.3">
      <c r="A226" s="2" t="s">
        <v>1048</v>
      </c>
      <c r="B226" s="2" t="s">
        <v>2215</v>
      </c>
      <c r="C226" s="2" t="s">
        <v>2587</v>
      </c>
      <c r="D226" s="2" t="s">
        <v>2588</v>
      </c>
      <c r="E226" s="2" t="str">
        <f>HYPERLINK("http://twitter.com/AngelaMoryanTV")</f>
        <v>http://twitter.com/AngelaMoryanTV</v>
      </c>
      <c r="F226" s="2" t="str">
        <f>HYPERLINK("https://muckrack.com/angela-moryan")</f>
        <v>https://muckrack.com/angela-moryan</v>
      </c>
      <c r="G226" s="2">
        <v>6948</v>
      </c>
      <c r="H226" s="2" t="s">
        <v>1972</v>
      </c>
      <c r="I226" s="2" t="s">
        <v>2589</v>
      </c>
      <c r="J226" s="2" t="s">
        <v>2000</v>
      </c>
      <c r="K226" s="2" t="s">
        <v>2283</v>
      </c>
      <c r="L226" s="2" t="s">
        <v>2581</v>
      </c>
      <c r="M226" s="5">
        <v>45560.486319444448</v>
      </c>
      <c r="N226" s="2" t="str">
        <f>HYPERLINK("http://twitter.com/AngelaMoryanTV/status/1838966770004087087")</f>
        <v>http://twitter.com/AngelaMoryanTV/status/1838966770004087087</v>
      </c>
      <c r="O226" s="2" t="str">
        <f t="shared" si="11"/>
        <v>https://apps.apple.com/us/app/all-indiana-sports/id6508175115</v>
      </c>
    </row>
    <row r="227" spans="1:15" ht="105.6" x14ac:dyDescent="0.3">
      <c r="A227" s="2" t="s">
        <v>2590</v>
      </c>
      <c r="B227" s="2" t="s">
        <v>2061</v>
      </c>
      <c r="C227" s="2" t="s">
        <v>2591</v>
      </c>
      <c r="D227" s="2" t="s">
        <v>2592</v>
      </c>
      <c r="E227" s="2" t="str">
        <f>HYPERLINK("http://twitter.com/CWilliamson44")</f>
        <v>http://twitter.com/CWilliamson44</v>
      </c>
      <c r="F227" s="2" t="str">
        <f>HYPERLINK("https://muckrack.com/chris-williamson-4")</f>
        <v>https://muckrack.com/chris-williamson-4</v>
      </c>
      <c r="G227" s="2">
        <v>19895</v>
      </c>
      <c r="H227" s="2"/>
      <c r="I227" s="2" t="s">
        <v>2593</v>
      </c>
      <c r="J227" s="2" t="s">
        <v>2594</v>
      </c>
      <c r="K227" s="2" t="s">
        <v>2034</v>
      </c>
      <c r="L227" s="2" t="s">
        <v>2581</v>
      </c>
      <c r="M227" s="5">
        <v>45600.724259259259</v>
      </c>
      <c r="N227" s="2" t="str">
        <f>HYPERLINK("http://twitter.com/CWilliamson44/status/1853563606790541720")</f>
        <v>http://twitter.com/CWilliamson44/status/1853563606790541720</v>
      </c>
      <c r="O227" s="2" t="str">
        <f t="shared" si="11"/>
        <v>https://apps.apple.com/us/app/all-indiana-sports/id6508175115</v>
      </c>
    </row>
    <row r="228" spans="1:15" ht="105.6" x14ac:dyDescent="0.3">
      <c r="A228" s="2" t="s">
        <v>2595</v>
      </c>
      <c r="B228" s="2" t="s">
        <v>2596</v>
      </c>
      <c r="C228" s="2" t="s">
        <v>2597</v>
      </c>
      <c r="D228" s="2" t="s">
        <v>2598</v>
      </c>
      <c r="E228" s="2" t="str">
        <f>HYPERLINK("http://twitter.com/KBowen1070")</f>
        <v>http://twitter.com/KBowen1070</v>
      </c>
      <c r="F228" s="2" t="str">
        <f>HYPERLINK("https://muckrack.com/kbowen1070")</f>
        <v>https://muckrack.com/kbowen1070</v>
      </c>
      <c r="G228" s="2">
        <v>51368</v>
      </c>
      <c r="H228" s="2" t="s">
        <v>2132</v>
      </c>
      <c r="I228" s="2" t="s">
        <v>2599</v>
      </c>
      <c r="J228" s="2" t="s">
        <v>2000</v>
      </c>
      <c r="K228" s="2" t="s">
        <v>2600</v>
      </c>
      <c r="L228" s="2" t="s">
        <v>2581</v>
      </c>
      <c r="M228" s="5">
        <v>45600.733553240738</v>
      </c>
      <c r="N228" s="2" t="str">
        <f>HYPERLINK("http://twitter.com/KBowen1070/status/1853566976410468392")</f>
        <v>http://twitter.com/KBowen1070/status/1853566976410468392</v>
      </c>
      <c r="O228" s="2" t="str">
        <f t="shared" si="11"/>
        <v>https://apps.apple.com/us/app/all-indiana-sports/id6508175115</v>
      </c>
    </row>
    <row r="229" spans="1:15" ht="39.6" x14ac:dyDescent="0.3">
      <c r="A229" s="2" t="s">
        <v>2102</v>
      </c>
      <c r="B229" s="2" t="s">
        <v>2103</v>
      </c>
      <c r="C229" s="2" t="s">
        <v>2104</v>
      </c>
      <c r="D229" s="2" t="s">
        <v>2105</v>
      </c>
      <c r="E229" s="2" t="str">
        <f>HYPERLINK("http://twitter.com/HolyCitySinner")</f>
        <v>http://twitter.com/HolyCitySinner</v>
      </c>
      <c r="F229" s="2" t="str">
        <f>HYPERLINK("https://muckrack.com/christian-senger")</f>
        <v>https://muckrack.com/christian-senger</v>
      </c>
      <c r="G229" s="2">
        <v>61543</v>
      </c>
      <c r="H229" s="2" t="s">
        <v>2106</v>
      </c>
      <c r="I229" s="2" t="s">
        <v>2107</v>
      </c>
      <c r="J229" s="2" t="s">
        <v>2108</v>
      </c>
      <c r="K229" s="2" t="s">
        <v>2109</v>
      </c>
      <c r="L229" s="2" t="s">
        <v>2601</v>
      </c>
      <c r="M229" s="5">
        <v>45501.691666666673</v>
      </c>
      <c r="N229" s="2" t="str">
        <f>HYPERLINK("http://twitter.com/HolyCitySinner/status/1817660298095915286")</f>
        <v>http://twitter.com/HolyCitySinner/status/1817660298095915286</v>
      </c>
      <c r="O229" s="2" t="str">
        <f>HYPERLINK("https://www.charlestonbattery.com/news/2024/07/27/10-man-battery-fall-4-2-to-tampa-bay/")</f>
        <v>https://www.charlestonbattery.com/news/2024/07/27/10-man-battery-fall-4-2-to-tampa-bay/</v>
      </c>
    </row>
    <row r="230" spans="1:15" ht="66" x14ac:dyDescent="0.3">
      <c r="A230" s="2" t="s">
        <v>704</v>
      </c>
      <c r="B230" s="2" t="s">
        <v>1910</v>
      </c>
      <c r="C230" s="2" t="s">
        <v>2602</v>
      </c>
      <c r="D230" s="2" t="s">
        <v>2603</v>
      </c>
      <c r="E230" s="2" t="str">
        <f>HYPERLINK("http://twitter.com/BarryLewisTW")</f>
        <v>http://twitter.com/BarryLewisTW</v>
      </c>
      <c r="F230" s="2" t="str">
        <f>HYPERLINK("https://muckrack.com/barry-lewis")</f>
        <v>https://muckrack.com/barry-lewis</v>
      </c>
      <c r="G230" s="2">
        <v>6238</v>
      </c>
      <c r="H230" s="2" t="s">
        <v>2604</v>
      </c>
      <c r="I230" s="2" t="s">
        <v>2605</v>
      </c>
      <c r="J230" s="2" t="s">
        <v>2033</v>
      </c>
      <c r="K230" s="2" t="s">
        <v>705</v>
      </c>
      <c r="L230" s="2" t="s">
        <v>2606</v>
      </c>
      <c r="M230" s="5">
        <v>45500.131018518521</v>
      </c>
      <c r="N230" s="2" t="str">
        <f>HYPERLINK("http://twitter.com/BarryLewisTW/status/1817094740917063714")</f>
        <v>http://twitter.com/BarryLewisTW/status/1817094740917063714</v>
      </c>
      <c r="O230" s="2" t="str">
        <f>HYPERLINK("https://tulsaworld.com/sports/professional/fc-tulsas-defense-shines-again-in-draw-with-indy-eleven-barry-lewis-three-takeaways/article_5372a71a-4bb9-11ef-971c-cb68cbdebd43.html")</f>
        <v>https://tulsaworld.com/sports/professional/fc-tulsas-defense-shines-again-in-draw-with-indy-eleven-barry-lewis-three-takeaways/article_5372a71a-4bb9-11ef-971c-cb68cbdebd43.html</v>
      </c>
    </row>
    <row r="231" spans="1:15" ht="39.6" x14ac:dyDescent="0.3">
      <c r="A231" s="2" t="s">
        <v>2102</v>
      </c>
      <c r="B231" s="2" t="s">
        <v>2103</v>
      </c>
      <c r="C231" s="2" t="s">
        <v>2104</v>
      </c>
      <c r="D231" s="2" t="s">
        <v>2105</v>
      </c>
      <c r="E231" s="2" t="str">
        <f>HYPERLINK("http://twitter.com/HolyCitySinner")</f>
        <v>http://twitter.com/HolyCitySinner</v>
      </c>
      <c r="F231" s="2" t="str">
        <f>HYPERLINK("https://muckrack.com/christian-senger")</f>
        <v>https://muckrack.com/christian-senger</v>
      </c>
      <c r="G231" s="2">
        <v>61543</v>
      </c>
      <c r="H231" s="2" t="s">
        <v>2106</v>
      </c>
      <c r="I231" s="2" t="s">
        <v>2107</v>
      </c>
      <c r="J231" s="2" t="s">
        <v>2108</v>
      </c>
      <c r="K231" s="2" t="s">
        <v>2109</v>
      </c>
      <c r="L231" s="2" t="s">
        <v>2607</v>
      </c>
      <c r="M231" s="5">
        <v>45499.831944444442</v>
      </c>
      <c r="N231" s="2" t="str">
        <f>HYPERLINK("http://twitter.com/HolyCitySinner/status/1816986357778219337")</f>
        <v>http://twitter.com/HolyCitySinner/status/1816986357778219337</v>
      </c>
      <c r="O231" s="2" t="str">
        <f>HYPERLINK("http://holycitysinner.com/sports/battery-travel-to-florida-for-rowdies-match-on-saturday/")</f>
        <v>http://holycitysinner.com/sports/battery-travel-to-florida-for-rowdies-match-on-saturday/</v>
      </c>
    </row>
    <row r="232" spans="1:15" ht="39.6" x14ac:dyDescent="0.3">
      <c r="A232" s="2" t="s">
        <v>2102</v>
      </c>
      <c r="B232" s="2" t="s">
        <v>2103</v>
      </c>
      <c r="C232" s="2" t="s">
        <v>2104</v>
      </c>
      <c r="D232" s="2" t="s">
        <v>2105</v>
      </c>
      <c r="E232" s="2" t="str">
        <f>HYPERLINK("http://twitter.com/HolyCitySinner")</f>
        <v>http://twitter.com/HolyCitySinner</v>
      </c>
      <c r="F232" s="2" t="str">
        <f>HYPERLINK("https://muckrack.com/christian-senger")</f>
        <v>https://muckrack.com/christian-senger</v>
      </c>
      <c r="G232" s="2">
        <v>61543</v>
      </c>
      <c r="H232" s="2" t="s">
        <v>2106</v>
      </c>
      <c r="I232" s="2" t="s">
        <v>2107</v>
      </c>
      <c r="J232" s="2" t="s">
        <v>2108</v>
      </c>
      <c r="K232" s="2" t="s">
        <v>2109</v>
      </c>
      <c r="L232" s="2" t="s">
        <v>2608</v>
      </c>
      <c r="M232" s="5">
        <v>45500.567361111112</v>
      </c>
      <c r="N232" s="2" t="str">
        <f>HYPERLINK("http://twitter.com/HolyCitySinner/status/1817252863296274667")</f>
        <v>http://twitter.com/HolyCitySinner/status/1817252863296274667</v>
      </c>
      <c r="O232" s="2" t="str">
        <f>HYPERLINK("http://holycitysinner.com/sports/battery-travel-to-florida-for-rowdies-match-on-saturday/")</f>
        <v>http://holycitysinner.com/sports/battery-travel-to-florida-for-rowdies-match-on-saturday/</v>
      </c>
    </row>
    <row r="233" spans="1:15" ht="132" x14ac:dyDescent="0.3">
      <c r="A233" s="2" t="s">
        <v>711</v>
      </c>
      <c r="B233" s="2" t="s">
        <v>2609</v>
      </c>
      <c r="C233" s="2" t="s">
        <v>2610</v>
      </c>
      <c r="D233" s="2" t="s">
        <v>2611</v>
      </c>
      <c r="E233" s="2" t="str">
        <f>HYPERLINK("http://twitter.com/dylanrheinrich")</f>
        <v>http://twitter.com/dylanrheinrich</v>
      </c>
      <c r="F233" s="2" t="str">
        <f>HYPERLINK("https://muckrack.com/dylan-heinrich")</f>
        <v>https://muckrack.com/dylan-heinrich</v>
      </c>
      <c r="G233" s="2">
        <v>703</v>
      </c>
      <c r="H233" s="2" t="s">
        <v>2612</v>
      </c>
      <c r="I233" s="2" t="s">
        <v>2613</v>
      </c>
      <c r="J233" s="2" t="s">
        <v>2033</v>
      </c>
      <c r="K233" s="2" t="s">
        <v>712</v>
      </c>
      <c r="L233" s="2" t="s">
        <v>2614</v>
      </c>
      <c r="M233" s="5">
        <v>45499.591354166667</v>
      </c>
      <c r="N233" s="2" t="str">
        <f>HYPERLINK("http://twitter.com/dylanrheinrich/status/1816899170264850800")</f>
        <v>http://twitter.com/dylanrheinrich/status/1816899170264850800</v>
      </c>
      <c r="O233" s="2" t="str">
        <f>HYPERLINK("https://www.rockmnation.com/2024/7/26/24195383/2024-mizzou-soccer-preview-goalkeepers")</f>
        <v>https://www.rockmnation.com/2024/7/26/24195383/2024-mizzou-soccer-preview-goalkeepers</v>
      </c>
    </row>
    <row r="234" spans="1:15" ht="52.8" x14ac:dyDescent="0.3">
      <c r="A234" s="2" t="s">
        <v>2119</v>
      </c>
      <c r="B234" s="2" t="s">
        <v>2120</v>
      </c>
      <c r="C234" s="2" t="s">
        <v>2121</v>
      </c>
      <c r="D234" s="2" t="s">
        <v>2122</v>
      </c>
      <c r="E234" s="2" t="str">
        <f>HYPERLINK("http://twitter.com/starwatchtim")</f>
        <v>http://twitter.com/starwatchtim</v>
      </c>
      <c r="F234" s="2" t="str">
        <f>HYPERLINK("https://muckrack.com/starwatchtim")</f>
        <v>https://muckrack.com/starwatchtim</v>
      </c>
      <c r="G234" s="2">
        <v>7285</v>
      </c>
      <c r="H234" s="2" t="s">
        <v>2123</v>
      </c>
      <c r="I234" s="2" t="s">
        <v>2124</v>
      </c>
      <c r="J234" s="2" t="s">
        <v>2125</v>
      </c>
      <c r="K234" s="2" t="s">
        <v>321</v>
      </c>
      <c r="L234" s="2" t="s">
        <v>2615</v>
      </c>
      <c r="M234" s="5">
        <v>45499.353483796287</v>
      </c>
      <c r="N234" s="2" t="str">
        <f>HYPERLINK("http://twitter.com/starwatchtim/status/1816812971953193023")</f>
        <v>http://twitter.com/starwatchtim/status/1816812971953193023</v>
      </c>
      <c r="O234" s="2" t="str">
        <f>HYPERLINK("https://www.indystar.com/story/opinion/columnists/james-briggs/2024/07/26/mls-don-garber-indy-expansion-talk/74548244007/")</f>
        <v>https://www.indystar.com/story/opinion/columnists/james-briggs/2024/07/26/mls-don-garber-indy-expansion-talk/74548244007/</v>
      </c>
    </row>
    <row r="235" spans="1:15" ht="92.4" x14ac:dyDescent="0.3">
      <c r="A235" s="2" t="s">
        <v>2390</v>
      </c>
      <c r="B235" s="2" t="s">
        <v>2036</v>
      </c>
      <c r="C235" s="2" t="s">
        <v>2391</v>
      </c>
      <c r="D235" s="2" t="s">
        <v>2392</v>
      </c>
      <c r="E235" s="2" t="str">
        <f>HYPERLINK("http://twitter.com/GreggDoyelStar")</f>
        <v>http://twitter.com/GreggDoyelStar</v>
      </c>
      <c r="F235" s="2" t="str">
        <f>HYPERLINK("https://muckrack.com/greggdoyelstar")</f>
        <v>https://muckrack.com/greggdoyelstar</v>
      </c>
      <c r="G235" s="2">
        <v>92219</v>
      </c>
      <c r="H235" s="2" t="s">
        <v>1972</v>
      </c>
      <c r="I235" s="2" t="s">
        <v>2393</v>
      </c>
      <c r="J235" s="2" t="s">
        <v>2000</v>
      </c>
      <c r="K235" s="2" t="s">
        <v>321</v>
      </c>
      <c r="L235" s="2" t="s">
        <v>2616</v>
      </c>
      <c r="M235" s="5">
        <v>45499.37023148148</v>
      </c>
      <c r="N235" s="2" t="str">
        <f>HYPERLINK("http://twitter.com/GreggDoyelStar/status/1816819037646487950")</f>
        <v>http://twitter.com/GreggDoyelStar/status/1816819037646487950</v>
      </c>
      <c r="O235" s="2" t="str">
        <f>HYPERLINK("https://www.indystar.com/story/opinion/columnists/james-briggs/2024/07/26/mls-don-garber-indy-expansion-talk/74548244007/")</f>
        <v>https://www.indystar.com/story/opinion/columnists/james-briggs/2024/07/26/mls-don-garber-indy-expansion-talk/74548244007/</v>
      </c>
    </row>
    <row r="236" spans="1:15" ht="79.2" x14ac:dyDescent="0.3">
      <c r="A236" s="2" t="s">
        <v>664</v>
      </c>
      <c r="B236" s="2" t="s">
        <v>2289</v>
      </c>
      <c r="C236" s="2" t="s">
        <v>2425</v>
      </c>
      <c r="D236" s="2" t="s">
        <v>2426</v>
      </c>
      <c r="E236" s="2" t="str">
        <f>HYPERLINK("http://twitter.com/Brian_Haenchen")</f>
        <v>http://twitter.com/Brian_Haenchen</v>
      </c>
      <c r="F236" s="2" t="str">
        <f>HYPERLINK("https://muckrack.com/brian_haenchen")</f>
        <v>https://muckrack.com/brian_haenchen</v>
      </c>
      <c r="G236" s="2">
        <v>10028</v>
      </c>
      <c r="H236" s="2" t="s">
        <v>1972</v>
      </c>
      <c r="I236" s="2" t="s">
        <v>2427</v>
      </c>
      <c r="J236" s="2" t="s">
        <v>2000</v>
      </c>
      <c r="K236" s="2" t="s">
        <v>321</v>
      </c>
      <c r="L236" s="2" t="s">
        <v>2617</v>
      </c>
      <c r="M236" s="5">
        <v>45499.379942129628</v>
      </c>
      <c r="N236" s="2" t="str">
        <f>HYPERLINK("http://twitter.com/Brian_Haenchen/status/1816822558454374906")</f>
        <v>http://twitter.com/Brian_Haenchen/status/1816822558454374906</v>
      </c>
      <c r="O236" s="2" t="str">
        <f>HYPERLINK("https://www.indystar.com/story/opinion/columnists/james-briggs/2024/07/26/mls-don-garber-indy-expansion-talk/74548244007/")</f>
        <v>https://www.indystar.com/story/opinion/columnists/james-briggs/2024/07/26/mls-don-garber-indy-expansion-talk/74548244007/</v>
      </c>
    </row>
    <row r="237" spans="1:15" ht="66" x14ac:dyDescent="0.3">
      <c r="A237" s="2" t="s">
        <v>704</v>
      </c>
      <c r="B237" s="2" t="s">
        <v>1910</v>
      </c>
      <c r="C237" s="2" t="s">
        <v>2602</v>
      </c>
      <c r="D237" s="2" t="s">
        <v>2603</v>
      </c>
      <c r="E237" s="2" t="str">
        <f>HYPERLINK("http://twitter.com/BarryLewisTW")</f>
        <v>http://twitter.com/BarryLewisTW</v>
      </c>
      <c r="F237" s="2" t="str">
        <f>HYPERLINK("https://muckrack.com/barry-lewis")</f>
        <v>https://muckrack.com/barry-lewis</v>
      </c>
      <c r="G237" s="2">
        <v>6238</v>
      </c>
      <c r="H237" s="2" t="s">
        <v>2604</v>
      </c>
      <c r="I237" s="2" t="s">
        <v>2605</v>
      </c>
      <c r="J237" s="2" t="s">
        <v>2033</v>
      </c>
      <c r="K237" s="2" t="s">
        <v>705</v>
      </c>
      <c r="L237" s="2" t="s">
        <v>2618</v>
      </c>
      <c r="M237" s="5">
        <v>45499.076631944437</v>
      </c>
      <c r="N237" s="2" t="str">
        <f>HYPERLINK("http://twitter.com/BarryLewisTW/status/1816712643463323849")</f>
        <v>http://twitter.com/BarryLewisTW/status/1816712643463323849</v>
      </c>
      <c r="O237" s="2" t="str">
        <f>HYPERLINK("https://tulsaworld.com/sports/professional/fc-tulsa-makes-roster-move-hosts-us-open-cup-semifinalist-indy-eleven/article_318ba0d4-4a3d-11ef-9d0c-3be7a63ffbea.html")</f>
        <v>https://tulsaworld.com/sports/professional/fc-tulsa-makes-roster-move-hosts-us-open-cup-semifinalist-indy-eleven/article_318ba0d4-4a3d-11ef-9d0c-3be7a63ffbea.html</v>
      </c>
    </row>
    <row r="238" spans="1:15" ht="118.8" x14ac:dyDescent="0.3">
      <c r="A238" s="2" t="s">
        <v>1651</v>
      </c>
      <c r="B238" s="2" t="s">
        <v>2619</v>
      </c>
      <c r="C238" s="2" t="s">
        <v>2620</v>
      </c>
      <c r="D238" s="2" t="s">
        <v>2621</v>
      </c>
      <c r="E238" s="2" t="str">
        <f>HYPERLINK("http://twitter.com/worldsoccertalk")</f>
        <v>http://twitter.com/worldsoccertalk</v>
      </c>
      <c r="F238" s="2" t="str">
        <f>HYPERLINK("https://muckrack.com/christophermharris")</f>
        <v>https://muckrack.com/christophermharris</v>
      </c>
      <c r="G238" s="2">
        <v>81386</v>
      </c>
      <c r="H238" s="2" t="s">
        <v>2622</v>
      </c>
      <c r="I238" s="2" t="s">
        <v>2623</v>
      </c>
      <c r="J238" s="2" t="s">
        <v>2624</v>
      </c>
      <c r="K238" s="2" t="s">
        <v>2625</v>
      </c>
      <c r="L238" s="2" t="s">
        <v>2626</v>
      </c>
      <c r="M238" s="5">
        <v>45499.695821759262</v>
      </c>
      <c r="N238" s="2" t="str">
        <f>HYPERLINK("http://twitter.com/worldsoccertalk/status/1816937030523249070")</f>
        <v>http://twitter.com/worldsoccertalk/status/1816937030523249070</v>
      </c>
      <c r="O238" s="2" t="str">
        <f>HYPERLINK("https://worldsoccertalk.com/news/why-its-time-to-end-the-mls-liga-mx-leagues-cup-monopoly/")</f>
        <v>https://worldsoccertalk.com/news/why-its-time-to-end-the-mls-liga-mx-leagues-cup-monopoly/</v>
      </c>
    </row>
    <row r="239" spans="1:15" ht="79.2" x14ac:dyDescent="0.3">
      <c r="A239" s="2" t="s">
        <v>2627</v>
      </c>
      <c r="B239" s="2" t="s">
        <v>2628</v>
      </c>
      <c r="C239" s="2" t="s">
        <v>2629</v>
      </c>
      <c r="D239" s="2" t="s">
        <v>2630</v>
      </c>
      <c r="E239" s="2" t="str">
        <f>HYPERLINK("http://twitter.com/caydenmc")</f>
        <v>http://twitter.com/caydenmc</v>
      </c>
      <c r="F239" s="2" t="str">
        <f>HYPERLINK("https://muckrack.com/cayden-mcfarland")</f>
        <v>https://muckrack.com/cayden-mcfarland</v>
      </c>
      <c r="G239" s="2">
        <v>7606</v>
      </c>
      <c r="H239" s="2" t="s">
        <v>2631</v>
      </c>
      <c r="I239" s="2" t="s">
        <v>2632</v>
      </c>
      <c r="J239" s="2" t="s">
        <v>2000</v>
      </c>
      <c r="K239" s="2" t="s">
        <v>2633</v>
      </c>
      <c r="L239" s="2" t="s">
        <v>2634</v>
      </c>
      <c r="M239" s="5">
        <v>45498.638194444437</v>
      </c>
      <c r="N239" s="2" t="str">
        <f>HYPERLINK("http://twitter.com/caydenmc/status/1816553757842239962")</f>
        <v>http://twitter.com/caydenmc/status/1816553757842239962</v>
      </c>
      <c r="O239" s="2" t="str">
        <f>HYPERLINK("https://shorturl.at/fufxF")</f>
        <v>https://shorturl.at/fufxF</v>
      </c>
    </row>
    <row r="240" spans="1:15" ht="52.8" x14ac:dyDescent="0.3">
      <c r="A240" s="2" t="s">
        <v>1602</v>
      </c>
      <c r="B240" s="2" t="s">
        <v>2289</v>
      </c>
      <c r="C240" s="2"/>
      <c r="D240" s="2" t="s">
        <v>2290</v>
      </c>
      <c r="E240" s="2" t="str">
        <f>HYPERLINK("http://twitter.com/MichaelBattista")</f>
        <v>http://twitter.com/MichaelBattista</v>
      </c>
      <c r="F240" s="2" t="str">
        <f>HYPERLINK("https://muckrack.com/michael-battista")</f>
        <v>https://muckrack.com/michael-battista</v>
      </c>
      <c r="G240" s="2">
        <v>1614</v>
      </c>
      <c r="H240" s="2" t="s">
        <v>2291</v>
      </c>
      <c r="I240" s="2" t="s">
        <v>2292</v>
      </c>
      <c r="J240" s="2" t="s">
        <v>2033</v>
      </c>
      <c r="K240" s="2" t="s">
        <v>2034</v>
      </c>
      <c r="L240" s="2" t="s">
        <v>2635</v>
      </c>
      <c r="M240" s="5">
        <v>45498.670023148137</v>
      </c>
      <c r="N240" s="2" t="str">
        <f>HYPERLINK("http://twitter.com/MichaelBattista/status/1816565294392906152")</f>
        <v>http://twitter.com/MichaelBattista/status/1816565294392906152</v>
      </c>
      <c r="O240" s="2" t="str">
        <f>HYPERLINK("https://www.hudsonriverblue.com/leagues-cup-boycott-here-are-the-supporters-groups-protesting-the-tournament/")</f>
        <v>https://www.hudsonriverblue.com/leagues-cup-boycott-here-are-the-supporters-groups-protesting-the-tournament/</v>
      </c>
    </row>
    <row r="241" spans="1:15" ht="118.8" x14ac:dyDescent="0.3">
      <c r="A241" s="2" t="s">
        <v>1602</v>
      </c>
      <c r="B241" s="2" t="s">
        <v>2289</v>
      </c>
      <c r="C241" s="2"/>
      <c r="D241" s="2" t="s">
        <v>2290</v>
      </c>
      <c r="E241" s="2" t="str">
        <f>HYPERLINK("http://twitter.com/MichaelBattista")</f>
        <v>http://twitter.com/MichaelBattista</v>
      </c>
      <c r="F241" s="2" t="str">
        <f>HYPERLINK("https://muckrack.com/michael-battista")</f>
        <v>https://muckrack.com/michael-battista</v>
      </c>
      <c r="G241" s="2">
        <v>1614</v>
      </c>
      <c r="H241" s="2" t="s">
        <v>2291</v>
      </c>
      <c r="I241" s="2" t="s">
        <v>2292</v>
      </c>
      <c r="J241" s="2" t="s">
        <v>2033</v>
      </c>
      <c r="K241" s="2" t="s">
        <v>2034</v>
      </c>
      <c r="L241" s="2" t="s">
        <v>2636</v>
      </c>
      <c r="M241" s="5">
        <v>45500.535034722219</v>
      </c>
      <c r="N241" s="2" t="str">
        <f>HYPERLINK("http://twitter.com/MichaelBattista/status/1817241148290715980")</f>
        <v>http://twitter.com/MichaelBattista/status/1817241148290715980</v>
      </c>
      <c r="O241" s="2" t="str">
        <f>HYPERLINK("https://www.hudsonriverblue.com/leagues-cup-boycott-here-are-the-supporters-groups-protesting-the-tournament/")</f>
        <v>https://www.hudsonriverblue.com/leagues-cup-boycott-here-are-the-supporters-groups-protesting-the-tournament/</v>
      </c>
    </row>
    <row r="242" spans="1:15" ht="118.8" x14ac:dyDescent="0.3">
      <c r="A242" s="2" t="s">
        <v>1602</v>
      </c>
      <c r="B242" s="2" t="s">
        <v>2289</v>
      </c>
      <c r="C242" s="2"/>
      <c r="D242" s="2" t="s">
        <v>2290</v>
      </c>
      <c r="E242" s="2" t="str">
        <f>HYPERLINK("http://twitter.com/MichaelBattista")</f>
        <v>http://twitter.com/MichaelBattista</v>
      </c>
      <c r="F242" s="2" t="str">
        <f>HYPERLINK("https://muckrack.com/michael-battista")</f>
        <v>https://muckrack.com/michael-battista</v>
      </c>
      <c r="G242" s="2">
        <v>1614</v>
      </c>
      <c r="H242" s="2" t="s">
        <v>2291</v>
      </c>
      <c r="I242" s="2" t="s">
        <v>2292</v>
      </c>
      <c r="J242" s="2" t="s">
        <v>2033</v>
      </c>
      <c r="K242" s="2" t="s">
        <v>2034</v>
      </c>
      <c r="L242" s="2" t="s">
        <v>2637</v>
      </c>
      <c r="M242" s="5">
        <v>45503.909189814818</v>
      </c>
      <c r="N242" s="2" t="str">
        <f>HYPERLINK("http://twitter.com/MichaelBattista/status/1818463902872506739")</f>
        <v>http://twitter.com/MichaelBattista/status/1818463902872506739</v>
      </c>
      <c r="O242" s="2" t="str">
        <f>HYPERLINK("https://www.hudsonriverblue.com/leagues-cup-boycott-here-are-the-supporters-groups-protesting-the-tournament/")</f>
        <v>https://www.hudsonriverblue.com/leagues-cup-boycott-here-are-the-supporters-groups-protesting-the-tournament/</v>
      </c>
    </row>
    <row r="243" spans="1:15" ht="118.8" x14ac:dyDescent="0.3">
      <c r="A243" s="2" t="s">
        <v>1602</v>
      </c>
      <c r="B243" s="2" t="s">
        <v>2289</v>
      </c>
      <c r="C243" s="2"/>
      <c r="D243" s="2" t="s">
        <v>2290</v>
      </c>
      <c r="E243" s="2" t="str">
        <f>HYPERLINK("http://twitter.com/MichaelBattista")</f>
        <v>http://twitter.com/MichaelBattista</v>
      </c>
      <c r="F243" s="2" t="str">
        <f>HYPERLINK("https://muckrack.com/michael-battista")</f>
        <v>https://muckrack.com/michael-battista</v>
      </c>
      <c r="G243" s="2">
        <v>1614</v>
      </c>
      <c r="H243" s="2" t="s">
        <v>2291</v>
      </c>
      <c r="I243" s="2" t="s">
        <v>2292</v>
      </c>
      <c r="J243" s="2" t="s">
        <v>2033</v>
      </c>
      <c r="K243" s="2" t="s">
        <v>2034</v>
      </c>
      <c r="L243" s="2" t="s">
        <v>2638</v>
      </c>
      <c r="M243" s="5">
        <v>45507.506168981483</v>
      </c>
      <c r="N243" s="2" t="str">
        <f>HYPERLINK("http://twitter.com/MichaelBattista/status/1819767404085510331")</f>
        <v>http://twitter.com/MichaelBattista/status/1819767404085510331</v>
      </c>
      <c r="O243" s="2" t="str">
        <f>HYPERLINK("https://www.hudsonriverblue.com/leagues-cup-boycott-here-are-the-supporters-groups-protesting-the-tournament/")</f>
        <v>https://www.hudsonriverblue.com/leagues-cup-boycott-here-are-the-supporters-groups-protesting-the-tournament/</v>
      </c>
    </row>
    <row r="244" spans="1:15" ht="171.6" x14ac:dyDescent="0.3">
      <c r="A244" s="2" t="s">
        <v>1602</v>
      </c>
      <c r="B244" s="2" t="s">
        <v>2289</v>
      </c>
      <c r="C244" s="2"/>
      <c r="D244" s="2" t="s">
        <v>2290</v>
      </c>
      <c r="E244" s="2" t="str">
        <f>HYPERLINK("http://twitter.com/MichaelBattista")</f>
        <v>http://twitter.com/MichaelBattista</v>
      </c>
      <c r="F244" s="2" t="str">
        <f>HYPERLINK("https://muckrack.com/michael-battista")</f>
        <v>https://muckrack.com/michael-battista</v>
      </c>
      <c r="G244" s="2">
        <v>1614</v>
      </c>
      <c r="H244" s="2" t="s">
        <v>2291</v>
      </c>
      <c r="I244" s="2" t="s">
        <v>2292</v>
      </c>
      <c r="J244" s="2" t="s">
        <v>2033</v>
      </c>
      <c r="K244" s="2" t="s">
        <v>2034</v>
      </c>
      <c r="L244" s="2" t="s">
        <v>2639</v>
      </c>
      <c r="M244" s="5">
        <v>45510.855474537027</v>
      </c>
      <c r="N244" s="2" t="str">
        <f>HYPERLINK("http://twitter.com/MichaelBattista/status/1820981153748189251")</f>
        <v>http://twitter.com/MichaelBattista/status/1820981153748189251</v>
      </c>
      <c r="O244" s="2" t="str">
        <f>HYPERLINK("https://www.hudsonriverblue.com/leagues-cup-boycott-here-are-the-supporters-groups-protesting-the-tournament/")</f>
        <v>https://www.hudsonriverblue.com/leagues-cup-boycott-here-are-the-supporters-groups-protesting-the-tournament/</v>
      </c>
    </row>
    <row r="245" spans="1:15" ht="132" x14ac:dyDescent="0.3">
      <c r="A245" s="2" t="s">
        <v>385</v>
      </c>
      <c r="B245" s="2" t="s">
        <v>2640</v>
      </c>
      <c r="C245" s="2" t="s">
        <v>2641</v>
      </c>
      <c r="D245" s="2" t="s">
        <v>2642</v>
      </c>
      <c r="E245" s="2" t="str">
        <f>HYPERLINK("http://twitter.com/joeclowery")</f>
        <v>http://twitter.com/joeclowery</v>
      </c>
      <c r="F245" s="2" t="str">
        <f>HYPERLINK("https://muckrack.com/joseph-lowery-1")</f>
        <v>https://muckrack.com/joseph-lowery-1</v>
      </c>
      <c r="G245" s="2">
        <v>12100</v>
      </c>
      <c r="H245" s="2" t="s">
        <v>2643</v>
      </c>
      <c r="I245" s="2" t="s">
        <v>2644</v>
      </c>
      <c r="J245" s="2" t="s">
        <v>2033</v>
      </c>
      <c r="K245" s="2" t="s">
        <v>2645</v>
      </c>
      <c r="L245" s="2" t="s">
        <v>2646</v>
      </c>
      <c r="M245" s="5">
        <v>45497.86041666667</v>
      </c>
      <c r="N245" s="2" t="str">
        <f>HYPERLINK("http://twitter.com/joeclowery/status/1816271901943054706")</f>
        <v>http://twitter.com/joeclowery/status/1816271901943054706</v>
      </c>
      <c r="O245" s="2" t="str">
        <f>HYPERLINK("https://www.backheeled.com/mls-commissioner-don-garber-addresses-us-open-cup-expansion-spending/")</f>
        <v>https://www.backheeled.com/mls-commissioner-don-garber-addresses-us-open-cup-expansion-spending/</v>
      </c>
    </row>
    <row r="246" spans="1:15" ht="132" x14ac:dyDescent="0.3">
      <c r="A246" s="2" t="s">
        <v>385</v>
      </c>
      <c r="B246" s="2" t="s">
        <v>2640</v>
      </c>
      <c r="C246" s="2" t="s">
        <v>2641</v>
      </c>
      <c r="D246" s="2" t="s">
        <v>2642</v>
      </c>
      <c r="E246" s="2" t="str">
        <f>HYPERLINK("http://twitter.com/joeclowery")</f>
        <v>http://twitter.com/joeclowery</v>
      </c>
      <c r="F246" s="2" t="str">
        <f>HYPERLINK("https://muckrack.com/joseph-lowery-1")</f>
        <v>https://muckrack.com/joseph-lowery-1</v>
      </c>
      <c r="G246" s="2">
        <v>12100</v>
      </c>
      <c r="H246" s="2" t="s">
        <v>2643</v>
      </c>
      <c r="I246" s="2" t="s">
        <v>2644</v>
      </c>
      <c r="J246" s="2" t="s">
        <v>2033</v>
      </c>
      <c r="K246" s="2" t="s">
        <v>2645</v>
      </c>
      <c r="L246" s="2" t="s">
        <v>2647</v>
      </c>
      <c r="M246" s="5">
        <v>45498.417002314818</v>
      </c>
      <c r="N246" s="2" t="str">
        <f>HYPERLINK("http://twitter.com/joeclowery/status/1816473598657487050")</f>
        <v>http://twitter.com/joeclowery/status/1816473598657487050</v>
      </c>
      <c r="O246" s="2" t="str">
        <f>HYPERLINK("https://www.backheeled.com/mls-commissioner-don-garber-addresses-us-open-cup-expansion-spending/")</f>
        <v>https://www.backheeled.com/mls-commissioner-don-garber-addresses-us-open-cup-expansion-spending/</v>
      </c>
    </row>
    <row r="247" spans="1:15" ht="105.6" x14ac:dyDescent="0.3">
      <c r="A247" s="2" t="s">
        <v>2436</v>
      </c>
      <c r="B247" s="2" t="s">
        <v>2437</v>
      </c>
      <c r="C247" s="2" t="s">
        <v>2438</v>
      </c>
      <c r="D247" s="2" t="s">
        <v>2439</v>
      </c>
      <c r="E247" s="2" t="str">
        <f>HYPERLINK("http://twitter.com/MattGlenesk")</f>
        <v>http://twitter.com/MattGlenesk</v>
      </c>
      <c r="F247" s="2" t="str">
        <f>HYPERLINK("https://muckrack.com/matthew-glenesk")</f>
        <v>https://muckrack.com/matthew-glenesk</v>
      </c>
      <c r="G247" s="2">
        <v>8773</v>
      </c>
      <c r="H247" s="2" t="s">
        <v>2440</v>
      </c>
      <c r="I247" s="2" t="s">
        <v>2441</v>
      </c>
      <c r="J247" s="2" t="s">
        <v>2000</v>
      </c>
      <c r="K247" s="2" t="s">
        <v>321</v>
      </c>
      <c r="L247" s="2" t="s">
        <v>2648</v>
      </c>
      <c r="M247" s="5">
        <v>45497.806331018517</v>
      </c>
      <c r="N247" s="2" t="str">
        <f>HYPERLINK("http://twitter.com/MattGlenesk/status/1816252300031103484")</f>
        <v>http://twitter.com/MattGlenesk/status/1816252300031103484</v>
      </c>
      <c r="O247" s="2" t="str">
        <f>HYPERLINK("https://www.indystar.com/story/sports/2024/07/24/mls-expansion-commissioner-don-garber-says-league-content-at-30-teams-for-now-indianapolis-bid/74407621007/")</f>
        <v>https://www.indystar.com/story/sports/2024/07/24/mls-expansion-commissioner-don-garber-says-league-content-at-30-teams-for-now-indianapolis-bid/74407621007/</v>
      </c>
    </row>
    <row r="248" spans="1:15" ht="92.4" x14ac:dyDescent="0.3">
      <c r="A248" s="2" t="s">
        <v>2436</v>
      </c>
      <c r="B248" s="2" t="s">
        <v>2437</v>
      </c>
      <c r="C248" s="2" t="s">
        <v>2438</v>
      </c>
      <c r="D248" s="2" t="s">
        <v>2439</v>
      </c>
      <c r="E248" s="2" t="str">
        <f>HYPERLINK("http://twitter.com/MattGlenesk")</f>
        <v>http://twitter.com/MattGlenesk</v>
      </c>
      <c r="F248" s="2" t="str">
        <f>HYPERLINK("https://muckrack.com/matthew-glenesk")</f>
        <v>https://muckrack.com/matthew-glenesk</v>
      </c>
      <c r="G248" s="2">
        <v>8773</v>
      </c>
      <c r="H248" s="2" t="s">
        <v>2440</v>
      </c>
      <c r="I248" s="2" t="s">
        <v>2441</v>
      </c>
      <c r="J248" s="2" t="s">
        <v>2000</v>
      </c>
      <c r="K248" s="2" t="s">
        <v>321</v>
      </c>
      <c r="L248" s="2" t="s">
        <v>2649</v>
      </c>
      <c r="M248" s="5">
        <v>45497.844513888893</v>
      </c>
      <c r="N248" s="2" t="str">
        <f>HYPERLINK("http://twitter.com/MattGlenesk/status/1816266137329352789")</f>
        <v>http://twitter.com/MattGlenesk/status/1816266137329352789</v>
      </c>
      <c r="O248" s="2" t="str">
        <f>HYPERLINK("https://www.indystar.com/story/sports/2024/07/24/mls-expansion-commissioner-don-garber-says-league-content-at-30-teams-for-now-indianapolis-bid/74407621007/")</f>
        <v>https://www.indystar.com/story/sports/2024/07/24/mls-expansion-commissioner-don-garber-says-league-content-at-30-teams-for-now-indianapolis-bid/74407621007/</v>
      </c>
    </row>
    <row r="249" spans="1:15" ht="92.4" x14ac:dyDescent="0.3">
      <c r="A249" s="2" t="s">
        <v>664</v>
      </c>
      <c r="B249" s="2" t="s">
        <v>2289</v>
      </c>
      <c r="C249" s="2" t="s">
        <v>2425</v>
      </c>
      <c r="D249" s="2" t="s">
        <v>2426</v>
      </c>
      <c r="E249" s="2" t="str">
        <f>HYPERLINK("http://twitter.com/Brian_Haenchen")</f>
        <v>http://twitter.com/Brian_Haenchen</v>
      </c>
      <c r="F249" s="2" t="str">
        <f>HYPERLINK("https://muckrack.com/brian_haenchen")</f>
        <v>https://muckrack.com/brian_haenchen</v>
      </c>
      <c r="G249" s="2">
        <v>10028</v>
      </c>
      <c r="H249" s="2" t="s">
        <v>1972</v>
      </c>
      <c r="I249" s="2" t="s">
        <v>2427</v>
      </c>
      <c r="J249" s="2" t="s">
        <v>2000</v>
      </c>
      <c r="K249" s="2" t="s">
        <v>321</v>
      </c>
      <c r="L249" s="2" t="s">
        <v>2650</v>
      </c>
      <c r="M249" s="5">
        <v>45497.830763888887</v>
      </c>
      <c r="N249" s="2" t="str">
        <f>HYPERLINK("http://twitter.com/Brian_Haenchen/status/1816261155356053659")</f>
        <v>http://twitter.com/Brian_Haenchen/status/1816261155356053659</v>
      </c>
      <c r="O249" s="2" t="str">
        <f>HYPERLINK("https://www.indystar.com/story/sports/2024/07/24/mls-expansion-commissioner-don-garber-says-league-content-at-30-teams-for-now-indianapolis-bid/74407621007/")</f>
        <v>https://www.indystar.com/story/sports/2024/07/24/mls-expansion-commissioner-don-garber-says-league-content-at-30-teams-for-now-indianapolis-bid/74407621007/</v>
      </c>
    </row>
    <row r="250" spans="1:15" ht="79.2" x14ac:dyDescent="0.3">
      <c r="A250" s="2" t="s">
        <v>664</v>
      </c>
      <c r="B250" s="2" t="s">
        <v>2289</v>
      </c>
      <c r="C250" s="2" t="s">
        <v>2425</v>
      </c>
      <c r="D250" s="2" t="s">
        <v>2426</v>
      </c>
      <c r="E250" s="2" t="str">
        <f>HYPERLINK("http://twitter.com/Brian_Haenchen")</f>
        <v>http://twitter.com/Brian_Haenchen</v>
      </c>
      <c r="F250" s="2" t="str">
        <f>HYPERLINK("https://muckrack.com/brian_haenchen")</f>
        <v>https://muckrack.com/brian_haenchen</v>
      </c>
      <c r="G250" s="2">
        <v>10028</v>
      </c>
      <c r="H250" s="2" t="s">
        <v>1972</v>
      </c>
      <c r="I250" s="2" t="s">
        <v>2427</v>
      </c>
      <c r="J250" s="2" t="s">
        <v>2000</v>
      </c>
      <c r="K250" s="2" t="s">
        <v>321</v>
      </c>
      <c r="L250" s="2" t="s">
        <v>2651</v>
      </c>
      <c r="M250" s="5">
        <v>45499.359988425917</v>
      </c>
      <c r="N250" s="2" t="str">
        <f>HYPERLINK("http://twitter.com/Brian_Haenchen/status/1816815328615121067")</f>
        <v>http://twitter.com/Brian_Haenchen/status/1816815328615121067</v>
      </c>
      <c r="O250" s="2" t="str">
        <f>HYPERLINK("https://www.indystar.com/story/sports/2024/07/24/mls-expansion-commissioner-don-garber-says-league-content-at-30-teams-for-now-indianapolis-bid/74407621007/")</f>
        <v>https://www.indystar.com/story/sports/2024/07/24/mls-expansion-commissioner-don-garber-says-league-content-at-30-teams-for-now-indianapolis-bid/74407621007/</v>
      </c>
    </row>
    <row r="251" spans="1:15" ht="79.2" x14ac:dyDescent="0.3">
      <c r="A251" s="2" t="s">
        <v>2652</v>
      </c>
      <c r="B251" s="2" t="s">
        <v>2653</v>
      </c>
      <c r="C251" s="2" t="s">
        <v>2654</v>
      </c>
      <c r="D251" s="2" t="s">
        <v>2655</v>
      </c>
      <c r="E251" s="2" t="str">
        <f>HYPERLINK("http://twitter.com/KevinLive5")</f>
        <v>http://twitter.com/KevinLive5</v>
      </c>
      <c r="F251" s="2" t="str">
        <f>HYPERLINK("https://muckrack.com/kevin-bilodeau")</f>
        <v>https://muckrack.com/kevin-bilodeau</v>
      </c>
      <c r="G251" s="2">
        <v>9661</v>
      </c>
      <c r="H251" s="2" t="s">
        <v>2106</v>
      </c>
      <c r="I251" s="2" t="s">
        <v>2656</v>
      </c>
      <c r="J251" s="2" t="s">
        <v>2033</v>
      </c>
      <c r="K251" s="2" t="s">
        <v>304</v>
      </c>
      <c r="L251" s="2" t="s">
        <v>2657</v>
      </c>
      <c r="M251" s="5">
        <v>45497.914490740739</v>
      </c>
      <c r="N251" s="2" t="str">
        <f>HYPERLINK("http://twitter.com/KevinLive5/status/1816291495684579499")</f>
        <v>http://twitter.com/KevinLive5/status/1816291495684579499</v>
      </c>
      <c r="O251" s="2" t="str">
        <f>HYPERLINK("https://www.live5news.com/2024/07/24/battery-win-1-2-over-loudoun-morning-match-dossantos-markanich-score/")</f>
        <v>https://www.live5news.com/2024/07/24/battery-win-1-2-over-loudoun-morning-match-dossantos-markanich-score/</v>
      </c>
    </row>
    <row r="252" spans="1:15" ht="105.6" x14ac:dyDescent="0.3">
      <c r="A252" s="2" t="s">
        <v>2436</v>
      </c>
      <c r="B252" s="2" t="s">
        <v>2437</v>
      </c>
      <c r="C252" s="2" t="s">
        <v>2438</v>
      </c>
      <c r="D252" s="2" t="s">
        <v>2439</v>
      </c>
      <c r="E252" s="2" t="str">
        <f>HYPERLINK("http://twitter.com/MattGlenesk")</f>
        <v>http://twitter.com/MattGlenesk</v>
      </c>
      <c r="F252" s="2" t="str">
        <f>HYPERLINK("https://muckrack.com/matthew-glenesk")</f>
        <v>https://muckrack.com/matthew-glenesk</v>
      </c>
      <c r="G252" s="2">
        <v>8773</v>
      </c>
      <c r="H252" s="2" t="s">
        <v>2440</v>
      </c>
      <c r="I252" s="2" t="s">
        <v>2441</v>
      </c>
      <c r="J252" s="2" t="s">
        <v>2000</v>
      </c>
      <c r="K252" s="2" t="s">
        <v>321</v>
      </c>
      <c r="L252" s="2" t="s">
        <v>2658</v>
      </c>
      <c r="M252" s="5">
        <v>45497.720173611109</v>
      </c>
      <c r="N252" s="2" t="str">
        <f>HYPERLINK("http://twitter.com/MattGlenesk/status/1816221076684198371")</f>
        <v>http://twitter.com/MattGlenesk/status/1816221076684198371</v>
      </c>
      <c r="O252" s="2" t="str">
        <f>HYPERLINK("https://www.indystar.com/story/sports/2024/07/24/mls-execs-weigh-in-on-potential-indianapolis-expansion-franchise-bid-major-league-soccer/74532591007/")</f>
        <v>https://www.indystar.com/story/sports/2024/07/24/mls-execs-weigh-in-on-potential-indianapolis-expansion-franchise-bid-major-league-soccer/74532591007/</v>
      </c>
    </row>
    <row r="253" spans="1:15" ht="105.6" x14ac:dyDescent="0.3">
      <c r="A253" s="2" t="s">
        <v>2436</v>
      </c>
      <c r="B253" s="2" t="s">
        <v>2437</v>
      </c>
      <c r="C253" s="2" t="s">
        <v>2438</v>
      </c>
      <c r="D253" s="2" t="s">
        <v>2439</v>
      </c>
      <c r="E253" s="2" t="str">
        <f>HYPERLINK("http://twitter.com/MattGlenesk")</f>
        <v>http://twitter.com/MattGlenesk</v>
      </c>
      <c r="F253" s="2" t="str">
        <f>HYPERLINK("https://muckrack.com/matthew-glenesk")</f>
        <v>https://muckrack.com/matthew-glenesk</v>
      </c>
      <c r="G253" s="2">
        <v>8773</v>
      </c>
      <c r="H253" s="2" t="s">
        <v>2440</v>
      </c>
      <c r="I253" s="2" t="s">
        <v>2441</v>
      </c>
      <c r="J253" s="2" t="s">
        <v>2000</v>
      </c>
      <c r="K253" s="2" t="s">
        <v>321</v>
      </c>
      <c r="L253" s="2" t="s">
        <v>2659</v>
      </c>
      <c r="M253" s="5">
        <v>45497.748240740737</v>
      </c>
      <c r="N253" s="2" t="str">
        <f>HYPERLINK("http://twitter.com/MattGlenesk/status/1816231250983584113")</f>
        <v>http://twitter.com/MattGlenesk/status/1816231250983584113</v>
      </c>
      <c r="O253" s="2" t="str">
        <f>HYPERLINK("https://www.indystar.com/story/sports/2024/07/24/mls-execs-weigh-in-on-potential-indianapolis-expansion-franchise-bid-major-league-soccer/74532591007/")</f>
        <v>https://www.indystar.com/story/sports/2024/07/24/mls-execs-weigh-in-on-potential-indianapolis-expansion-franchise-bid-major-league-soccer/74532591007/</v>
      </c>
    </row>
    <row r="254" spans="1:15" ht="92.4" x14ac:dyDescent="0.3">
      <c r="A254" s="2" t="s">
        <v>664</v>
      </c>
      <c r="B254" s="2" t="s">
        <v>2289</v>
      </c>
      <c r="C254" s="2" t="s">
        <v>2425</v>
      </c>
      <c r="D254" s="2" t="s">
        <v>2426</v>
      </c>
      <c r="E254" s="2" t="str">
        <f>HYPERLINK("http://twitter.com/Brian_Haenchen")</f>
        <v>http://twitter.com/Brian_Haenchen</v>
      </c>
      <c r="F254" s="2" t="str">
        <f>HYPERLINK("https://muckrack.com/brian_haenchen")</f>
        <v>https://muckrack.com/brian_haenchen</v>
      </c>
      <c r="G254" s="2">
        <v>10028</v>
      </c>
      <c r="H254" s="2" t="s">
        <v>1972</v>
      </c>
      <c r="I254" s="2" t="s">
        <v>2427</v>
      </c>
      <c r="J254" s="2" t="s">
        <v>2000</v>
      </c>
      <c r="K254" s="2" t="s">
        <v>321</v>
      </c>
      <c r="L254" s="2" t="s">
        <v>2660</v>
      </c>
      <c r="M254" s="5">
        <v>45497.721018518518</v>
      </c>
      <c r="N254" s="2" t="str">
        <f>HYPERLINK("http://twitter.com/Brian_Haenchen/status/1816221383732441516")</f>
        <v>http://twitter.com/Brian_Haenchen/status/1816221383732441516</v>
      </c>
      <c r="O254" s="2" t="str">
        <f>HYPERLINK("https://www.indystar.com/story/sports/2024/07/24/mls-execs-weigh-in-on-potential-indianapolis-expansion-franchise-bid-major-league-soccer/74532591007/")</f>
        <v>https://www.indystar.com/story/sports/2024/07/24/mls-execs-weigh-in-on-potential-indianapolis-expansion-franchise-bid-major-league-soccer/74532591007/</v>
      </c>
    </row>
    <row r="255" spans="1:15" ht="105.6" x14ac:dyDescent="0.3">
      <c r="A255" s="2" t="s">
        <v>2436</v>
      </c>
      <c r="B255" s="2" t="s">
        <v>2437</v>
      </c>
      <c r="C255" s="2" t="s">
        <v>2438</v>
      </c>
      <c r="D255" s="2" t="s">
        <v>2439</v>
      </c>
      <c r="E255" s="2" t="str">
        <f>HYPERLINK("http://twitter.com/MattGlenesk")</f>
        <v>http://twitter.com/MattGlenesk</v>
      </c>
      <c r="F255" s="2" t="str">
        <f>HYPERLINK("https://muckrack.com/matthew-glenesk")</f>
        <v>https://muckrack.com/matthew-glenesk</v>
      </c>
      <c r="G255" s="2">
        <v>8773</v>
      </c>
      <c r="H255" s="2" t="s">
        <v>2440</v>
      </c>
      <c r="I255" s="2" t="s">
        <v>2441</v>
      </c>
      <c r="J255" s="2" t="s">
        <v>2000</v>
      </c>
      <c r="K255" s="2" t="s">
        <v>321</v>
      </c>
      <c r="L255" s="2" t="s">
        <v>2661</v>
      </c>
      <c r="M255" s="5">
        <v>45497.643333333333</v>
      </c>
      <c r="N255" s="2" t="str">
        <f>HYPERLINK("http://twitter.com/MattGlenesk/status/1816193230582734914")</f>
        <v>http://twitter.com/MattGlenesk/status/1816193230582734914</v>
      </c>
      <c r="O255" s="2" t="str">
        <f>HYPERLINK("https://www.indystar.com/story/sports/2024/07/24/taylor-twellman-talks-about-mls-expansion-possible-indianapolis-bid-major-league-soccer-indy/74530830007/")</f>
        <v>https://www.indystar.com/story/sports/2024/07/24/taylor-twellman-talks-about-mls-expansion-possible-indianapolis-bid-major-league-soccer-indy/74530830007/</v>
      </c>
    </row>
    <row r="256" spans="1:15" ht="118.8" x14ac:dyDescent="0.3">
      <c r="A256" s="2" t="s">
        <v>664</v>
      </c>
      <c r="B256" s="2" t="s">
        <v>2289</v>
      </c>
      <c r="C256" s="2" t="s">
        <v>2425</v>
      </c>
      <c r="D256" s="2" t="s">
        <v>2426</v>
      </c>
      <c r="E256" s="2" t="str">
        <f>HYPERLINK("http://twitter.com/Brian_Haenchen")</f>
        <v>http://twitter.com/Brian_Haenchen</v>
      </c>
      <c r="F256" s="2" t="str">
        <f>HYPERLINK("https://muckrack.com/brian_haenchen")</f>
        <v>https://muckrack.com/brian_haenchen</v>
      </c>
      <c r="G256" s="2">
        <v>10028</v>
      </c>
      <c r="H256" s="2" t="s">
        <v>1972</v>
      </c>
      <c r="I256" s="2" t="s">
        <v>2427</v>
      </c>
      <c r="J256" s="2" t="s">
        <v>2000</v>
      </c>
      <c r="K256" s="2" t="s">
        <v>321</v>
      </c>
      <c r="L256" s="2" t="s">
        <v>2662</v>
      </c>
      <c r="M256" s="5">
        <v>45497.761469907397</v>
      </c>
      <c r="N256" s="2" t="str">
        <f>HYPERLINK("http://twitter.com/Brian_Haenchen/status/1816236042678329462")</f>
        <v>http://twitter.com/Brian_Haenchen/status/1816236042678329462</v>
      </c>
      <c r="O256" s="2" t="str">
        <f>HYPERLINK("https://www.indystar.com/story/sports/2024/07/24/taylor-twellman-talks-about-mls-expansion-possible-indianapolis-bid-major-league-soccer-indy/74530830007/")</f>
        <v>https://www.indystar.com/story/sports/2024/07/24/taylor-twellman-talks-about-mls-expansion-possible-indianapolis-bid-major-league-soccer-indy/74530830007/</v>
      </c>
    </row>
    <row r="257" spans="1:15" ht="66" x14ac:dyDescent="0.3">
      <c r="A257" s="2" t="s">
        <v>2390</v>
      </c>
      <c r="B257" s="2" t="s">
        <v>2036</v>
      </c>
      <c r="C257" s="2" t="s">
        <v>2391</v>
      </c>
      <c r="D257" s="2" t="s">
        <v>2392</v>
      </c>
      <c r="E257" s="2" t="str">
        <f>HYPERLINK("http://twitter.com/GreggDoyelStar")</f>
        <v>http://twitter.com/GreggDoyelStar</v>
      </c>
      <c r="F257" s="2" t="str">
        <f>HYPERLINK("https://muckrack.com/greggdoyelstar")</f>
        <v>https://muckrack.com/greggdoyelstar</v>
      </c>
      <c r="G257" s="2">
        <v>92219</v>
      </c>
      <c r="H257" s="2" t="s">
        <v>1972</v>
      </c>
      <c r="I257" s="2" t="s">
        <v>2393</v>
      </c>
      <c r="J257" s="2" t="s">
        <v>2000</v>
      </c>
      <c r="K257" s="2" t="s">
        <v>321</v>
      </c>
      <c r="L257" s="2" t="s">
        <v>2663</v>
      </c>
      <c r="M257" s="5">
        <v>45497.776701388888</v>
      </c>
      <c r="N257" s="2" t="str">
        <f>HYPERLINK("http://twitter.com/GreggDoyelStar/status/1816241564487934240")</f>
        <v>http://twitter.com/GreggDoyelStar/status/1816241564487934240</v>
      </c>
      <c r="O257" s="2" t="str">
        <f>HYPERLINK("https://www.indystar.com/story/sports/columnists/gregg-doyel/2024/07/24/training-camp-starts-quietly-for-colts-wholl-make-noise-in-afc-south/74488766007/")</f>
        <v>https://www.indystar.com/story/sports/columnists/gregg-doyel/2024/07/24/training-camp-starts-quietly-for-colts-wholl-make-noise-in-afc-south/74488766007/</v>
      </c>
    </row>
    <row r="258" spans="1:15" ht="66" x14ac:dyDescent="0.3">
      <c r="A258" s="2" t="s">
        <v>2390</v>
      </c>
      <c r="B258" s="2" t="s">
        <v>2036</v>
      </c>
      <c r="C258" s="2" t="s">
        <v>2391</v>
      </c>
      <c r="D258" s="2" t="s">
        <v>2392</v>
      </c>
      <c r="E258" s="2" t="str">
        <f>HYPERLINK("http://twitter.com/GreggDoyelStar")</f>
        <v>http://twitter.com/GreggDoyelStar</v>
      </c>
      <c r="F258" s="2" t="str">
        <f>HYPERLINK("https://muckrack.com/greggdoyelstar")</f>
        <v>https://muckrack.com/greggdoyelstar</v>
      </c>
      <c r="G258" s="2">
        <v>92219</v>
      </c>
      <c r="H258" s="2" t="s">
        <v>1972</v>
      </c>
      <c r="I258" s="2" t="s">
        <v>2393</v>
      </c>
      <c r="J258" s="2" t="s">
        <v>2000</v>
      </c>
      <c r="K258" s="2" t="s">
        <v>321</v>
      </c>
      <c r="L258" s="2" t="s">
        <v>2664</v>
      </c>
      <c r="M258" s="5">
        <v>45497.811111111107</v>
      </c>
      <c r="N258" s="2" t="str">
        <f>HYPERLINK("http://twitter.com/GreggDoyelStar/status/1816254033142628721")</f>
        <v>http://twitter.com/GreggDoyelStar/status/1816254033142628721</v>
      </c>
      <c r="O258" s="2" t="str">
        <f>HYPERLINK("https://www.indystar.com/story/sports/columnists/gregg-doyel/2024/07/24/training-camp-starts-quietly-for-colts-wholl-make-noise-in-afc-south/74488766007/")</f>
        <v>https://www.indystar.com/story/sports/columnists/gregg-doyel/2024/07/24/training-camp-starts-quietly-for-colts-wholl-make-noise-in-afc-south/74488766007/</v>
      </c>
    </row>
    <row r="259" spans="1:15" ht="39.6" x14ac:dyDescent="0.3">
      <c r="A259" s="2" t="s">
        <v>2102</v>
      </c>
      <c r="B259" s="2" t="s">
        <v>2103</v>
      </c>
      <c r="C259" s="2" t="s">
        <v>2104</v>
      </c>
      <c r="D259" s="2" t="s">
        <v>2105</v>
      </c>
      <c r="E259" s="2" t="str">
        <f>HYPERLINK("http://twitter.com/HolyCitySinner")</f>
        <v>http://twitter.com/HolyCitySinner</v>
      </c>
      <c r="F259" s="2" t="str">
        <f>HYPERLINK("https://muckrack.com/christian-senger")</f>
        <v>https://muckrack.com/christian-senger</v>
      </c>
      <c r="G259" s="2">
        <v>61543</v>
      </c>
      <c r="H259" s="2" t="s">
        <v>2106</v>
      </c>
      <c r="I259" s="2" t="s">
        <v>2107</v>
      </c>
      <c r="J259" s="2" t="s">
        <v>2108</v>
      </c>
      <c r="K259" s="2" t="s">
        <v>2109</v>
      </c>
      <c r="L259" s="2" t="s">
        <v>2665</v>
      </c>
      <c r="M259" s="5">
        <v>45496.839583333327</v>
      </c>
      <c r="N259" s="2" t="str">
        <f>HYPERLINK("http://twitter.com/HolyCitySinner/status/1815901961910210836")</f>
        <v>http://twitter.com/HolyCitySinner/status/1815901961910210836</v>
      </c>
      <c r="O259" s="2" t="str">
        <f>HYPERLINK("http://holycitysinner.com/sports/battery-travel-to-virginia-for-midmorning-loudoun-match/")</f>
        <v>http://holycitysinner.com/sports/battery-travel-to-virginia-for-midmorning-loudoun-match/</v>
      </c>
    </row>
    <row r="260" spans="1:15" ht="39.6" x14ac:dyDescent="0.3">
      <c r="A260" s="2" t="s">
        <v>2102</v>
      </c>
      <c r="B260" s="2" t="s">
        <v>2103</v>
      </c>
      <c r="C260" s="2" t="s">
        <v>2104</v>
      </c>
      <c r="D260" s="2" t="s">
        <v>2105</v>
      </c>
      <c r="E260" s="2" t="str">
        <f>HYPERLINK("http://twitter.com/HolyCitySinner")</f>
        <v>http://twitter.com/HolyCitySinner</v>
      </c>
      <c r="F260" s="2" t="str">
        <f>HYPERLINK("https://muckrack.com/christian-senger")</f>
        <v>https://muckrack.com/christian-senger</v>
      </c>
      <c r="G260" s="2">
        <v>61543</v>
      </c>
      <c r="H260" s="2" t="s">
        <v>2106</v>
      </c>
      <c r="I260" s="2" t="s">
        <v>2107</v>
      </c>
      <c r="J260" s="2" t="s">
        <v>2108</v>
      </c>
      <c r="K260" s="2" t="s">
        <v>2109</v>
      </c>
      <c r="L260" s="2" t="s">
        <v>2666</v>
      </c>
      <c r="M260" s="5">
        <v>45497.370138888888</v>
      </c>
      <c r="N260" s="2" t="str">
        <f>HYPERLINK("http://twitter.com/HolyCitySinner/status/1816094228746731966")</f>
        <v>http://twitter.com/HolyCitySinner/status/1816094228746731966</v>
      </c>
      <c r="O260" s="2" t="str">
        <f>HYPERLINK("http://holycitysinner.com/sports/battery-travel-to-virginia-for-midmorning-loudoun-match/")</f>
        <v>http://holycitysinner.com/sports/battery-travel-to-virginia-for-midmorning-loudoun-match/</v>
      </c>
    </row>
    <row r="261" spans="1:15" ht="52.8" x14ac:dyDescent="0.3">
      <c r="A261" s="2" t="s">
        <v>2667</v>
      </c>
      <c r="B261" s="2" t="s">
        <v>2668</v>
      </c>
      <c r="C261" s="2" t="s">
        <v>2669</v>
      </c>
      <c r="D261" s="2" t="s">
        <v>2670</v>
      </c>
      <c r="E261" s="2" t="str">
        <f>HYPERLINK("http://twitter.com/RobAbramowitz")</f>
        <v>http://twitter.com/RobAbramowitz</v>
      </c>
      <c r="F261" s="2" t="str">
        <f>HYPERLINK("https://muckrack.com/roberto-abramowitz")</f>
        <v>https://muckrack.com/roberto-abramowitz</v>
      </c>
      <c r="G261" s="2">
        <v>19451</v>
      </c>
      <c r="H261" s="2" t="s">
        <v>2671</v>
      </c>
      <c r="I261" s="2" t="s">
        <v>2672</v>
      </c>
      <c r="J261" s="2" t="s">
        <v>2033</v>
      </c>
      <c r="K261" s="2" t="s">
        <v>2034</v>
      </c>
      <c r="L261" s="2" t="s">
        <v>2673</v>
      </c>
      <c r="M261" s="5">
        <v>45499.869027777779</v>
      </c>
      <c r="N261" s="2" t="str">
        <f>HYPERLINK("http://twitter.com/RobAbramowitz/status/1816999797942833479")</f>
        <v>http://twitter.com/RobAbramowitz/status/1816999797942833479</v>
      </c>
      <c r="O261" s="2" t="str">
        <f>HYPERLINK("https://www.rotowire.com/soccer/article/leagues-cup-preview-2024-format-groups-83800")</f>
        <v>https://www.rotowire.com/soccer/article/leagues-cup-preview-2024-format-groups-83800</v>
      </c>
    </row>
    <row r="262" spans="1:15" ht="66" x14ac:dyDescent="0.3">
      <c r="A262" s="2" t="s">
        <v>953</v>
      </c>
      <c r="B262" s="2" t="s">
        <v>2674</v>
      </c>
      <c r="C262" s="2" t="s">
        <v>2675</v>
      </c>
      <c r="D262" s="2" t="s">
        <v>2676</v>
      </c>
      <c r="E262" s="2" t="str">
        <f>HYPERLINK("http://twitter.com/JREskilson")</f>
        <v>http://twitter.com/JREskilson</v>
      </c>
      <c r="F262" s="2" t="str">
        <f>HYPERLINK("https://muckrack.com/jr-eskilson")</f>
        <v>https://muckrack.com/jr-eskilson</v>
      </c>
      <c r="G262" s="2">
        <v>11261</v>
      </c>
      <c r="H262" s="2"/>
      <c r="I262" s="2" t="s">
        <v>2677</v>
      </c>
      <c r="J262" s="2" t="s">
        <v>2033</v>
      </c>
      <c r="K262" s="2" t="s">
        <v>354</v>
      </c>
      <c r="L262" s="2" t="s">
        <v>2678</v>
      </c>
      <c r="M262" s="5">
        <v>45495.903402777767</v>
      </c>
      <c r="N262" s="2" t="str">
        <f>HYPERLINK("http://twitter.com/JREskilson/status/1815562703643332993")</f>
        <v>http://twitter.com/JREskilson/status/1815562703643332993</v>
      </c>
      <c r="O262" s="2" t="str">
        <f>HYPERLINK("https://theecnl.com/news/2024/7/22/ecnl-girls-announces-rosters-for-ecnl-girls-conference-cup.aspx")</f>
        <v>https://theecnl.com/news/2024/7/22/ecnl-girls-announces-rosters-for-ecnl-girls-conference-cup.aspx</v>
      </c>
    </row>
    <row r="263" spans="1:15" ht="66" x14ac:dyDescent="0.3">
      <c r="A263" s="2" t="s">
        <v>29</v>
      </c>
      <c r="B263" s="2" t="s">
        <v>1910</v>
      </c>
      <c r="C263" s="2" t="s">
        <v>1911</v>
      </c>
      <c r="D263" s="2" t="s">
        <v>1912</v>
      </c>
      <c r="E263" s="2" t="str">
        <f>HYPERLINK("http://twitter.com/DougRobersonAJC")</f>
        <v>http://twitter.com/DougRobersonAJC</v>
      </c>
      <c r="F263" s="2" t="str">
        <f>HYPERLINK("https://muckrack.com/doug-roberson")</f>
        <v>https://muckrack.com/doug-roberson</v>
      </c>
      <c r="G263" s="2">
        <v>16740</v>
      </c>
      <c r="H263" s="2" t="s">
        <v>1913</v>
      </c>
      <c r="I263" s="2" t="s">
        <v>1914</v>
      </c>
      <c r="J263" s="2" t="s">
        <v>1915</v>
      </c>
      <c r="K263" s="2" t="s">
        <v>30</v>
      </c>
      <c r="L263" s="2" t="s">
        <v>2679</v>
      </c>
      <c r="M263" s="5">
        <v>45495.418495370373</v>
      </c>
      <c r="N263" s="2" t="str">
        <f>HYPERLINK("http://twitter.com/DougRobersonAJC/status/1815386979044876497")</f>
        <v>http://twitter.com/DougRobersonAJC/status/1815386979044876497</v>
      </c>
      <c r="O263" s="2" t="str">
        <f>HYPERLINK("https://www.ajc.com/sports/atlanta-united/atlanta-united-transfers-caleb-wiley-to-chelsea/77IIV3KUWBAKNKAXHMS2JRQI6Y/")</f>
        <v>https://www.ajc.com/sports/atlanta-united/atlanta-united-transfers-caleb-wiley-to-chelsea/77IIV3KUWBAKNKAXHMS2JRQI6Y/</v>
      </c>
    </row>
    <row r="264" spans="1:15" ht="66" x14ac:dyDescent="0.3">
      <c r="A264" s="2" t="s">
        <v>29</v>
      </c>
      <c r="B264" s="2" t="s">
        <v>1910</v>
      </c>
      <c r="C264" s="2" t="s">
        <v>1911</v>
      </c>
      <c r="D264" s="2" t="s">
        <v>1912</v>
      </c>
      <c r="E264" s="2" t="str">
        <f>HYPERLINK("http://twitter.com/DougRobersonAJC")</f>
        <v>http://twitter.com/DougRobersonAJC</v>
      </c>
      <c r="F264" s="2" t="str">
        <f>HYPERLINK("https://muckrack.com/doug-roberson")</f>
        <v>https://muckrack.com/doug-roberson</v>
      </c>
      <c r="G264" s="2">
        <v>16740</v>
      </c>
      <c r="H264" s="2" t="s">
        <v>1913</v>
      </c>
      <c r="I264" s="2" t="s">
        <v>1914</v>
      </c>
      <c r="J264" s="2" t="s">
        <v>1915</v>
      </c>
      <c r="K264" s="2" t="s">
        <v>30</v>
      </c>
      <c r="L264" s="2" t="s">
        <v>2680</v>
      </c>
      <c r="M264" s="5">
        <v>45493.945659722223</v>
      </c>
      <c r="N264" s="2" t="str">
        <f>HYPERLINK("http://twitter.com/DougRobersonAJC/status/1814853239201784171")</f>
        <v>http://twitter.com/DougRobersonAJC/status/1814853239201784171</v>
      </c>
      <c r="O264" s="2" t="str">
        <f>HYPERLINK("https://www.ajc.com/sports/atlanta-united/stian-gregersens-headers-power-atlanta-united-past-columbus/BUEAZ2BYIRBDPOJEA2NDHZV45I/")</f>
        <v>https://www.ajc.com/sports/atlanta-united/stian-gregersens-headers-power-atlanta-united-past-columbus/BUEAZ2BYIRBDPOJEA2NDHZV45I/</v>
      </c>
    </row>
    <row r="265" spans="1:15" ht="66" x14ac:dyDescent="0.3">
      <c r="A265" s="2" t="s">
        <v>29</v>
      </c>
      <c r="B265" s="2" t="s">
        <v>1910</v>
      </c>
      <c r="C265" s="2" t="s">
        <v>1911</v>
      </c>
      <c r="D265" s="2" t="s">
        <v>1912</v>
      </c>
      <c r="E265" s="2" t="str">
        <f>HYPERLINK("http://twitter.com/DougRobersonAJC")</f>
        <v>http://twitter.com/DougRobersonAJC</v>
      </c>
      <c r="F265" s="2" t="str">
        <f>HYPERLINK("https://muckrack.com/doug-roberson")</f>
        <v>https://muckrack.com/doug-roberson</v>
      </c>
      <c r="G265" s="2">
        <v>16740</v>
      </c>
      <c r="H265" s="2" t="s">
        <v>1913</v>
      </c>
      <c r="I265" s="2" t="s">
        <v>1914</v>
      </c>
      <c r="J265" s="2" t="s">
        <v>1915</v>
      </c>
      <c r="K265" s="2" t="s">
        <v>30</v>
      </c>
      <c r="L265" s="2" t="s">
        <v>2681</v>
      </c>
      <c r="M265" s="5">
        <v>45492.740636574083</v>
      </c>
      <c r="N265" s="2" t="str">
        <f>HYPERLINK("http://twitter.com/DougRobersonAJC/status/1814416553267306823")</f>
        <v>http://twitter.com/DougRobersonAJC/status/1814416553267306823</v>
      </c>
      <c r="O265" s="2" t="str">
        <f>HYPERLINK("https://www.ajc.com/sports/atlanta-united/southern-fried-soccer-atlanta-united-draws-nycfc-faces-columbus/AMQHXW4R55GJRL5UCZQ4OI7RVI/")</f>
        <v>https://www.ajc.com/sports/atlanta-united/southern-fried-soccer-atlanta-united-draws-nycfc-faces-columbus/AMQHXW4R55GJRL5UCZQ4OI7RVI/</v>
      </c>
    </row>
    <row r="266" spans="1:15" ht="79.2" x14ac:dyDescent="0.3">
      <c r="A266" s="2" t="s">
        <v>29</v>
      </c>
      <c r="B266" s="2" t="s">
        <v>1910</v>
      </c>
      <c r="C266" s="2" t="s">
        <v>1911</v>
      </c>
      <c r="D266" s="2" t="s">
        <v>1912</v>
      </c>
      <c r="E266" s="2" t="str">
        <f>HYPERLINK("http://twitter.com/DougRobersonAJC")</f>
        <v>http://twitter.com/DougRobersonAJC</v>
      </c>
      <c r="F266" s="2" t="str">
        <f>HYPERLINK("https://muckrack.com/doug-roberson")</f>
        <v>https://muckrack.com/doug-roberson</v>
      </c>
      <c r="G266" s="2">
        <v>16740</v>
      </c>
      <c r="H266" s="2" t="s">
        <v>1913</v>
      </c>
      <c r="I266" s="2" t="s">
        <v>1914</v>
      </c>
      <c r="J266" s="2" t="s">
        <v>1915</v>
      </c>
      <c r="K266" s="2" t="s">
        <v>30</v>
      </c>
      <c r="L266" s="2" t="s">
        <v>2682</v>
      </c>
      <c r="M266" s="5">
        <v>45492.649363425917</v>
      </c>
      <c r="N266" s="2" t="str">
        <f>HYPERLINK("http://twitter.com/DougRobersonAJC/status/1814383480060379527")</f>
        <v>http://twitter.com/DougRobersonAJC/status/1814383480060379527</v>
      </c>
      <c r="O266" s="2" t="str">
        <f>HYPERLINK("https://www.ajc.com/sports/atlanta-united/atlanta-united-working-to-stay-even-emotionally-ahead-of-saturdays-match/HS6QYDFFZNF5VAV3CDPVGZ7M4A/")</f>
        <v>https://www.ajc.com/sports/atlanta-united/atlanta-united-working-to-stay-even-emotionally-ahead-of-saturdays-match/HS6QYDFFZNF5VAV3CDPVGZ7M4A/</v>
      </c>
    </row>
    <row r="267" spans="1:15" ht="66" x14ac:dyDescent="0.3">
      <c r="A267" s="2" t="s">
        <v>60</v>
      </c>
      <c r="B267" s="2" t="s">
        <v>1924</v>
      </c>
      <c r="C267" s="2" t="s">
        <v>1925</v>
      </c>
      <c r="D267" s="2" t="s">
        <v>1926</v>
      </c>
      <c r="E267" s="2" t="str">
        <f>HYPERLINK("http://twitter.com/Soccerwriter")</f>
        <v>http://twitter.com/Soccerwriter</v>
      </c>
      <c r="F267" s="2" t="str">
        <f>HYPERLINK("https://muckrack.com/michael-lewis-4")</f>
        <v>https://muckrack.com/michael-lewis-4</v>
      </c>
      <c r="G267" s="2">
        <v>9867</v>
      </c>
      <c r="H267" s="2" t="s">
        <v>1927</v>
      </c>
      <c r="I267" s="2" t="s">
        <v>1928</v>
      </c>
      <c r="J267" s="2" t="s">
        <v>1929</v>
      </c>
      <c r="K267" s="2" t="s">
        <v>1930</v>
      </c>
      <c r="L267" s="2" t="s">
        <v>2683</v>
      </c>
      <c r="M267" s="5">
        <v>45492.655173611107</v>
      </c>
      <c r="N267" s="2" t="str">
        <f>HYPERLINK("http://twitter.com/Soccerwriter/status/1814385582912745484")</f>
        <v>http://twitter.com/Soccerwriter/status/1814385582912745484</v>
      </c>
      <c r="O267" s="2" t="str">
        <f>HYPERLINK("https://www.ussoccer.com/stories/2024/07/us-soccer-to-draw-host-priority-order-for-2024-lamar-hunt-us-open-cup-final-this-saturday-july-20")</f>
        <v>https://www.ussoccer.com/stories/2024/07/us-soccer-to-draw-host-priority-order-for-2024-lamar-hunt-us-open-cup-final-this-saturday-july-20</v>
      </c>
    </row>
    <row r="268" spans="1:15" ht="66" x14ac:dyDescent="0.3">
      <c r="A268" s="2" t="s">
        <v>29</v>
      </c>
      <c r="B268" s="2" t="s">
        <v>1910</v>
      </c>
      <c r="C268" s="2" t="s">
        <v>1911</v>
      </c>
      <c r="D268" s="2" t="s">
        <v>1912</v>
      </c>
      <c r="E268" s="2" t="str">
        <f>HYPERLINK("http://twitter.com/DougRobersonAJC")</f>
        <v>http://twitter.com/DougRobersonAJC</v>
      </c>
      <c r="F268" s="2" t="str">
        <f>HYPERLINK("https://muckrack.com/doug-roberson")</f>
        <v>https://muckrack.com/doug-roberson</v>
      </c>
      <c r="G268" s="2">
        <v>16740</v>
      </c>
      <c r="H268" s="2" t="s">
        <v>1913</v>
      </c>
      <c r="I268" s="2" t="s">
        <v>1914</v>
      </c>
      <c r="J268" s="2" t="s">
        <v>1915</v>
      </c>
      <c r="K268" s="2" t="s">
        <v>30</v>
      </c>
      <c r="L268" s="2" t="s">
        <v>2684</v>
      </c>
      <c r="M268" s="5">
        <v>45492.579340277778</v>
      </c>
      <c r="N268" s="2" t="str">
        <f>HYPERLINK("http://twitter.com/DougRobersonAJC/status/1814358104345088236")</f>
        <v>http://twitter.com/DougRobersonAJC/status/1814358104345088236</v>
      </c>
      <c r="O268" s="2" t="str">
        <f>HYPERLINK("https://www.ajc.com/sports/atlanta-united/newest-signee-pedro-amador-said-atlanta-united-will-help-him-grow/R7A5HUD6LFEYBJFPI5LWGVUUUY/")</f>
        <v>https://www.ajc.com/sports/atlanta-united/newest-signee-pedro-amador-said-atlanta-united-will-help-him-grow/R7A5HUD6LFEYBJFPI5LWGVUUUY/</v>
      </c>
    </row>
    <row r="269" spans="1:15" ht="52.8" x14ac:dyDescent="0.3">
      <c r="A269" s="2" t="s">
        <v>29</v>
      </c>
      <c r="B269" s="2" t="s">
        <v>1910</v>
      </c>
      <c r="C269" s="2" t="s">
        <v>1911</v>
      </c>
      <c r="D269" s="2" t="s">
        <v>1912</v>
      </c>
      <c r="E269" s="2" t="str">
        <f>HYPERLINK("http://twitter.com/DougRobersonAJC")</f>
        <v>http://twitter.com/DougRobersonAJC</v>
      </c>
      <c r="F269" s="2" t="str">
        <f>HYPERLINK("https://muckrack.com/doug-roberson")</f>
        <v>https://muckrack.com/doug-roberson</v>
      </c>
      <c r="G269" s="2">
        <v>16740</v>
      </c>
      <c r="H269" s="2" t="s">
        <v>1913</v>
      </c>
      <c r="I269" s="2" t="s">
        <v>1914</v>
      </c>
      <c r="J269" s="2" t="s">
        <v>1915</v>
      </c>
      <c r="K269" s="2" t="s">
        <v>30</v>
      </c>
      <c r="L269" s="2" t="s">
        <v>2685</v>
      </c>
      <c r="M269" s="5">
        <v>45492.575474537043</v>
      </c>
      <c r="N269" s="2" t="str">
        <f>HYPERLINK("http://twitter.com/DougRobersonAJC/status/1814356702751281411")</f>
        <v>http://twitter.com/DougRobersonAJC/status/1814356702751281411</v>
      </c>
      <c r="O269" s="2" t="str">
        <f>HYPERLINK("https://www.ajc.com/sports/atlanta-united/info-to-know-atlanta-united-vs-columbus/4JYE2AKQZVHA5PD6PFKU57JRCA/")</f>
        <v>https://www.ajc.com/sports/atlanta-united/info-to-know-atlanta-united-vs-columbus/4JYE2AKQZVHA5PD6PFKU57JRCA/</v>
      </c>
    </row>
    <row r="270" spans="1:15" ht="39.6" x14ac:dyDescent="0.3">
      <c r="A270" s="2" t="s">
        <v>2151</v>
      </c>
      <c r="B270" s="2" t="s">
        <v>1949</v>
      </c>
      <c r="C270" s="2" t="s">
        <v>2152</v>
      </c>
      <c r="D270" s="2" t="s">
        <v>2153</v>
      </c>
      <c r="E270" s="2" t="str">
        <f>HYPERLINK("http://twitter.com/tonykatz")</f>
        <v>http://twitter.com/tonykatz</v>
      </c>
      <c r="F270" s="2" t="str">
        <f>HYPERLINK("https://muckrack.com/tony-katz")</f>
        <v>https://muckrack.com/tony-katz</v>
      </c>
      <c r="G270" s="2">
        <v>41898</v>
      </c>
      <c r="H270" s="2" t="s">
        <v>2154</v>
      </c>
      <c r="I270" s="2" t="s">
        <v>2155</v>
      </c>
      <c r="J270" s="2" t="s">
        <v>1954</v>
      </c>
      <c r="K270" s="2" t="s">
        <v>2156</v>
      </c>
      <c r="L270" s="2" t="s">
        <v>2686</v>
      </c>
      <c r="M270" s="5">
        <v>45492.555162037039</v>
      </c>
      <c r="N270" s="2" t="str">
        <f>HYPERLINK("http://twitter.com/tonykatz/status/1814349341827490113")</f>
        <v>http://twitter.com/tonykatz/status/1814349341827490113</v>
      </c>
      <c r="O270" s="2" t="str">
        <f>HYPERLINK("https://wibc.com/402349/women-accuse-top-hogsett-aide-of-preying-on-subordinates-for-years/")</f>
        <v>https://wibc.com/402349/women-accuse-top-hogsett-aide-of-preying-on-subordinates-for-years/</v>
      </c>
    </row>
    <row r="271" spans="1:15" ht="66" x14ac:dyDescent="0.3">
      <c r="A271" s="2" t="s">
        <v>29</v>
      </c>
      <c r="B271" s="2" t="s">
        <v>1910</v>
      </c>
      <c r="C271" s="2" t="s">
        <v>1911</v>
      </c>
      <c r="D271" s="2" t="s">
        <v>1912</v>
      </c>
      <c r="E271" s="2" t="str">
        <f t="shared" ref="E271:E276" si="12">HYPERLINK("http://twitter.com/DougRobersonAJC")</f>
        <v>http://twitter.com/DougRobersonAJC</v>
      </c>
      <c r="F271" s="2" t="str">
        <f t="shared" ref="F271:F276" si="13">HYPERLINK("https://muckrack.com/doug-roberson")</f>
        <v>https://muckrack.com/doug-roberson</v>
      </c>
      <c r="G271" s="2">
        <v>16740</v>
      </c>
      <c r="H271" s="2" t="s">
        <v>1913</v>
      </c>
      <c r="I271" s="2" t="s">
        <v>1914</v>
      </c>
      <c r="J271" s="2" t="s">
        <v>1915</v>
      </c>
      <c r="K271" s="2" t="s">
        <v>30</v>
      </c>
      <c r="L271" s="2" t="s">
        <v>2687</v>
      </c>
      <c r="M271" s="5">
        <v>45491.618854166663</v>
      </c>
      <c r="N271" s="2" t="str">
        <f>HYPERLINK("http://twitter.com/DougRobersonAJC/status/1814010034030104913")</f>
        <v>http://twitter.com/DougRobersonAJC/status/1814010034030104913</v>
      </c>
      <c r="O271" s="2" t="str">
        <f>HYPERLINK("https://www.ajc.com/sports/atlanta-united/mls-announces-rules-changes-effective-immediately/EIHN6DPFMVALNEU3BVJ77FIGZI/")</f>
        <v>https://www.ajc.com/sports/atlanta-united/mls-announces-rules-changes-effective-immediately/EIHN6DPFMVALNEU3BVJ77FIGZI/</v>
      </c>
    </row>
    <row r="272" spans="1:15" ht="66" x14ac:dyDescent="0.3">
      <c r="A272" s="2" t="s">
        <v>29</v>
      </c>
      <c r="B272" s="2" t="s">
        <v>1910</v>
      </c>
      <c r="C272" s="2" t="s">
        <v>1911</v>
      </c>
      <c r="D272" s="2" t="s">
        <v>1912</v>
      </c>
      <c r="E272" s="2" t="str">
        <f t="shared" si="12"/>
        <v>http://twitter.com/DougRobersonAJC</v>
      </c>
      <c r="F272" s="2" t="str">
        <f t="shared" si="13"/>
        <v>https://muckrack.com/doug-roberson</v>
      </c>
      <c r="G272" s="2">
        <v>16740</v>
      </c>
      <c r="H272" s="2" t="s">
        <v>1913</v>
      </c>
      <c r="I272" s="2" t="s">
        <v>1914</v>
      </c>
      <c r="J272" s="2" t="s">
        <v>1915</v>
      </c>
      <c r="K272" s="2" t="s">
        <v>30</v>
      </c>
      <c r="L272" s="2" t="s">
        <v>2688</v>
      </c>
      <c r="M272" s="5">
        <v>45491.457881944443</v>
      </c>
      <c r="N272" s="2" t="str">
        <f>HYPERLINK("http://twitter.com/DougRobersonAJC/status/1813951701419688177")</f>
        <v>http://twitter.com/DougRobersonAJC/status/1813951701419688177</v>
      </c>
      <c r="O272" s="2" t="str">
        <f>HYPERLINK("https://www.ajc.com/sports/atlanta-united/new-mistakes-old-mistakes-haunt-atlanta-united/WKDRBYIQARD2ZPB2Q3NA6FAD6E/")</f>
        <v>https://www.ajc.com/sports/atlanta-united/new-mistakes-old-mistakes-haunt-atlanta-united/WKDRBYIQARD2ZPB2Q3NA6FAD6E/</v>
      </c>
    </row>
    <row r="273" spans="1:15" ht="66" x14ac:dyDescent="0.3">
      <c r="A273" s="2" t="s">
        <v>29</v>
      </c>
      <c r="B273" s="2" t="s">
        <v>1910</v>
      </c>
      <c r="C273" s="2" t="s">
        <v>1911</v>
      </c>
      <c r="D273" s="2" t="s">
        <v>1912</v>
      </c>
      <c r="E273" s="2" t="str">
        <f t="shared" si="12"/>
        <v>http://twitter.com/DougRobersonAJC</v>
      </c>
      <c r="F273" s="2" t="str">
        <f t="shared" si="13"/>
        <v>https://muckrack.com/doug-roberson</v>
      </c>
      <c r="G273" s="2">
        <v>16740</v>
      </c>
      <c r="H273" s="2" t="s">
        <v>1913</v>
      </c>
      <c r="I273" s="2" t="s">
        <v>1914</v>
      </c>
      <c r="J273" s="2" t="s">
        <v>1915</v>
      </c>
      <c r="K273" s="2" t="s">
        <v>30</v>
      </c>
      <c r="L273" s="2" t="s">
        <v>2689</v>
      </c>
      <c r="M273" s="5">
        <v>45490.913437499999</v>
      </c>
      <c r="N273" s="2" t="str">
        <f>HYPERLINK("http://twitter.com/DougRobersonAJC/status/1813754398897762531")</f>
        <v>http://twitter.com/DougRobersonAJC/status/1813754398897762531</v>
      </c>
      <c r="O273" s="2" t="str">
        <f>HYPERLINK("https://www.ajc.com/sports/atlanta-united/atlanta-united-wastes-chance-to-defeat-nycfc-settles-for-draw/EUYVGHQYZVAWBEZOTYTCXPSI4M/")</f>
        <v>https://www.ajc.com/sports/atlanta-united/atlanta-united-wastes-chance-to-defeat-nycfc-settles-for-draw/EUYVGHQYZVAWBEZOTYTCXPSI4M/</v>
      </c>
    </row>
    <row r="274" spans="1:15" ht="66" x14ac:dyDescent="0.3">
      <c r="A274" s="2" t="s">
        <v>29</v>
      </c>
      <c r="B274" s="2" t="s">
        <v>1910</v>
      </c>
      <c r="C274" s="2" t="s">
        <v>1911</v>
      </c>
      <c r="D274" s="2" t="s">
        <v>1912</v>
      </c>
      <c r="E274" s="2" t="str">
        <f t="shared" si="12"/>
        <v>http://twitter.com/DougRobersonAJC</v>
      </c>
      <c r="F274" s="2" t="str">
        <f t="shared" si="13"/>
        <v>https://muckrack.com/doug-roberson</v>
      </c>
      <c r="G274" s="2">
        <v>16740</v>
      </c>
      <c r="H274" s="2" t="s">
        <v>1913</v>
      </c>
      <c r="I274" s="2" t="s">
        <v>1914</v>
      </c>
      <c r="J274" s="2" t="s">
        <v>1915</v>
      </c>
      <c r="K274" s="2" t="s">
        <v>30</v>
      </c>
      <c r="L274" s="2" t="s">
        <v>2690</v>
      </c>
      <c r="M274" s="5">
        <v>45490.950578703712</v>
      </c>
      <c r="N274" s="2" t="str">
        <f>HYPERLINK("http://twitter.com/DougRobersonAJC/status/1813767857664131550")</f>
        <v>http://twitter.com/DougRobersonAJC/status/1813767857664131550</v>
      </c>
      <c r="O274" s="2" t="str">
        <f>HYPERLINK("https://www.ajc.com/sports/atlanta-united/atlanta-united-wastes-chance-to-defeat-nycfc-settles-for-draw/EUYVGHQYZVAWBEZOTYTCXPSI4M/")</f>
        <v>https://www.ajc.com/sports/atlanta-united/atlanta-united-wastes-chance-to-defeat-nycfc-settles-for-draw/EUYVGHQYZVAWBEZOTYTCXPSI4M/</v>
      </c>
    </row>
    <row r="275" spans="1:15" ht="79.2" x14ac:dyDescent="0.3">
      <c r="A275" s="2" t="s">
        <v>29</v>
      </c>
      <c r="B275" s="2" t="s">
        <v>1910</v>
      </c>
      <c r="C275" s="2" t="s">
        <v>1911</v>
      </c>
      <c r="D275" s="2" t="s">
        <v>1912</v>
      </c>
      <c r="E275" s="2" t="str">
        <f t="shared" si="12"/>
        <v>http://twitter.com/DougRobersonAJC</v>
      </c>
      <c r="F275" s="2" t="str">
        <f t="shared" si="13"/>
        <v>https://muckrack.com/doug-roberson</v>
      </c>
      <c r="G275" s="2">
        <v>16740</v>
      </c>
      <c r="H275" s="2" t="s">
        <v>1913</v>
      </c>
      <c r="I275" s="2" t="s">
        <v>1914</v>
      </c>
      <c r="J275" s="2" t="s">
        <v>1915</v>
      </c>
      <c r="K275" s="2" t="s">
        <v>30</v>
      </c>
      <c r="L275" s="2" t="s">
        <v>2691</v>
      </c>
      <c r="M275" s="5">
        <v>45489.520370370366</v>
      </c>
      <c r="N275" s="2" t="str">
        <f>HYPERLINK("http://twitter.com/DougRobersonAJC/status/1813249567371952313")</f>
        <v>http://twitter.com/DougRobersonAJC/status/1813249567371952313</v>
      </c>
      <c r="O275" s="2" t="str">
        <f>HYPERLINK("https://www.ajc.com/sports/atlanta-united/southern-fried-soccer-atlanta-united-faces-nycfc-coming-off-loss-to-montreal/QCWVMQ4SEFGTJPVYJ5B5QZSAMA/")</f>
        <v>https://www.ajc.com/sports/atlanta-united/southern-fried-soccer-atlanta-united-faces-nycfc-coming-off-loss-to-montreal/QCWVMQ4SEFGTJPVYJ5B5QZSAMA/</v>
      </c>
    </row>
    <row r="276" spans="1:15" ht="66" x14ac:dyDescent="0.3">
      <c r="A276" s="2" t="s">
        <v>29</v>
      </c>
      <c r="B276" s="2" t="s">
        <v>1910</v>
      </c>
      <c r="C276" s="2" t="s">
        <v>1911</v>
      </c>
      <c r="D276" s="2" t="s">
        <v>1912</v>
      </c>
      <c r="E276" s="2" t="str">
        <f t="shared" si="12"/>
        <v>http://twitter.com/DougRobersonAJC</v>
      </c>
      <c r="F276" s="2" t="str">
        <f t="shared" si="13"/>
        <v>https://muckrack.com/doug-roberson</v>
      </c>
      <c r="G276" s="2">
        <v>16740</v>
      </c>
      <c r="H276" s="2" t="s">
        <v>1913</v>
      </c>
      <c r="I276" s="2" t="s">
        <v>1914</v>
      </c>
      <c r="J276" s="2" t="s">
        <v>1915</v>
      </c>
      <c r="K276" s="2" t="s">
        <v>30</v>
      </c>
      <c r="L276" s="2" t="s">
        <v>2692</v>
      </c>
      <c r="M276" s="5">
        <v>45489.500671296293</v>
      </c>
      <c r="N276" s="2" t="str">
        <f>HYPERLINK("http://twitter.com/DougRobersonAJC/status/1813242432135352777")</f>
        <v>http://twitter.com/DougRobersonAJC/status/1813242432135352777</v>
      </c>
      <c r="O276" s="2" t="str">
        <f>HYPERLINK("https://www.ajc.com/sports/atlanta-united/details-on-atlanta-uniteds-season-ticket-prices-revealed/FQZRT4IDYNAABPV72K2PJGJBW4/")</f>
        <v>https://www.ajc.com/sports/atlanta-united/details-on-atlanta-uniteds-season-ticket-prices-revealed/FQZRT4IDYNAABPV72K2PJGJBW4/</v>
      </c>
    </row>
    <row r="277" spans="1:15" ht="52.8" x14ac:dyDescent="0.3">
      <c r="A277" s="2" t="s">
        <v>2693</v>
      </c>
      <c r="B277" s="2" t="s">
        <v>2694</v>
      </c>
      <c r="C277" s="2" t="s">
        <v>2695</v>
      </c>
      <c r="D277" s="2" t="s">
        <v>2696</v>
      </c>
      <c r="E277" s="2" t="str">
        <f>HYPERLINK("http://twitter.com/andrew_wiebe")</f>
        <v>http://twitter.com/andrew_wiebe</v>
      </c>
      <c r="F277" s="2" t="str">
        <f>HYPERLINK("https://muckrack.com/andrew-wiebe")</f>
        <v>https://muckrack.com/andrew-wiebe</v>
      </c>
      <c r="G277" s="2">
        <v>54295</v>
      </c>
      <c r="H277" s="2"/>
      <c r="I277" s="2" t="s">
        <v>2697</v>
      </c>
      <c r="J277" s="2" t="s">
        <v>2698</v>
      </c>
      <c r="K277" s="2" t="s">
        <v>2699</v>
      </c>
      <c r="L277" s="2" t="s">
        <v>2700</v>
      </c>
      <c r="M277" s="5">
        <v>45489.892777777779</v>
      </c>
      <c r="N277" s="2" t="str">
        <f>HYPERLINK("http://twitter.com/andrew_wiebe/status/1813384524039889263")</f>
        <v>http://twitter.com/andrew_wiebe/status/1813384524039889263</v>
      </c>
      <c r="O277" s="2" t="str">
        <f>HYPERLINK("https://www.mlssoccer.com/news/stock-up-stock-down-portland-seattle-vancouver-approach-west-s-top-tier")</f>
        <v>https://www.mlssoccer.com/news/stock-up-stock-down-portland-seattle-vancouver-approach-west-s-top-tier</v>
      </c>
    </row>
    <row r="278" spans="1:15" ht="92.4" x14ac:dyDescent="0.3">
      <c r="A278" s="2" t="s">
        <v>272</v>
      </c>
      <c r="B278" s="2" t="s">
        <v>2068</v>
      </c>
      <c r="C278" s="2"/>
      <c r="D278" s="2" t="s">
        <v>2069</v>
      </c>
      <c r="E278" s="2" t="str">
        <f>HYPERLINK("http://twitter.com/jeffrueter")</f>
        <v>http://twitter.com/jeffrueter</v>
      </c>
      <c r="F278" s="2" t="str">
        <f>HYPERLINK("https://muckrack.com/jeffrueter")</f>
        <v>https://muckrack.com/jeffrueter</v>
      </c>
      <c r="G278" s="2">
        <v>16090</v>
      </c>
      <c r="H278" s="2" t="s">
        <v>2070</v>
      </c>
      <c r="I278" s="2" t="s">
        <v>2071</v>
      </c>
      <c r="J278" s="2" t="s">
        <v>2033</v>
      </c>
      <c r="K278" s="2" t="s">
        <v>1565</v>
      </c>
      <c r="L278" s="2" t="s">
        <v>2701</v>
      </c>
      <c r="M278" s="5">
        <v>45489.444293981483</v>
      </c>
      <c r="N278" s="2" t="str">
        <f>HYPERLINK("http://twitter.com/jeffrueter/status/1813221998660665800")</f>
        <v>http://twitter.com/jeffrueter/status/1813221998660665800</v>
      </c>
      <c r="O278" s="2" t="str">
        <f>HYPERLINK("https://www.nytimes.com/athletic/5634170/2024/07/16/usl-super-league-nwsl-roster-rules/")</f>
        <v>https://www.nytimes.com/athletic/5634170/2024/07/16/usl-super-league-nwsl-roster-rules/</v>
      </c>
    </row>
    <row r="279" spans="1:15" ht="66" x14ac:dyDescent="0.3">
      <c r="A279" s="2" t="s">
        <v>755</v>
      </c>
      <c r="B279" s="2" t="s">
        <v>2702</v>
      </c>
      <c r="C279" s="2" t="s">
        <v>2703</v>
      </c>
      <c r="D279" s="2" t="s">
        <v>2704</v>
      </c>
      <c r="E279" s="2" t="str">
        <f>HYPERLINK("http://twitter.com/nolanbianchi")</f>
        <v>http://twitter.com/nolanbianchi</v>
      </c>
      <c r="F279" s="2" t="str">
        <f>HYPERLINK("https://muckrack.com/nolan-bianchi")</f>
        <v>https://muckrack.com/nolan-bianchi</v>
      </c>
      <c r="G279" s="2">
        <v>11819</v>
      </c>
      <c r="H279" s="2"/>
      <c r="I279" s="2" t="s">
        <v>2705</v>
      </c>
      <c r="J279" s="2" t="s">
        <v>2706</v>
      </c>
      <c r="K279" s="2" t="s">
        <v>64</v>
      </c>
      <c r="L279" s="2" t="s">
        <v>2707</v>
      </c>
      <c r="M279" s="5">
        <v>45487.510844907411</v>
      </c>
      <c r="N279" s="2" t="str">
        <f>HYPERLINK("http://twitter.com/nolanbianchi/status/1812521342677164129")</f>
        <v>http://twitter.com/nolanbianchi/status/1812521342677164129</v>
      </c>
      <c r="O279" s="2" t="str">
        <f>HYPERLINK("https://www.detroitnews.com/story/sports/soccer/2024/07/13/colorado-storm-eliminate-detroit-city-fc-women-with-injury-time-goal/74330288007/")</f>
        <v>https://www.detroitnews.com/story/sports/soccer/2024/07/13/colorado-storm-eliminate-detroit-city-fc-women-with-injury-time-goal/74330288007/</v>
      </c>
    </row>
    <row r="280" spans="1:15" ht="66" x14ac:dyDescent="0.3">
      <c r="A280" s="2" t="s">
        <v>2708</v>
      </c>
      <c r="B280" s="2" t="s">
        <v>2709</v>
      </c>
      <c r="C280" s="2" t="s">
        <v>2710</v>
      </c>
      <c r="D280" s="2" t="s">
        <v>2711</v>
      </c>
      <c r="E280" s="2" t="str">
        <f>HYPERLINK("http://twitter.com/MearsDaniel")</f>
        <v>http://twitter.com/MearsDaniel</v>
      </c>
      <c r="F280" s="2" t="str">
        <f>HYPERLINK("https://muckrack.com/daniel-mears")</f>
        <v>https://muckrack.com/daniel-mears</v>
      </c>
      <c r="G280" s="2">
        <v>907</v>
      </c>
      <c r="H280" s="2" t="s">
        <v>2712</v>
      </c>
      <c r="I280" s="2" t="s">
        <v>2713</v>
      </c>
      <c r="J280" s="2" t="s">
        <v>1954</v>
      </c>
      <c r="K280" s="2" t="s">
        <v>64</v>
      </c>
      <c r="L280" s="2" t="s">
        <v>2714</v>
      </c>
      <c r="M280" s="5">
        <v>45488.509467592587</v>
      </c>
      <c r="N280" s="2" t="str">
        <f>HYPERLINK("http://twitter.com/MearsDaniel/status/1812883231722676472")</f>
        <v>http://twitter.com/MearsDaniel/status/1812883231722676472</v>
      </c>
      <c r="O280" s="2" t="str">
        <f>HYPERLINK("https://www.detroitnews.com/story/sports/soccer/2024/07/13/colorado-storm-eliminate-detroit-city-fc-women-with-injury-time-goal/74330288007/")</f>
        <v>https://www.detroitnews.com/story/sports/soccer/2024/07/13/colorado-storm-eliminate-detroit-city-fc-women-with-injury-time-goal/74330288007/</v>
      </c>
    </row>
    <row r="281" spans="1:15" ht="66" x14ac:dyDescent="0.3">
      <c r="A281" s="2" t="s">
        <v>29</v>
      </c>
      <c r="B281" s="2" t="s">
        <v>1910</v>
      </c>
      <c r="C281" s="2" t="s">
        <v>1911</v>
      </c>
      <c r="D281" s="2" t="s">
        <v>1912</v>
      </c>
      <c r="E281" s="2" t="str">
        <f>HYPERLINK("http://twitter.com/DougRobersonAJC")</f>
        <v>http://twitter.com/DougRobersonAJC</v>
      </c>
      <c r="F281" s="2" t="str">
        <f>HYPERLINK("https://muckrack.com/doug-roberson")</f>
        <v>https://muckrack.com/doug-roberson</v>
      </c>
      <c r="G281" s="2">
        <v>16740</v>
      </c>
      <c r="H281" s="2" t="s">
        <v>1913</v>
      </c>
      <c r="I281" s="2" t="s">
        <v>1914</v>
      </c>
      <c r="J281" s="2" t="s">
        <v>1915</v>
      </c>
      <c r="K281" s="2" t="s">
        <v>30</v>
      </c>
      <c r="L281" s="2" t="s">
        <v>2715</v>
      </c>
      <c r="M281" s="5">
        <v>45486.913784722223</v>
      </c>
      <c r="N281" s="2" t="str">
        <f>HYPERLINK("http://twitter.com/DougRobersonAJC/status/1812304975088730453")</f>
        <v>http://twitter.com/DougRobersonAJC/status/1812304975088730453</v>
      </c>
      <c r="O281" s="2" t="str">
        <f>HYPERLINK("https://www.ajc.com/sports/atlanta-united/atlanta-united-has-zero-shots-on-goal-is-shut-out-in-montreal/NDD2O57F4VALHJZYEQHAPCMTCU/")</f>
        <v>https://www.ajc.com/sports/atlanta-united/atlanta-united-has-zero-shots-on-goal-is-shut-out-in-montreal/NDD2O57F4VALHJZYEQHAPCMTCU/</v>
      </c>
    </row>
    <row r="282" spans="1:15" ht="66" x14ac:dyDescent="0.3">
      <c r="A282" s="2" t="s">
        <v>29</v>
      </c>
      <c r="B282" s="2" t="s">
        <v>1910</v>
      </c>
      <c r="C282" s="2" t="s">
        <v>1911</v>
      </c>
      <c r="D282" s="2" t="s">
        <v>1912</v>
      </c>
      <c r="E282" s="2" t="str">
        <f>HYPERLINK("http://twitter.com/DougRobersonAJC")</f>
        <v>http://twitter.com/DougRobersonAJC</v>
      </c>
      <c r="F282" s="2" t="str">
        <f>HYPERLINK("https://muckrack.com/doug-roberson")</f>
        <v>https://muckrack.com/doug-roberson</v>
      </c>
      <c r="G282" s="2">
        <v>16740</v>
      </c>
      <c r="H282" s="2" t="s">
        <v>1913</v>
      </c>
      <c r="I282" s="2" t="s">
        <v>1914</v>
      </c>
      <c r="J282" s="2" t="s">
        <v>1915</v>
      </c>
      <c r="K282" s="2" t="s">
        <v>30</v>
      </c>
      <c r="L282" s="2" t="s">
        <v>2716</v>
      </c>
      <c r="M282" s="5">
        <v>45485.266018518523</v>
      </c>
      <c r="N282" s="2" t="str">
        <f>HYPERLINK("http://twitter.com/DougRobersonAJC/status/1811707842975481862")</f>
        <v>http://twitter.com/DougRobersonAJC/status/1811707842975481862</v>
      </c>
      <c r="O282" s="2" t="str">
        <f>HYPERLINK("https://www.ajc.com/sports/atlanta-united/atlanta-united-season-ticket-prices-will-go-up-for-2025-mls-season/GI2YKUC5IFCITJCL52UBFOLW2M/")</f>
        <v>https://www.ajc.com/sports/atlanta-united/atlanta-united-season-ticket-prices-will-go-up-for-2025-mls-season/GI2YKUC5IFCITJCL52UBFOLW2M/</v>
      </c>
    </row>
    <row r="283" spans="1:15" ht="66" x14ac:dyDescent="0.3">
      <c r="A283" s="2" t="s">
        <v>2717</v>
      </c>
      <c r="B283" s="2" t="s">
        <v>2718</v>
      </c>
      <c r="C283" s="2" t="s">
        <v>2719</v>
      </c>
      <c r="D283" s="2" t="s">
        <v>2720</v>
      </c>
      <c r="E283" s="2" t="str">
        <f>HYPERLINK("http://twitter.com/jisaacraymond")</f>
        <v>http://twitter.com/jisaacraymond</v>
      </c>
      <c r="F283" s="2" t="str">
        <f>HYPERLINK("https://muckrack.com/sjb_productions")</f>
        <v>https://muckrack.com/sjb_productions</v>
      </c>
      <c r="G283" s="2">
        <v>1607</v>
      </c>
      <c r="H283" s="2" t="s">
        <v>1913</v>
      </c>
      <c r="I283" s="2" t="s">
        <v>2721</v>
      </c>
      <c r="J283" s="2" t="s">
        <v>2722</v>
      </c>
      <c r="K283" s="2" t="s">
        <v>2723</v>
      </c>
      <c r="L283" s="2" t="s">
        <v>2724</v>
      </c>
      <c r="M283" s="5">
        <v>45485.336099537039</v>
      </c>
      <c r="N283" s="2" t="str">
        <f>HYPERLINK("http://twitter.com/jisaacraymond/status/1811733241251934500")</f>
        <v>http://twitter.com/jisaacraymond/status/1811733241251934500</v>
      </c>
      <c r="O283" s="2" t="str">
        <f>HYPERLINK("https://www.ajc.com/sports/atlanta-united/atlanta-united-season-ticket-prices-will-go-up-for-2025-mls-season/GI2YKUC5IFCITJCL52UBFOLW2M/")</f>
        <v>https://www.ajc.com/sports/atlanta-united/atlanta-united-season-ticket-prices-will-go-up-for-2025-mls-season/GI2YKUC5IFCITJCL52UBFOLW2M/</v>
      </c>
    </row>
    <row r="284" spans="1:15" ht="66" x14ac:dyDescent="0.3">
      <c r="A284" s="2" t="s">
        <v>2725</v>
      </c>
      <c r="B284" s="2" t="s">
        <v>2289</v>
      </c>
      <c r="C284" s="2" t="s">
        <v>2726</v>
      </c>
      <c r="D284" s="2" t="s">
        <v>2727</v>
      </c>
      <c r="E284" s="2" t="str">
        <f>HYPERLINK("http://twitter.com/daveschechter")</f>
        <v>http://twitter.com/daveschechter</v>
      </c>
      <c r="F284" s="2" t="str">
        <f>HYPERLINK("https://muckrack.com/daveschechter")</f>
        <v>https://muckrack.com/daveschechter</v>
      </c>
      <c r="G284" s="2">
        <v>890</v>
      </c>
      <c r="H284" s="2" t="s">
        <v>2728</v>
      </c>
      <c r="I284" s="2" t="s">
        <v>2729</v>
      </c>
      <c r="J284" s="2" t="s">
        <v>2722</v>
      </c>
      <c r="K284" s="2" t="s">
        <v>2034</v>
      </c>
      <c r="L284" s="2" t="s">
        <v>2730</v>
      </c>
      <c r="M284" s="5">
        <v>45485.636331018519</v>
      </c>
      <c r="N284" s="2" t="str">
        <f>HYPERLINK("http://twitter.com/daveschechter/status/1811842041518981405")</f>
        <v>http://twitter.com/daveschechter/status/1811842041518981405</v>
      </c>
      <c r="O284" s="2" t="str">
        <f>HYPERLINK("https://www.ajc.com/sports/atlanta-united/atlanta-united-season-ticket-prices-will-go-up-for-2025-mls-season/GI2YKUC5IFCITJCL52UBFOLW2M/")</f>
        <v>https://www.ajc.com/sports/atlanta-united/atlanta-united-season-ticket-prices-will-go-up-for-2025-mls-season/GI2YKUC5IFCITJCL52UBFOLW2M/</v>
      </c>
    </row>
    <row r="285" spans="1:15" ht="52.8" x14ac:dyDescent="0.3">
      <c r="A285" s="2" t="s">
        <v>803</v>
      </c>
      <c r="B285" s="2" t="s">
        <v>2311</v>
      </c>
      <c r="C285" s="2" t="s">
        <v>2731</v>
      </c>
      <c r="D285" s="2" t="s">
        <v>2732</v>
      </c>
      <c r="E285" s="2" t="str">
        <f>HYPERLINK("http://twitter.com/DennisPope")</f>
        <v>http://twitter.com/DennisPope</v>
      </c>
      <c r="F285" s="2" t="str">
        <f>HYPERLINK("https://muckrack.com/dennis-pope")</f>
        <v>https://muckrack.com/dennis-pope</v>
      </c>
      <c r="G285" s="2">
        <v>1933</v>
      </c>
      <c r="H285" s="2" t="s">
        <v>2733</v>
      </c>
      <c r="I285" s="2" t="s">
        <v>2734</v>
      </c>
      <c r="J285" s="2"/>
      <c r="K285" s="2" t="s">
        <v>2735</v>
      </c>
      <c r="L285" s="2" t="s">
        <v>2736</v>
      </c>
      <c r="M285" s="5">
        <v>45485.563020833331</v>
      </c>
      <c r="N285" s="2" t="str">
        <f>HYPERLINK("http://twitter.com/DennisPope/status/1811815472633159957")</f>
        <v>http://twitter.com/DennisPope/status/1811815472633159957</v>
      </c>
      <c r="O285" s="2" t="str">
        <f>HYPERLINK("https://www.ussoccer.com/stories/2024/07/lafc-and-admiral-cherundolo-endeavor-toward-us-open-cup-lift-off")</f>
        <v>https://www.ussoccer.com/stories/2024/07/lafc-and-admiral-cherundolo-endeavor-toward-us-open-cup-lift-off</v>
      </c>
    </row>
    <row r="286" spans="1:15" ht="145.19999999999999" x14ac:dyDescent="0.3">
      <c r="A286" s="2" t="s">
        <v>2226</v>
      </c>
      <c r="B286" s="2" t="s">
        <v>2227</v>
      </c>
      <c r="C286" s="2" t="s">
        <v>2228</v>
      </c>
      <c r="D286" s="2" t="s">
        <v>2229</v>
      </c>
      <c r="E286" s="2" t="str">
        <f>HYPERLINK("http://twitter.com/ryanmetivier")</f>
        <v>http://twitter.com/ryanmetivier</v>
      </c>
      <c r="F286" s="2" t="str">
        <f>HYPERLINK("https://muckrack.com/ryan-metivier")</f>
        <v>https://muckrack.com/ryan-metivier</v>
      </c>
      <c r="G286" s="2">
        <v>532</v>
      </c>
      <c r="H286" s="2" t="s">
        <v>2230</v>
      </c>
      <c r="I286" s="2" t="s">
        <v>2231</v>
      </c>
      <c r="J286" s="2" t="s">
        <v>2033</v>
      </c>
      <c r="K286" s="2" t="s">
        <v>2232</v>
      </c>
      <c r="L286" s="2" t="s">
        <v>2737</v>
      </c>
      <c r="M286" s="5">
        <v>45485.504224537042</v>
      </c>
      <c r="N286" s="2" t="str">
        <f>HYPERLINK("http://twitter.com/ryanmetivier/status/1811794167565033958")</f>
        <v>http://twitter.com/ryanmetivier/status/1811794167565033958</v>
      </c>
      <c r="O286" s="2" t="str">
        <f>HYPERLINK("https://shredthespread.com/mls-picks-parlays-mls-predictions-matchday-26/")</f>
        <v>https://shredthespread.com/mls-picks-parlays-mls-predictions-matchday-26/</v>
      </c>
    </row>
    <row r="287" spans="1:15" ht="52.8" x14ac:dyDescent="0.3">
      <c r="A287" s="2" t="s">
        <v>755</v>
      </c>
      <c r="B287" s="2" t="s">
        <v>2702</v>
      </c>
      <c r="C287" s="2" t="s">
        <v>2703</v>
      </c>
      <c r="D287" s="2" t="s">
        <v>2704</v>
      </c>
      <c r="E287" s="2" t="str">
        <f>HYPERLINK("http://twitter.com/nolanbianchi")</f>
        <v>http://twitter.com/nolanbianchi</v>
      </c>
      <c r="F287" s="2" t="str">
        <f>HYPERLINK("https://muckrack.com/nolan-bianchi")</f>
        <v>https://muckrack.com/nolan-bianchi</v>
      </c>
      <c r="G287" s="2">
        <v>11819</v>
      </c>
      <c r="H287" s="2"/>
      <c r="I287" s="2" t="s">
        <v>2705</v>
      </c>
      <c r="J287" s="2" t="s">
        <v>2706</v>
      </c>
      <c r="K287" s="2" t="s">
        <v>64</v>
      </c>
      <c r="L287" s="2" t="s">
        <v>2738</v>
      </c>
      <c r="M287" s="5">
        <v>45484.943032407413</v>
      </c>
      <c r="N287" s="2" t="str">
        <f>HYPERLINK("http://twitter.com/nolanbianchi/status/1811590796769976539")</f>
        <v>http://twitter.com/nolanbianchi/status/1811590796769976539</v>
      </c>
      <c r="O287" s="2" t="str">
        <f>HYPERLINK("https://www.detroitnews.com/story/sports/soccer/2024/07/11/w-league-detroit-city-fc-one-win-away-from-reaching-national-final/74371791007/")</f>
        <v>https://www.detroitnews.com/story/sports/soccer/2024/07/11/w-league-detroit-city-fc-one-win-away-from-reaching-national-final/74371791007/</v>
      </c>
    </row>
    <row r="288" spans="1:15" ht="66" x14ac:dyDescent="0.3">
      <c r="A288" s="2" t="s">
        <v>2502</v>
      </c>
      <c r="B288" s="2" t="s">
        <v>2503</v>
      </c>
      <c r="C288" s="2"/>
      <c r="D288" s="2" t="s">
        <v>2504</v>
      </c>
      <c r="E288" s="2" t="str">
        <f>HYPERLINK("http://twitter.com/zachirwin")</f>
        <v>http://twitter.com/zachirwin</v>
      </c>
      <c r="F288" s="2" t="str">
        <f>HYPERLINK("https://muckrack.com/zach-irwin")</f>
        <v>https://muckrack.com/zach-irwin</v>
      </c>
      <c r="G288" s="2">
        <v>1417</v>
      </c>
      <c r="H288" s="2" t="s">
        <v>2505</v>
      </c>
      <c r="I288" s="2" t="s">
        <v>2506</v>
      </c>
      <c r="J288" s="2" t="s">
        <v>1954</v>
      </c>
      <c r="K288" s="2" t="s">
        <v>2507</v>
      </c>
      <c r="L288" s="2" t="s">
        <v>2739</v>
      </c>
      <c r="M288" s="5">
        <v>45484.735185185193</v>
      </c>
      <c r="N288" s="2" t="str">
        <f>HYPERLINK("http://twitter.com/zachirwin/status/1811515474494259553")</f>
        <v>http://twitter.com/zachirwin/status/1811515474494259553</v>
      </c>
      <c r="O288" s="2" t="str">
        <f>HYPERLINK("https://www.ajc.com/sports/atlanta-united/southern-fried-soccer-atlanta-uniteds-busy-summer-getting-busier/S2TILE3FZJEFDEJRDLXYZXQYBY/")</f>
        <v>https://www.ajc.com/sports/atlanta-united/southern-fried-soccer-atlanta-uniteds-busy-summer-getting-busier/S2TILE3FZJEFDEJRDLXYZXQYBY/</v>
      </c>
    </row>
    <row r="289" spans="1:15" ht="66" x14ac:dyDescent="0.3">
      <c r="A289" s="2" t="s">
        <v>29</v>
      </c>
      <c r="B289" s="2" t="s">
        <v>1910</v>
      </c>
      <c r="C289" s="2" t="s">
        <v>1911</v>
      </c>
      <c r="D289" s="2" t="s">
        <v>1912</v>
      </c>
      <c r="E289" s="2" t="str">
        <f>HYPERLINK("http://twitter.com/DougRobersonAJC")</f>
        <v>http://twitter.com/DougRobersonAJC</v>
      </c>
      <c r="F289" s="2" t="str">
        <f>HYPERLINK("https://muckrack.com/doug-roberson")</f>
        <v>https://muckrack.com/doug-roberson</v>
      </c>
      <c r="G289" s="2">
        <v>16740</v>
      </c>
      <c r="H289" s="2" t="s">
        <v>1913</v>
      </c>
      <c r="I289" s="2" t="s">
        <v>1914</v>
      </c>
      <c r="J289" s="2" t="s">
        <v>1915</v>
      </c>
      <c r="K289" s="2" t="s">
        <v>30</v>
      </c>
      <c r="L289" s="2" t="s">
        <v>2740</v>
      </c>
      <c r="M289" s="5">
        <v>45484.735648148147</v>
      </c>
      <c r="N289" s="2" t="str">
        <f>HYPERLINK("http://twitter.com/DougRobersonAJC/status/1811515642543014398")</f>
        <v>http://twitter.com/DougRobersonAJC/status/1811515642543014398</v>
      </c>
      <c r="O289" s="2" t="str">
        <f>HYPERLINK("https://www.ajc.com/sports/atlanta-united/southern-fried-soccer-atlanta-uniteds-busy-summer-getting-busier/S2TILE3FZJEFDEJRDLXYZXQYBY/")</f>
        <v>https://www.ajc.com/sports/atlanta-united/southern-fried-soccer-atlanta-uniteds-busy-summer-getting-busier/S2TILE3FZJEFDEJRDLXYZXQYBY/</v>
      </c>
    </row>
    <row r="290" spans="1:15" ht="66" x14ac:dyDescent="0.3">
      <c r="A290" s="2" t="s">
        <v>29</v>
      </c>
      <c r="B290" s="2" t="s">
        <v>1910</v>
      </c>
      <c r="C290" s="2" t="s">
        <v>1911</v>
      </c>
      <c r="D290" s="2" t="s">
        <v>1912</v>
      </c>
      <c r="E290" s="2" t="str">
        <f>HYPERLINK("http://twitter.com/DougRobersonAJC")</f>
        <v>http://twitter.com/DougRobersonAJC</v>
      </c>
      <c r="F290" s="2" t="str">
        <f>HYPERLINK("https://muckrack.com/doug-roberson")</f>
        <v>https://muckrack.com/doug-roberson</v>
      </c>
      <c r="G290" s="2">
        <v>16740</v>
      </c>
      <c r="H290" s="2" t="s">
        <v>1913</v>
      </c>
      <c r="I290" s="2" t="s">
        <v>1914</v>
      </c>
      <c r="J290" s="2" t="s">
        <v>1915</v>
      </c>
      <c r="K290" s="2" t="s">
        <v>30</v>
      </c>
      <c r="L290" s="2" t="s">
        <v>2741</v>
      </c>
      <c r="M290" s="5">
        <v>45484.644814814812</v>
      </c>
      <c r="N290" s="2" t="str">
        <f>HYPERLINK("http://twitter.com/DougRobersonAJC/status/1811482725544583174")</f>
        <v>http://twitter.com/DougRobersonAJC/status/1811482725544583174</v>
      </c>
      <c r="O290" s="2" t="str">
        <f>HYPERLINK("https://www.ajc.com/sports/atlanta-united/garth-lagerwey-lays-out-plan-for-atlanta-uniteds-next-2-designated-players/LB75Z5KSWRBMFAH2Y7I56MSO4U/")</f>
        <v>https://www.ajc.com/sports/atlanta-united/garth-lagerwey-lays-out-plan-for-atlanta-uniteds-next-2-designated-players/LB75Z5KSWRBMFAH2Y7I56MSO4U/</v>
      </c>
    </row>
    <row r="291" spans="1:15" ht="66" x14ac:dyDescent="0.3">
      <c r="A291" s="2" t="s">
        <v>2245</v>
      </c>
      <c r="B291" s="2" t="s">
        <v>2246</v>
      </c>
      <c r="C291" s="2" t="s">
        <v>2247</v>
      </c>
      <c r="D291" s="2" t="s">
        <v>2248</v>
      </c>
      <c r="E291" s="2" t="str">
        <f>HYPERLINK("http://twitter.com/thegoalkeeper")</f>
        <v>http://twitter.com/thegoalkeeper</v>
      </c>
      <c r="F291" s="2" t="str">
        <f>HYPERLINK("https://muckrack.com/jonathan-tannenwald")</f>
        <v>https://muckrack.com/jonathan-tannenwald</v>
      </c>
      <c r="G291" s="2">
        <v>29037</v>
      </c>
      <c r="H291" s="2" t="s">
        <v>2249</v>
      </c>
      <c r="I291" s="2" t="s">
        <v>2250</v>
      </c>
      <c r="J291" s="2" t="s">
        <v>2251</v>
      </c>
      <c r="K291" s="2" t="s">
        <v>2252</v>
      </c>
      <c r="L291" s="2" t="s">
        <v>2742</v>
      </c>
      <c r="M291" s="5">
        <v>45484.682233796288</v>
      </c>
      <c r="N291" s="2" t="str">
        <f>HYPERLINK("http://twitter.com/thegoalkeeper/status/1811496288849899590")</f>
        <v>http://twitter.com/thegoalkeeper/status/1811496288849899590</v>
      </c>
      <c r="O291" s="2" t="str">
        <f>HYPERLINK("https://www.ajc.com/sports/atlanta-united/garth-lagerwey-lays-out-plan-for-atlanta-uniteds-next-2-designated-players/LB75Z5KSWRBMFAH2Y7I56MSO4U/")</f>
        <v>https://www.ajc.com/sports/atlanta-united/garth-lagerwey-lays-out-plan-for-atlanta-uniteds-next-2-designated-players/LB75Z5KSWRBMFAH2Y7I56MSO4U/</v>
      </c>
    </row>
    <row r="292" spans="1:15" ht="66" x14ac:dyDescent="0.3">
      <c r="A292" s="2" t="s">
        <v>29</v>
      </c>
      <c r="B292" s="2" t="s">
        <v>1910</v>
      </c>
      <c r="C292" s="2" t="s">
        <v>1911</v>
      </c>
      <c r="D292" s="2" t="s">
        <v>1912</v>
      </c>
      <c r="E292" s="2" t="str">
        <f>HYPERLINK("http://twitter.com/DougRobersonAJC")</f>
        <v>http://twitter.com/DougRobersonAJC</v>
      </c>
      <c r="F292" s="2" t="str">
        <f>HYPERLINK("https://muckrack.com/doug-roberson")</f>
        <v>https://muckrack.com/doug-roberson</v>
      </c>
      <c r="G292" s="2">
        <v>16740</v>
      </c>
      <c r="H292" s="2" t="s">
        <v>1913</v>
      </c>
      <c r="I292" s="2" t="s">
        <v>1914</v>
      </c>
      <c r="J292" s="2" t="s">
        <v>1915</v>
      </c>
      <c r="K292" s="2" t="s">
        <v>30</v>
      </c>
      <c r="L292" s="2" t="s">
        <v>2743</v>
      </c>
      <c r="M292" s="5">
        <v>45484.514155092591</v>
      </c>
      <c r="N292" s="2" t="str">
        <f>HYPERLINK("http://twitter.com/DougRobersonAJC/status/1811435375635923445")</f>
        <v>http://twitter.com/DougRobersonAJC/status/1811435375635923445</v>
      </c>
      <c r="O292" s="2" t="str">
        <f>HYPERLINK("https://www.ajc.com/sports/atlanta-united/pedro-amador-trains-with-atlanta-united-for-first-time/6GLMGIPZ65BPDEXOTQ2DR5OBCI/")</f>
        <v>https://www.ajc.com/sports/atlanta-united/pedro-amador-trains-with-atlanta-united-for-first-time/6GLMGIPZ65BPDEXOTQ2DR5OBCI/</v>
      </c>
    </row>
    <row r="293" spans="1:15" ht="39.6" x14ac:dyDescent="0.3">
      <c r="A293" s="2" t="s">
        <v>2385</v>
      </c>
      <c r="B293" s="2" t="s">
        <v>2178</v>
      </c>
      <c r="C293" s="2" t="s">
        <v>2386</v>
      </c>
      <c r="D293" s="2" t="s">
        <v>2387</v>
      </c>
      <c r="E293" s="2" t="str">
        <f>HYPERLINK("http://twitter.com/jeff_rosen88")</f>
        <v>http://twitter.com/jeff_rosen88</v>
      </c>
      <c r="F293" s="2" t="str">
        <f>HYPERLINK("https://muckrack.com/jeff_rosen88")</f>
        <v>https://muckrack.com/jeff_rosen88</v>
      </c>
      <c r="G293" s="2">
        <v>16527</v>
      </c>
      <c r="H293" s="2" t="s">
        <v>2375</v>
      </c>
      <c r="I293" s="2" t="s">
        <v>2388</v>
      </c>
      <c r="J293" s="2" t="s">
        <v>2000</v>
      </c>
      <c r="K293" s="2" t="s">
        <v>434</v>
      </c>
      <c r="L293" s="2" t="s">
        <v>2744</v>
      </c>
      <c r="M293" s="5">
        <v>45484.071018518523</v>
      </c>
      <c r="N293" s="2" t="str">
        <f>HYPERLINK("http://twitter.com/jeff_rosen88/status/1811274788934967419")</f>
        <v>http://twitter.com/jeff_rosen88/status/1811274788934967419</v>
      </c>
      <c r="O293" s="2" t="str">
        <f>HYPERLINK("https://www.kansascity.com/sports/soccer/sporting-kc/article289923279.html")</f>
        <v>https://www.kansascity.com/sports/soccer/sporting-kc/article289923279.html</v>
      </c>
    </row>
    <row r="294" spans="1:15" ht="132" x14ac:dyDescent="0.3">
      <c r="A294" s="2" t="s">
        <v>474</v>
      </c>
      <c r="B294" s="2" t="s">
        <v>2311</v>
      </c>
      <c r="C294" s="2" t="s">
        <v>2312</v>
      </c>
      <c r="D294" s="2" t="s">
        <v>2313</v>
      </c>
      <c r="E294" s="2" t="str">
        <f>HYPERLINK("http://twitter.com/sperrydaniel94")</f>
        <v>http://twitter.com/sperrydaniel94</v>
      </c>
      <c r="F294" s="2" t="str">
        <f>HYPERLINK("https://muckrack.com/daniel-sperry-1")</f>
        <v>https://muckrack.com/daniel-sperry-1</v>
      </c>
      <c r="G294" s="2">
        <v>4581</v>
      </c>
      <c r="H294" s="2" t="s">
        <v>2314</v>
      </c>
      <c r="I294" s="2" t="s">
        <v>2315</v>
      </c>
      <c r="J294" s="2" t="s">
        <v>1954</v>
      </c>
      <c r="K294" s="2" t="s">
        <v>434</v>
      </c>
      <c r="L294" s="2" t="s">
        <v>2745</v>
      </c>
      <c r="M294" s="5">
        <v>45484.477164351847</v>
      </c>
      <c r="N294" s="2" t="str">
        <f>HYPERLINK("http://twitter.com/sperrydaniel94/status/1811421972053827719")</f>
        <v>http://twitter.com/sperrydaniel94/status/1811421972053827719</v>
      </c>
      <c r="O294" s="2" t="str">
        <f>HYPERLINK("https://www.kansascity.com/sports/soccer/sporting-kc/article289923279.html")</f>
        <v>https://www.kansascity.com/sports/soccer/sporting-kc/article289923279.html</v>
      </c>
    </row>
    <row r="295" spans="1:15" ht="79.2" x14ac:dyDescent="0.3">
      <c r="A295" s="2" t="s">
        <v>809</v>
      </c>
      <c r="B295" s="2" t="s">
        <v>2746</v>
      </c>
      <c r="C295" s="2"/>
      <c r="D295" s="2" t="s">
        <v>2747</v>
      </c>
      <c r="E295" s="2" t="str">
        <f>HYPERLINK("http://twitter.com/TeddyBahu")</f>
        <v>http://twitter.com/TeddyBahu</v>
      </c>
      <c r="F295" s="2" t="str">
        <f>HYPERLINK("https://muckrack.com/teddy-bahu")</f>
        <v>https://muckrack.com/teddy-bahu</v>
      </c>
      <c r="G295" s="2">
        <v>2293</v>
      </c>
      <c r="H295" s="2" t="s">
        <v>2748</v>
      </c>
      <c r="I295" s="2" t="s">
        <v>2749</v>
      </c>
      <c r="J295" s="2" t="s">
        <v>2033</v>
      </c>
      <c r="K295" s="2" t="s">
        <v>2750</v>
      </c>
      <c r="L295" s="2" t="s">
        <v>2751</v>
      </c>
      <c r="M295" s="5">
        <v>45483.880914351852</v>
      </c>
      <c r="N295" s="2" t="str">
        <f>HYPERLINK("http://twitter.com/TeddyBahu/status/1811205900184498202")</f>
        <v>http://twitter.com/TeddyBahu/status/1811205900184498202</v>
      </c>
      <c r="O295" s="2" t="str">
        <f>HYPERLINK("https://prepsoccer.com/2024/07/ecnl-championships-teddys-opening-day-standouts-part-2/")</f>
        <v>https://prepsoccer.com/2024/07/ecnl-championships-teddys-opening-day-standouts-part-2/</v>
      </c>
    </row>
    <row r="296" spans="1:15" ht="92.4" x14ac:dyDescent="0.3">
      <c r="A296" s="2" t="s">
        <v>809</v>
      </c>
      <c r="B296" s="2" t="s">
        <v>2746</v>
      </c>
      <c r="C296" s="2"/>
      <c r="D296" s="2" t="s">
        <v>2747</v>
      </c>
      <c r="E296" s="2" t="str">
        <f>HYPERLINK("http://twitter.com/TeddyBahu")</f>
        <v>http://twitter.com/TeddyBahu</v>
      </c>
      <c r="F296" s="2" t="str">
        <f>HYPERLINK("https://muckrack.com/teddy-bahu")</f>
        <v>https://muckrack.com/teddy-bahu</v>
      </c>
      <c r="G296" s="2">
        <v>2293</v>
      </c>
      <c r="H296" s="2" t="s">
        <v>2748</v>
      </c>
      <c r="I296" s="2" t="s">
        <v>2749</v>
      </c>
      <c r="J296" s="2" t="s">
        <v>2033</v>
      </c>
      <c r="K296" s="2" t="s">
        <v>2750</v>
      </c>
      <c r="L296" s="2" t="s">
        <v>2752</v>
      </c>
      <c r="M296" s="5">
        <v>45483.750243055547</v>
      </c>
      <c r="N296" s="2" t="str">
        <f>HYPERLINK("http://twitter.com/TeddyBahu/status/1811158545829970260")</f>
        <v>http://twitter.com/TeddyBahu/status/1811158545829970260</v>
      </c>
      <c r="O296" s="2" t="str">
        <f>HYPERLINK("https://prepsoccer.com/2024/07/ecnl-championships-teddys-opening-day-standouts-part-1/")</f>
        <v>https://prepsoccer.com/2024/07/ecnl-championships-teddys-opening-day-standouts-part-1/</v>
      </c>
    </row>
    <row r="297" spans="1:15" ht="79.2" x14ac:dyDescent="0.3">
      <c r="A297" s="2" t="s">
        <v>29</v>
      </c>
      <c r="B297" s="2" t="s">
        <v>1910</v>
      </c>
      <c r="C297" s="2" t="s">
        <v>1911</v>
      </c>
      <c r="D297" s="2" t="s">
        <v>1912</v>
      </c>
      <c r="E297" s="2" t="str">
        <f>HYPERLINK("http://twitter.com/DougRobersonAJC")</f>
        <v>http://twitter.com/DougRobersonAJC</v>
      </c>
      <c r="F297" s="2" t="str">
        <f>HYPERLINK("https://muckrack.com/doug-roberson")</f>
        <v>https://muckrack.com/doug-roberson</v>
      </c>
      <c r="G297" s="2">
        <v>16740</v>
      </c>
      <c r="H297" s="2" t="s">
        <v>1913</v>
      </c>
      <c r="I297" s="2" t="s">
        <v>1914</v>
      </c>
      <c r="J297" s="2" t="s">
        <v>1915</v>
      </c>
      <c r="K297" s="2" t="s">
        <v>30</v>
      </c>
      <c r="L297" s="2" t="s">
        <v>2753</v>
      </c>
      <c r="M297" s="5">
        <v>45483.498530092591</v>
      </c>
      <c r="N297" s="2" t="str">
        <f>HYPERLINK("http://twitter.com/DougRobersonAJC/status/1811067325690318926")</f>
        <v>http://twitter.com/DougRobersonAJC/status/1811067325690318926</v>
      </c>
      <c r="O297" s="2" t="str">
        <f>HYPERLINK("https://www.ajc.com/sports/atlanta-united/george-bello-caleb-wiley-create-paths-for-atlanta-uniteds-young-players/HQLMEVBGR5ENXJOKMLRKXO3ANE/")</f>
        <v>https://www.ajc.com/sports/atlanta-united/george-bello-caleb-wiley-create-paths-for-atlanta-uniteds-young-players/HQLMEVBGR5ENXJOKMLRKXO3ANE/</v>
      </c>
    </row>
    <row r="298" spans="1:15" ht="118.8" x14ac:dyDescent="0.3">
      <c r="A298" s="2" t="s">
        <v>2754</v>
      </c>
      <c r="B298" s="2" t="s">
        <v>2755</v>
      </c>
      <c r="C298" s="2" t="s">
        <v>2756</v>
      </c>
      <c r="D298" s="2" t="s">
        <v>2757</v>
      </c>
      <c r="E298" s="2" t="str">
        <f>HYPERLINK("http://twitter.com/SHWrites")</f>
        <v>http://twitter.com/SHWrites</v>
      </c>
      <c r="F298" s="2" t="str">
        <f>HYPERLINK("https://muckrack.com/sydney-hunte")</f>
        <v>https://muckrack.com/sydney-hunte</v>
      </c>
      <c r="G298" s="2">
        <v>1353</v>
      </c>
      <c r="H298" s="2" t="s">
        <v>2728</v>
      </c>
      <c r="I298" s="2" t="s">
        <v>2758</v>
      </c>
      <c r="J298" s="2" t="s">
        <v>2759</v>
      </c>
      <c r="K298" s="2" t="s">
        <v>2760</v>
      </c>
      <c r="L298" s="2" t="s">
        <v>2761</v>
      </c>
      <c r="M298" s="5">
        <v>45483.527337962973</v>
      </c>
      <c r="N298" s="2" t="str">
        <f>HYPERLINK("http://twitter.com/SHWrites/status/1811077765141049621")</f>
        <v>http://twitter.com/SHWrites/status/1811077765141049621</v>
      </c>
      <c r="O298" s="2" t="str">
        <f>HYPERLINK("https://scarvesandspikes.com/2024/07/10/caleb-wiley-atlanta-united-chelsea-transfer-olympics/")</f>
        <v>https://scarvesandspikes.com/2024/07/10/caleb-wiley-atlanta-united-chelsea-transfer-olympics/</v>
      </c>
    </row>
    <row r="299" spans="1:15" ht="52.8" x14ac:dyDescent="0.3">
      <c r="A299" s="2" t="s">
        <v>2550</v>
      </c>
      <c r="B299" s="2" t="s">
        <v>2544</v>
      </c>
      <c r="C299" s="2" t="s">
        <v>2551</v>
      </c>
      <c r="D299" s="2" t="s">
        <v>2552</v>
      </c>
      <c r="E299" s="2" t="str">
        <f>HYPERLINK("http://twitter.com/indystartony")</f>
        <v>http://twitter.com/indystartony</v>
      </c>
      <c r="F299" s="2" t="str">
        <f>HYPERLINK("https://muckrack.com/tony-cook")</f>
        <v>https://muckrack.com/tony-cook</v>
      </c>
      <c r="G299" s="2">
        <v>11239</v>
      </c>
      <c r="H299" s="2" t="s">
        <v>1972</v>
      </c>
      <c r="I299" s="2" t="s">
        <v>2553</v>
      </c>
      <c r="J299" s="2" t="s">
        <v>2554</v>
      </c>
      <c r="K299" s="2" t="s">
        <v>321</v>
      </c>
      <c r="L299" s="2" t="s">
        <v>2762</v>
      </c>
      <c r="M299" s="5">
        <v>45483.486400462964</v>
      </c>
      <c r="N299" s="2" t="str">
        <f>HYPERLINK("http://twitter.com/indystartony/status/1811062933662650627")</f>
        <v>http://twitter.com/indystartony/status/1811062933662650627</v>
      </c>
      <c r="O299" s="2" t="str">
        <f>HYPERLINK("https://www.indystar.com/story/sports/2024/07/10/indy-eleven-post-first-win-over-an-mls-opponent-in-u-s-open-cup/74350596007/")</f>
        <v>https://www.indystar.com/story/sports/2024/07/10/indy-eleven-post-first-win-over-an-mls-opponent-in-u-s-open-cup/74350596007/</v>
      </c>
    </row>
    <row r="300" spans="1:15" ht="66" x14ac:dyDescent="0.3">
      <c r="A300" s="2" t="s">
        <v>812</v>
      </c>
      <c r="B300" s="2" t="s">
        <v>2763</v>
      </c>
      <c r="C300" s="2" t="s">
        <v>2764</v>
      </c>
      <c r="D300" s="2" t="s">
        <v>2765</v>
      </c>
      <c r="E300" s="2" t="str">
        <f>HYPERLINK("http://twitter.com/Jon_LeGossip")</f>
        <v>http://twitter.com/Jon_LeGossip</v>
      </c>
      <c r="F300" s="2" t="str">
        <f>HYPERLINK("https://muckrack.com/jonathan-johnson-2")</f>
        <v>https://muckrack.com/jonathan-johnson-2</v>
      </c>
      <c r="G300" s="2">
        <v>41661</v>
      </c>
      <c r="H300" s="2" t="s">
        <v>2766</v>
      </c>
      <c r="I300" s="2" t="s">
        <v>2767</v>
      </c>
      <c r="J300" s="2" t="s">
        <v>1929</v>
      </c>
      <c r="K300" s="2" t="s">
        <v>2768</v>
      </c>
      <c r="L300" s="2" t="s">
        <v>2769</v>
      </c>
      <c r="M300" s="5">
        <v>45483.451990740738</v>
      </c>
      <c r="N300" s="2" t="str">
        <f>HYPERLINK("http://twitter.com/Jon_LeGossip/status/1811050463279653159")</f>
        <v>http://twitter.com/Jon_LeGossip/status/1811050463279653159</v>
      </c>
      <c r="O300" s="2" t="str">
        <f>HYPERLINK("https://www.cbssports.com/soccer/news/euro-2024-and-copa-america-power-on-towards-the-finals-as-england-and-uruguay-look-to-join-spain-and-argentina/")</f>
        <v>https://www.cbssports.com/soccer/news/euro-2024-and-copa-america-power-on-towards-the-finals-as-england-and-uruguay-look-to-join-spain-and-argentina/</v>
      </c>
    </row>
    <row r="301" spans="1:15" ht="52.8" x14ac:dyDescent="0.3">
      <c r="A301" s="2" t="s">
        <v>1307</v>
      </c>
      <c r="B301" s="2" t="s">
        <v>2770</v>
      </c>
      <c r="C301" s="2" t="s">
        <v>2771</v>
      </c>
      <c r="D301" s="2" t="s">
        <v>2772</v>
      </c>
      <c r="E301" s="2" t="str">
        <f>HYPERLINK("http://twitter.com/ChuckBoothSport")</f>
        <v>http://twitter.com/ChuckBoothSport</v>
      </c>
      <c r="F301" s="2" t="str">
        <f>HYPERLINK("https://muckrack.com/chuck-booth")</f>
        <v>https://muckrack.com/chuck-booth</v>
      </c>
      <c r="G301" s="2">
        <v>4380</v>
      </c>
      <c r="H301" s="2" t="s">
        <v>2773</v>
      </c>
      <c r="I301" s="2" t="s">
        <v>2774</v>
      </c>
      <c r="J301" s="2" t="s">
        <v>2775</v>
      </c>
      <c r="K301" s="2" t="s">
        <v>813</v>
      </c>
      <c r="L301" s="2" t="s">
        <v>2776</v>
      </c>
      <c r="M301" s="5">
        <v>45482.920891203707</v>
      </c>
      <c r="N301" s="2" t="str">
        <f>HYPERLINK("http://twitter.com/ChuckBoothSport/status/1810857999616954467")</f>
        <v>http://twitter.com/ChuckBoothSport/status/1810857999616954467</v>
      </c>
      <c r="O301" s="2" t="str">
        <f>HYPERLINK("https://www.cbssports.com/soccer/news/atlanta-united-shocked-in-u-s-open-cup-by-usl-side-indy-eleven-as-mls-team-falls-in-quarterfinals/")</f>
        <v>https://www.cbssports.com/soccer/news/atlanta-united-shocked-in-u-s-open-cup-by-usl-side-indy-eleven-as-mls-team-falls-in-quarterfinals/</v>
      </c>
    </row>
    <row r="302" spans="1:15" ht="79.2" x14ac:dyDescent="0.3">
      <c r="A302" s="2" t="s">
        <v>29</v>
      </c>
      <c r="B302" s="2" t="s">
        <v>1910</v>
      </c>
      <c r="C302" s="2" t="s">
        <v>1911</v>
      </c>
      <c r="D302" s="2" t="s">
        <v>1912</v>
      </c>
      <c r="E302" s="2" t="str">
        <f>HYPERLINK("http://twitter.com/DougRobersonAJC")</f>
        <v>http://twitter.com/DougRobersonAJC</v>
      </c>
      <c r="F302" s="2" t="str">
        <f>HYPERLINK("https://muckrack.com/doug-roberson")</f>
        <v>https://muckrack.com/doug-roberson</v>
      </c>
      <c r="G302" s="2">
        <v>16740</v>
      </c>
      <c r="H302" s="2" t="s">
        <v>1913</v>
      </c>
      <c r="I302" s="2" t="s">
        <v>1914</v>
      </c>
      <c r="J302" s="2" t="s">
        <v>1915</v>
      </c>
      <c r="K302" s="2" t="s">
        <v>30</v>
      </c>
      <c r="L302" s="2" t="s">
        <v>2777</v>
      </c>
      <c r="M302" s="5">
        <v>45482.818136574067</v>
      </c>
      <c r="N302" s="2" t="str">
        <f>HYPERLINK("http://twitter.com/DougRobersonAJC/status/1810820759608250601")</f>
        <v>http://twitter.com/DougRobersonAJC/status/1810820759608250601</v>
      </c>
      <c r="O302" s="2" t="str">
        <f>HYPERLINK("https://www.ajc.com/sports/atlanta-united/carlos-bocanegra-says-caleb-wileys-transfer-from-atlanta-united-to-chelsea-is-close-to-completion/V7XA46M3OBHQJKYTP7NDUJUPTU/")</f>
        <v>https://www.ajc.com/sports/atlanta-united/carlos-bocanegra-says-caleb-wileys-transfer-from-atlanta-united-to-chelsea-is-close-to-completion/V7XA46M3OBHQJKYTP7NDUJUPTU/</v>
      </c>
    </row>
    <row r="303" spans="1:15" ht="66" x14ac:dyDescent="0.3">
      <c r="A303" s="2" t="s">
        <v>263</v>
      </c>
      <c r="B303" s="2" t="s">
        <v>2221</v>
      </c>
      <c r="C303" s="2" t="s">
        <v>2222</v>
      </c>
      <c r="D303" s="2" t="s">
        <v>2223</v>
      </c>
      <c r="E303" s="2" t="str">
        <f>HYPERLINK("http://twitter.com/pkedit")</f>
        <v>http://twitter.com/pkedit</v>
      </c>
      <c r="F303" s="2" t="str">
        <f>HYPERLINK("https://muckrack.com/paul-kennedy")</f>
        <v>https://muckrack.com/paul-kennedy</v>
      </c>
      <c r="G303" s="2">
        <v>10080</v>
      </c>
      <c r="H303" s="2"/>
      <c r="I303" s="2" t="s">
        <v>2224</v>
      </c>
      <c r="J303" s="2" t="s">
        <v>1929</v>
      </c>
      <c r="K303" s="2" t="s">
        <v>264</v>
      </c>
      <c r="L303" s="2" t="s">
        <v>2778</v>
      </c>
      <c r="M303" s="5">
        <v>45482.488194444442</v>
      </c>
      <c r="N303" s="2" t="str">
        <f>HYPERLINK("http://twitter.com/pkedit/status/1810701192802054638")</f>
        <v>http://twitter.com/pkedit/status/1810701192802054638</v>
      </c>
      <c r="O303" s="2" t="str">
        <f>HYPERLINK("https://www.socceramerica.com/u-s-open-cup-three-teams-carry-usl-championship-hopes-in-quarterfinals/")</f>
        <v>https://www.socceramerica.com/u-s-open-cup-three-teams-carry-usl-championship-hopes-in-quarterfinals/</v>
      </c>
    </row>
    <row r="304" spans="1:15" ht="79.2" x14ac:dyDescent="0.3">
      <c r="A304" s="2" t="s">
        <v>29</v>
      </c>
      <c r="B304" s="2" t="s">
        <v>1910</v>
      </c>
      <c r="C304" s="2" t="s">
        <v>1911</v>
      </c>
      <c r="D304" s="2" t="s">
        <v>1912</v>
      </c>
      <c r="E304" s="2" t="str">
        <f>HYPERLINK("http://twitter.com/DougRobersonAJC")</f>
        <v>http://twitter.com/DougRobersonAJC</v>
      </c>
      <c r="F304" s="2" t="str">
        <f>HYPERLINK("https://muckrack.com/doug-roberson")</f>
        <v>https://muckrack.com/doug-roberson</v>
      </c>
      <c r="G304" s="2">
        <v>16740</v>
      </c>
      <c r="H304" s="2" t="s">
        <v>1913</v>
      </c>
      <c r="I304" s="2" t="s">
        <v>1914</v>
      </c>
      <c r="J304" s="2" t="s">
        <v>1915</v>
      </c>
      <c r="K304" s="2" t="s">
        <v>30</v>
      </c>
      <c r="L304" s="2" t="s">
        <v>2779</v>
      </c>
      <c r="M304" s="5">
        <v>45481.698379629634</v>
      </c>
      <c r="N304" s="2" t="str">
        <f>HYPERLINK("http://twitter.com/DougRobersonAJC/status/1810414976407929195")</f>
        <v>http://twitter.com/DougRobersonAJC/status/1810414976407929195</v>
      </c>
      <c r="O304" s="2" t="str">
        <f>HYPERLINK("https://www.ajc.com/sports/atlanta-united/southern-fried-soccer-atlanta-united-real-salt-lake-indy-eleven-and-the-olympics/3N4W3S2PKFBOHOTO6DXRENTZDY/")</f>
        <v>https://www.ajc.com/sports/atlanta-united/southern-fried-soccer-atlanta-united-real-salt-lake-indy-eleven-and-the-olympics/3N4W3S2PKFBOHOTO6DXRENTZDY/</v>
      </c>
    </row>
    <row r="305" spans="1:15" ht="66" x14ac:dyDescent="0.3">
      <c r="A305" s="2" t="s">
        <v>29</v>
      </c>
      <c r="B305" s="2" t="s">
        <v>1910</v>
      </c>
      <c r="C305" s="2" t="s">
        <v>1911</v>
      </c>
      <c r="D305" s="2" t="s">
        <v>1912</v>
      </c>
      <c r="E305" s="2" t="str">
        <f>HYPERLINK("http://twitter.com/DougRobersonAJC")</f>
        <v>http://twitter.com/DougRobersonAJC</v>
      </c>
      <c r="F305" s="2" t="str">
        <f>HYPERLINK("https://muckrack.com/doug-roberson")</f>
        <v>https://muckrack.com/doug-roberson</v>
      </c>
      <c r="G305" s="2">
        <v>16740</v>
      </c>
      <c r="H305" s="2" t="s">
        <v>1913</v>
      </c>
      <c r="I305" s="2" t="s">
        <v>1914</v>
      </c>
      <c r="J305" s="2" t="s">
        <v>1915</v>
      </c>
      <c r="K305" s="2" t="s">
        <v>30</v>
      </c>
      <c r="L305" s="2" t="s">
        <v>2780</v>
      </c>
      <c r="M305" s="5">
        <v>45481.665949074071</v>
      </c>
      <c r="N305" s="2" t="str">
        <f>HYPERLINK("http://twitter.com/DougRobersonAJC/status/1810403222009291120")</f>
        <v>http://twitter.com/DougRobersonAJC/status/1810403222009291120</v>
      </c>
      <c r="O305" s="2" t="str">
        <f>HYPERLINK("https://www.ajc.com/sports/atlanta-united/atlanta-united-may-have-near-50-million-to-spend-in-transfer-window/TV55FMKO4JF6VK4HKFWD66DUAQ/")</f>
        <v>https://www.ajc.com/sports/atlanta-united/atlanta-united-may-have-near-50-million-to-spend-in-transfer-window/TV55FMKO4JF6VK4HKFWD66DUAQ/</v>
      </c>
    </row>
    <row r="306" spans="1:15" ht="79.2" x14ac:dyDescent="0.3">
      <c r="A306" s="2" t="s">
        <v>2754</v>
      </c>
      <c r="B306" s="2" t="s">
        <v>2755</v>
      </c>
      <c r="C306" s="2" t="s">
        <v>2756</v>
      </c>
      <c r="D306" s="2" t="s">
        <v>2757</v>
      </c>
      <c r="E306" s="2" t="str">
        <f>HYPERLINK("http://twitter.com/SHWrites")</f>
        <v>http://twitter.com/SHWrites</v>
      </c>
      <c r="F306" s="2" t="str">
        <f>HYPERLINK("https://muckrack.com/sydney-hunte")</f>
        <v>https://muckrack.com/sydney-hunte</v>
      </c>
      <c r="G306" s="2">
        <v>1353</v>
      </c>
      <c r="H306" s="2" t="s">
        <v>2728</v>
      </c>
      <c r="I306" s="2" t="s">
        <v>2758</v>
      </c>
      <c r="J306" s="2" t="s">
        <v>2759</v>
      </c>
      <c r="K306" s="2" t="s">
        <v>2760</v>
      </c>
      <c r="L306" s="2" t="s">
        <v>2781</v>
      </c>
      <c r="M306" s="5">
        <v>45481.518101851849</v>
      </c>
      <c r="N306" s="2" t="str">
        <f>HYPERLINK("http://twitter.com/SHWrites/status/1810349642762047949")</f>
        <v>http://twitter.com/SHWrites/status/1810349642762047949</v>
      </c>
      <c r="O306" s="2" t="str">
        <f>HYPERLINK("https://scarvesandspikes.com/2024/07/08/caleb-wiley-transfer-rumors-atlanta-united-chelsea-olympics/")</f>
        <v>https://scarvesandspikes.com/2024/07/08/caleb-wiley-transfer-rumors-atlanta-united-chelsea-olympics/</v>
      </c>
    </row>
    <row r="307" spans="1:15" ht="118.8" x14ac:dyDescent="0.3">
      <c r="A307" s="2" t="s">
        <v>2754</v>
      </c>
      <c r="B307" s="2" t="s">
        <v>2755</v>
      </c>
      <c r="C307" s="2" t="s">
        <v>2756</v>
      </c>
      <c r="D307" s="2" t="s">
        <v>2757</v>
      </c>
      <c r="E307" s="2" t="str">
        <f>HYPERLINK("http://twitter.com/SHWrites")</f>
        <v>http://twitter.com/SHWrites</v>
      </c>
      <c r="F307" s="2" t="str">
        <f>HYPERLINK("https://muckrack.com/sydney-hunte")</f>
        <v>https://muckrack.com/sydney-hunte</v>
      </c>
      <c r="G307" s="2">
        <v>1353</v>
      </c>
      <c r="H307" s="2" t="s">
        <v>2728</v>
      </c>
      <c r="I307" s="2" t="s">
        <v>2758</v>
      </c>
      <c r="J307" s="2" t="s">
        <v>2759</v>
      </c>
      <c r="K307" s="2" t="s">
        <v>2760</v>
      </c>
      <c r="L307" s="2" t="s">
        <v>2782</v>
      </c>
      <c r="M307" s="5">
        <v>45481.646087962959</v>
      </c>
      <c r="N307" s="2" t="str">
        <f>HYPERLINK("http://twitter.com/SHWrites/status/1810396023971524667")</f>
        <v>http://twitter.com/SHWrites/status/1810396023971524667</v>
      </c>
      <c r="O307" s="2" t="str">
        <f>HYPERLINK("https://scarvesandspikes.com/2024/07/08/caleb-wiley-transfer-rumors-atlanta-united-chelsea-olympics/")</f>
        <v>https://scarvesandspikes.com/2024/07/08/caleb-wiley-transfer-rumors-atlanta-united-chelsea-olympics/</v>
      </c>
    </row>
    <row r="308" spans="1:15" ht="66" x14ac:dyDescent="0.3">
      <c r="A308" s="2" t="s">
        <v>29</v>
      </c>
      <c r="B308" s="2" t="s">
        <v>1910</v>
      </c>
      <c r="C308" s="2" t="s">
        <v>1911</v>
      </c>
      <c r="D308" s="2" t="s">
        <v>1912</v>
      </c>
      <c r="E308" s="2" t="str">
        <f>HYPERLINK("http://twitter.com/DougRobersonAJC")</f>
        <v>http://twitter.com/DougRobersonAJC</v>
      </c>
      <c r="F308" s="2" t="str">
        <f>HYPERLINK("https://muckrack.com/doug-roberson")</f>
        <v>https://muckrack.com/doug-roberson</v>
      </c>
      <c r="G308" s="2">
        <v>16740</v>
      </c>
      <c r="H308" s="2" t="s">
        <v>1913</v>
      </c>
      <c r="I308" s="2" t="s">
        <v>1914</v>
      </c>
      <c r="J308" s="2" t="s">
        <v>1915</v>
      </c>
      <c r="K308" s="2" t="s">
        <v>30</v>
      </c>
      <c r="L308" s="2" t="s">
        <v>2783</v>
      </c>
      <c r="M308" s="5">
        <v>45481.329131944447</v>
      </c>
      <c r="N308" s="2" t="str">
        <f>HYPERLINK("http://twitter.com/DougRobersonAJC/status/1810281164495540506")</f>
        <v>http://twitter.com/DougRobersonAJC/status/1810281164495540506</v>
      </c>
      <c r="O308" s="2" t="str">
        <f>HYPERLINK("https://www.ajc.com/sports/atlanta-united/atlanta-uniteds-caleb-wiley-will-play-for-us-in-olympics/DE5L2QGHDBBQHJIFO7OMTD3M3U/")</f>
        <v>https://www.ajc.com/sports/atlanta-united/atlanta-uniteds-caleb-wiley-will-play-for-us-in-olympics/DE5L2QGHDBBQHJIFO7OMTD3M3U/</v>
      </c>
    </row>
    <row r="309" spans="1:15" ht="66" x14ac:dyDescent="0.3">
      <c r="A309" s="2" t="s">
        <v>29</v>
      </c>
      <c r="B309" s="2" t="s">
        <v>1910</v>
      </c>
      <c r="C309" s="2" t="s">
        <v>1911</v>
      </c>
      <c r="D309" s="2" t="s">
        <v>1912</v>
      </c>
      <c r="E309" s="2" t="str">
        <f>HYPERLINK("http://twitter.com/DougRobersonAJC")</f>
        <v>http://twitter.com/DougRobersonAJC</v>
      </c>
      <c r="F309" s="2" t="str">
        <f>HYPERLINK("https://muckrack.com/doug-roberson")</f>
        <v>https://muckrack.com/doug-roberson</v>
      </c>
      <c r="G309" s="2">
        <v>16740</v>
      </c>
      <c r="H309" s="2" t="s">
        <v>1913</v>
      </c>
      <c r="I309" s="2" t="s">
        <v>1914</v>
      </c>
      <c r="J309" s="2" t="s">
        <v>1915</v>
      </c>
      <c r="K309" s="2" t="s">
        <v>30</v>
      </c>
      <c r="L309" s="2" t="s">
        <v>2784</v>
      </c>
      <c r="M309" s="5">
        <v>45480.016828703701</v>
      </c>
      <c r="N309" s="2" t="str">
        <f>HYPERLINK("http://twitter.com/DougRobersonAJC/status/1809805602446577885")</f>
        <v>http://twitter.com/DougRobersonAJC/status/1809805602446577885</v>
      </c>
      <c r="O309" s="2" t="str">
        <f>HYPERLINK("https://www.ajc.com/sports/atlanta-united/atlanta-united-rocked-by-real-salt-lake/GACQ2OSDKJGGZFRFR2O6PVHOMY/")</f>
        <v>https://www.ajc.com/sports/atlanta-united/atlanta-united-rocked-by-real-salt-lake/GACQ2OSDKJGGZFRFR2O6PVHOMY/</v>
      </c>
    </row>
    <row r="310" spans="1:15" ht="66" x14ac:dyDescent="0.3">
      <c r="A310" s="2" t="s">
        <v>29</v>
      </c>
      <c r="B310" s="2" t="s">
        <v>1910</v>
      </c>
      <c r="C310" s="2" t="s">
        <v>1911</v>
      </c>
      <c r="D310" s="2" t="s">
        <v>1912</v>
      </c>
      <c r="E310" s="2" t="str">
        <f>HYPERLINK("http://twitter.com/DougRobersonAJC")</f>
        <v>http://twitter.com/DougRobersonAJC</v>
      </c>
      <c r="F310" s="2" t="str">
        <f>HYPERLINK("https://muckrack.com/doug-roberson")</f>
        <v>https://muckrack.com/doug-roberson</v>
      </c>
      <c r="G310" s="2">
        <v>16740</v>
      </c>
      <c r="H310" s="2" t="s">
        <v>1913</v>
      </c>
      <c r="I310" s="2" t="s">
        <v>1914</v>
      </c>
      <c r="J310" s="2" t="s">
        <v>1915</v>
      </c>
      <c r="K310" s="2" t="s">
        <v>30</v>
      </c>
      <c r="L310" s="2" t="s">
        <v>2785</v>
      </c>
      <c r="M310" s="5">
        <v>45479.417233796303</v>
      </c>
      <c r="N310" s="2" t="str">
        <f>HYPERLINK("http://twitter.com/DougRobersonAJC/status/1809588314200240201")</f>
        <v>http://twitter.com/DougRobersonAJC/status/1809588314200240201</v>
      </c>
      <c r="O310" s="2" t="str">
        <f>HYPERLINK("https://www.ajc.com/sports/atlanta-united/atlanta-united-sets-mls-transfer-record-with-sale-of-thiago-almada/33L74W2SXFD2FDPYN7VAAX6UTI/")</f>
        <v>https://www.ajc.com/sports/atlanta-united/atlanta-united-sets-mls-transfer-record-with-sale-of-thiago-almada/33L74W2SXFD2FDPYN7VAAX6UTI/</v>
      </c>
    </row>
    <row r="311" spans="1:15" ht="66" x14ac:dyDescent="0.3">
      <c r="A311" s="2" t="s">
        <v>29</v>
      </c>
      <c r="B311" s="2" t="s">
        <v>1910</v>
      </c>
      <c r="C311" s="2" t="s">
        <v>1911</v>
      </c>
      <c r="D311" s="2" t="s">
        <v>1912</v>
      </c>
      <c r="E311" s="2" t="str">
        <f>HYPERLINK("http://twitter.com/DougRobersonAJC")</f>
        <v>http://twitter.com/DougRobersonAJC</v>
      </c>
      <c r="F311" s="2" t="str">
        <f>HYPERLINK("https://muckrack.com/doug-roberson")</f>
        <v>https://muckrack.com/doug-roberson</v>
      </c>
      <c r="G311" s="2">
        <v>16740</v>
      </c>
      <c r="H311" s="2" t="s">
        <v>1913</v>
      </c>
      <c r="I311" s="2" t="s">
        <v>1914</v>
      </c>
      <c r="J311" s="2" t="s">
        <v>1915</v>
      </c>
      <c r="K311" s="2" t="s">
        <v>30</v>
      </c>
      <c r="L311" s="2" t="s">
        <v>2786</v>
      </c>
      <c r="M311" s="5">
        <v>45479.456469907411</v>
      </c>
      <c r="N311" s="2" t="str">
        <f>HYPERLINK("http://twitter.com/DougRobersonAJC/status/1809602534635630639")</f>
        <v>http://twitter.com/DougRobersonAJC/status/1809602534635630639</v>
      </c>
      <c r="O311" s="2" t="str">
        <f>HYPERLINK("https://www.ajc.com/sports/atlanta-united/atlanta-united-sets-mls-transfer-record-with-sale-of-thiago-almada/33L74W2SXFD2FDPYN7VAAX6UTI/")</f>
        <v>https://www.ajc.com/sports/atlanta-united/atlanta-united-sets-mls-transfer-record-with-sale-of-thiago-almada/33L74W2SXFD2FDPYN7VAAX6UTI/</v>
      </c>
    </row>
    <row r="312" spans="1:15" ht="66" x14ac:dyDescent="0.3">
      <c r="A312" s="2" t="s">
        <v>1963</v>
      </c>
      <c r="B312" s="2" t="s">
        <v>1964</v>
      </c>
      <c r="C312" s="2" t="s">
        <v>1965</v>
      </c>
      <c r="D312" s="2" t="s">
        <v>1966</v>
      </c>
      <c r="E312" s="2" t="str">
        <f>HYPERLINK("http://twitter.com/bposhea")</f>
        <v>http://twitter.com/bposhea</v>
      </c>
      <c r="F312" s="2" t="str">
        <f>HYPERLINK("https://muckrack.com/brian-oshea")</f>
        <v>https://muckrack.com/brian-oshea</v>
      </c>
      <c r="G312" s="2">
        <v>1614</v>
      </c>
      <c r="H312" s="2" t="s">
        <v>1913</v>
      </c>
      <c r="I312" s="2" t="s">
        <v>1967</v>
      </c>
      <c r="J312" s="2" t="s">
        <v>1954</v>
      </c>
      <c r="K312" s="2" t="s">
        <v>30</v>
      </c>
      <c r="L312" s="2" t="s">
        <v>2787</v>
      </c>
      <c r="M312" s="5">
        <v>45479.425208333327</v>
      </c>
      <c r="N312" s="2" t="str">
        <f>HYPERLINK("http://twitter.com/bposhea/status/1809591202913640677")</f>
        <v>http://twitter.com/bposhea/status/1809591202913640677</v>
      </c>
      <c r="O312" s="2" t="str">
        <f>HYPERLINK("https://www.ajc.com/sports/atlanta-united/atlanta-united-sets-mls-transfer-record-with-sale-of-thiago-almada/33L74W2SXFD2FDPYN7VAAX6UTI/")</f>
        <v>https://www.ajc.com/sports/atlanta-united/atlanta-united-sets-mls-transfer-record-with-sale-of-thiago-almada/33L74W2SXFD2FDPYN7VAAX6UTI/</v>
      </c>
    </row>
    <row r="313" spans="1:15" ht="52.8" x14ac:dyDescent="0.3">
      <c r="A313" s="2" t="s">
        <v>919</v>
      </c>
      <c r="B313" s="2" t="s">
        <v>2279</v>
      </c>
      <c r="C313" s="2" t="s">
        <v>2280</v>
      </c>
      <c r="D313" s="2" t="s">
        <v>2281</v>
      </c>
      <c r="E313" s="2" t="str">
        <f>HYPERLINK("http://twitter.com/ADChernoff")</f>
        <v>http://twitter.com/ADChernoff</v>
      </c>
      <c r="F313" s="2" t="str">
        <f>HYPERLINK("https://muckrack.com/andrew-chernoff")</f>
        <v>https://muckrack.com/andrew-chernoff</v>
      </c>
      <c r="G313" s="2">
        <v>7778</v>
      </c>
      <c r="H313" s="2" t="s">
        <v>1972</v>
      </c>
      <c r="I313" s="2" t="s">
        <v>2282</v>
      </c>
      <c r="J313" s="2" t="s">
        <v>2000</v>
      </c>
      <c r="K313" s="2" t="s">
        <v>2283</v>
      </c>
      <c r="L313" s="2" t="s">
        <v>2788</v>
      </c>
      <c r="M313" s="5">
        <v>45478.920185185183</v>
      </c>
      <c r="N313" s="2" t="str">
        <f>HYPERLINK("http://twitter.com/ADChernoff/status/1809408191425298710")</f>
        <v>http://twitter.com/ADChernoff/status/1809408191425298710</v>
      </c>
      <c r="O313" s="2" t="str">
        <f>HYPERLINK("https://wishtv.com/sports/indy-eleven/indy-eleven-match-finishes-with-late-goal-in-stoppage-time/")</f>
        <v>https://wishtv.com/sports/indy-eleven/indy-eleven-match-finishes-with-late-goal-in-stoppage-time/</v>
      </c>
    </row>
    <row r="314" spans="1:15" ht="66" x14ac:dyDescent="0.3">
      <c r="A314" s="2" t="s">
        <v>29</v>
      </c>
      <c r="B314" s="2" t="s">
        <v>1910</v>
      </c>
      <c r="C314" s="2" t="s">
        <v>1911</v>
      </c>
      <c r="D314" s="2" t="s">
        <v>1912</v>
      </c>
      <c r="E314" s="2" t="str">
        <f>HYPERLINK("http://twitter.com/DougRobersonAJC")</f>
        <v>http://twitter.com/DougRobersonAJC</v>
      </c>
      <c r="F314" s="2" t="str">
        <f>HYPERLINK("https://muckrack.com/doug-roberson")</f>
        <v>https://muckrack.com/doug-roberson</v>
      </c>
      <c r="G314" s="2">
        <v>16740</v>
      </c>
      <c r="H314" s="2" t="s">
        <v>1913</v>
      </c>
      <c r="I314" s="2" t="s">
        <v>1914</v>
      </c>
      <c r="J314" s="2" t="s">
        <v>1915</v>
      </c>
      <c r="K314" s="2" t="s">
        <v>30</v>
      </c>
      <c r="L314" s="2" t="s">
        <v>2789</v>
      </c>
      <c r="M314" s="5">
        <v>45478.761944444443</v>
      </c>
      <c r="N314" s="2" t="str">
        <f>HYPERLINK("http://twitter.com/DougRobersonAJC/status/1809350844871241876")</f>
        <v>http://twitter.com/DougRobersonAJC/status/1809350844871241876</v>
      </c>
      <c r="O314" s="2" t="str">
        <f>HYPERLINK("https://www.ajc.com/sports/atlanta-united/southern-fried-soccer-atlanta-united-is-having-a-very-busy-week/UA57YRRFMRCEFLGYGDWVMOP2ZI/")</f>
        <v>https://www.ajc.com/sports/atlanta-united/southern-fried-soccer-atlanta-united-is-having-a-very-busy-week/UA57YRRFMRCEFLGYGDWVMOP2ZI/</v>
      </c>
    </row>
    <row r="315" spans="1:15" ht="79.2" x14ac:dyDescent="0.3">
      <c r="A315" s="2" t="s">
        <v>931</v>
      </c>
      <c r="B315" s="2" t="s">
        <v>2790</v>
      </c>
      <c r="C315" s="2" t="s">
        <v>2791</v>
      </c>
      <c r="D315" s="2" t="s">
        <v>2792</v>
      </c>
      <c r="E315" s="2" t="str">
        <f>HYPERLINK("http://twitter.com/JeffWaldFox9")</f>
        <v>http://twitter.com/JeffWaldFox9</v>
      </c>
      <c r="F315" s="2" t="str">
        <f>HYPERLINK("https://muckrack.com/jrwald7")</f>
        <v>https://muckrack.com/jrwald7</v>
      </c>
      <c r="G315" s="2">
        <v>2968</v>
      </c>
      <c r="H315" s="2" t="s">
        <v>2793</v>
      </c>
      <c r="I315" s="2" t="s">
        <v>2794</v>
      </c>
      <c r="J315" s="2" t="s">
        <v>2795</v>
      </c>
      <c r="K315" s="2" t="s">
        <v>930</v>
      </c>
      <c r="L315" s="2" t="s">
        <v>2796</v>
      </c>
      <c r="M315" s="5">
        <v>45478.761307870373</v>
      </c>
      <c r="N315" s="2" t="str">
        <f>HYPERLINK("http://twitter.com/JeffWaldFox9/status/1809350614230397025")</f>
        <v>http://twitter.com/JeffWaldFox9/status/1809350614230397025</v>
      </c>
      <c r="O315" s="2" t="str">
        <f>HYPERLINK("https://www.fox9.com/sports/minnesota-aurora-fcs-season-ends-2-1-loss-indy-eleven-usl-w-playoffs")</f>
        <v>https://www.fox9.com/sports/minnesota-aurora-fcs-season-ends-2-1-loss-indy-eleven-usl-w-playoffs</v>
      </c>
    </row>
    <row r="316" spans="1:15" ht="79.2" x14ac:dyDescent="0.3">
      <c r="A316" s="2" t="s">
        <v>931</v>
      </c>
      <c r="B316" s="2" t="s">
        <v>2790</v>
      </c>
      <c r="C316" s="2" t="s">
        <v>2791</v>
      </c>
      <c r="D316" s="2" t="s">
        <v>2792</v>
      </c>
      <c r="E316" s="2" t="str">
        <f>HYPERLINK("http://twitter.com/JeffWaldFox9")</f>
        <v>http://twitter.com/JeffWaldFox9</v>
      </c>
      <c r="F316" s="2" t="str">
        <f>HYPERLINK("https://muckrack.com/jrwald7")</f>
        <v>https://muckrack.com/jrwald7</v>
      </c>
      <c r="G316" s="2">
        <v>2968</v>
      </c>
      <c r="H316" s="2" t="s">
        <v>2793</v>
      </c>
      <c r="I316" s="2" t="s">
        <v>2794</v>
      </c>
      <c r="J316" s="2" t="s">
        <v>2795</v>
      </c>
      <c r="K316" s="2" t="s">
        <v>930</v>
      </c>
      <c r="L316" s="2" t="s">
        <v>2797</v>
      </c>
      <c r="M316" s="5">
        <v>45478.762604166674</v>
      </c>
      <c r="N316" s="2" t="str">
        <f>HYPERLINK("http://twitter.com/JeffWaldFox9/status/1809351084097294827")</f>
        <v>http://twitter.com/JeffWaldFox9/status/1809351084097294827</v>
      </c>
      <c r="O316" s="2" t="str">
        <f>HYPERLINK("https://www.fox9.com/sports/minnesota-aurora-fcs-season-ends-2-1-loss-indy-eleven-usl-w-playoffs")</f>
        <v>https://www.fox9.com/sports/minnesota-aurora-fcs-season-ends-2-1-loss-indy-eleven-usl-w-playoffs</v>
      </c>
    </row>
    <row r="317" spans="1:15" ht="66" x14ac:dyDescent="0.3">
      <c r="A317" s="2" t="s">
        <v>29</v>
      </c>
      <c r="B317" s="2" t="s">
        <v>1910</v>
      </c>
      <c r="C317" s="2" t="s">
        <v>1911</v>
      </c>
      <c r="D317" s="2" t="s">
        <v>1912</v>
      </c>
      <c r="E317" s="2" t="str">
        <f>HYPERLINK("http://twitter.com/DougRobersonAJC")</f>
        <v>http://twitter.com/DougRobersonAJC</v>
      </c>
      <c r="F317" s="2" t="str">
        <f>HYPERLINK("https://muckrack.com/doug-roberson")</f>
        <v>https://muckrack.com/doug-roberson</v>
      </c>
      <c r="G317" s="2">
        <v>16740</v>
      </c>
      <c r="H317" s="2" t="s">
        <v>1913</v>
      </c>
      <c r="I317" s="2" t="s">
        <v>1914</v>
      </c>
      <c r="J317" s="2" t="s">
        <v>1915</v>
      </c>
      <c r="K317" s="2" t="s">
        <v>30</v>
      </c>
      <c r="L317" s="2" t="s">
        <v>2798</v>
      </c>
      <c r="M317" s="5">
        <v>45478.661863425928</v>
      </c>
      <c r="N317" s="2" t="str">
        <f>HYPERLINK("http://twitter.com/DougRobersonAJC/status/1809314577408200906")</f>
        <v>http://twitter.com/DougRobersonAJC/status/1809314577408200906</v>
      </c>
      <c r="O317" s="2" t="str">
        <f>HYPERLINK("https://www.ajc.com/sports/atlanta-united/atlanta-united-embracing-challenge-of-high-scoring-real-salt-lake/MLB55MEM5RA7JK4COEWDL56M4Q/")</f>
        <v>https://www.ajc.com/sports/atlanta-united/atlanta-united-embracing-challenge-of-high-scoring-real-salt-lake/MLB55MEM5RA7JK4COEWDL56M4Q/</v>
      </c>
    </row>
    <row r="318" spans="1:15" ht="66" x14ac:dyDescent="0.3">
      <c r="A318" s="2" t="s">
        <v>29</v>
      </c>
      <c r="B318" s="2" t="s">
        <v>1910</v>
      </c>
      <c r="C318" s="2" t="s">
        <v>1911</v>
      </c>
      <c r="D318" s="2" t="s">
        <v>1912</v>
      </c>
      <c r="E318" s="2" t="str">
        <f>HYPERLINK("http://twitter.com/DougRobersonAJC")</f>
        <v>http://twitter.com/DougRobersonAJC</v>
      </c>
      <c r="F318" s="2" t="str">
        <f>HYPERLINK("https://muckrack.com/doug-roberson")</f>
        <v>https://muckrack.com/doug-roberson</v>
      </c>
      <c r="G318" s="2">
        <v>16740</v>
      </c>
      <c r="H318" s="2" t="s">
        <v>1913</v>
      </c>
      <c r="I318" s="2" t="s">
        <v>1914</v>
      </c>
      <c r="J318" s="2" t="s">
        <v>1915</v>
      </c>
      <c r="K318" s="2" t="s">
        <v>30</v>
      </c>
      <c r="L318" s="2" t="s">
        <v>2799</v>
      </c>
      <c r="M318" s="5">
        <v>45478.63962962963</v>
      </c>
      <c r="N318" s="2" t="str">
        <f>HYPERLINK("http://twitter.com/DougRobersonAJC/status/1809306522100593006")</f>
        <v>http://twitter.com/DougRobersonAJC/status/1809306522100593006</v>
      </c>
      <c r="O318" s="2" t="str">
        <f>HYPERLINK("https://www.ajc.com/sports/atlanta-united/info-to-know-atlanta-united-at-real-salt-lake/G3IJW4V6NNEJPLZHEZNABBNEXQ/")</f>
        <v>https://www.ajc.com/sports/atlanta-united/info-to-know-atlanta-united-at-real-salt-lake/G3IJW4V6NNEJPLZHEZNABBNEXQ/</v>
      </c>
    </row>
    <row r="319" spans="1:15" ht="79.2" x14ac:dyDescent="0.3">
      <c r="A319" s="2" t="s">
        <v>934</v>
      </c>
      <c r="B319" s="2" t="s">
        <v>2178</v>
      </c>
      <c r="C319" s="2" t="s">
        <v>2800</v>
      </c>
      <c r="D319" s="2" t="s">
        <v>2801</v>
      </c>
      <c r="E319" s="2" t="str">
        <f>HYPERLINK("http://twitter.com/Branden_Mello")</f>
        <v>http://twitter.com/Branden_Mello</v>
      </c>
      <c r="F319" s="2" t="str">
        <f>HYPERLINK("https://muckrack.com/branden-mello")</f>
        <v>https://muckrack.com/branden-mello</v>
      </c>
      <c r="G319" s="2">
        <v>2009</v>
      </c>
      <c r="H319" s="2"/>
      <c r="I319" s="2" t="s">
        <v>2802</v>
      </c>
      <c r="J319" s="2" t="s">
        <v>2033</v>
      </c>
      <c r="K319" s="2" t="s">
        <v>2803</v>
      </c>
      <c r="L319" s="2" t="s">
        <v>2804</v>
      </c>
      <c r="M319" s="5">
        <v>45478.543449074074</v>
      </c>
      <c r="N319" s="2" t="str">
        <f>HYPERLINK("http://twitter.com/Branden_Mello/status/1809271664967864815")</f>
        <v>http://twitter.com/Branden_Mello/status/1809271664967864815</v>
      </c>
      <c r="O319" s="2" t="str">
        <f>HYPERLINK("https://www.woonsocketcall.com/sports/peart-up-for-rifc-challenge/article_2881b6f2-3aef-11ef-b283-e7eb3a347209.html")</f>
        <v>https://www.woonsocketcall.com/sports/peart-up-for-rifc-challenge/article_2881b6f2-3aef-11ef-b283-e7eb3a347209.html</v>
      </c>
    </row>
    <row r="320" spans="1:15" ht="79.2" x14ac:dyDescent="0.3">
      <c r="A320" s="2" t="s">
        <v>2805</v>
      </c>
      <c r="B320" s="2" t="s">
        <v>2806</v>
      </c>
      <c r="C320" s="2" t="s">
        <v>2807</v>
      </c>
      <c r="D320" s="2" t="s">
        <v>2808</v>
      </c>
      <c r="E320" s="2" t="str">
        <f>HYPERLINK("http://twitter.com/samstroozas")</f>
        <v>http://twitter.com/samstroozas</v>
      </c>
      <c r="F320" s="2" t="str">
        <f>HYPERLINK("https://muckrack.com/sam-stroozas")</f>
        <v>https://muckrack.com/sam-stroozas</v>
      </c>
      <c r="G320" s="2">
        <v>1210</v>
      </c>
      <c r="H320" s="2" t="s">
        <v>2809</v>
      </c>
      <c r="I320" s="2" t="s">
        <v>2810</v>
      </c>
      <c r="J320" s="2" t="s">
        <v>2811</v>
      </c>
      <c r="K320" s="2" t="s">
        <v>2812</v>
      </c>
      <c r="L320" s="2" t="s">
        <v>2813</v>
      </c>
      <c r="M320" s="5">
        <v>45478.800532407397</v>
      </c>
      <c r="N320" s="2" t="str">
        <f>HYPERLINK("http://twitter.com/samstroozas/status/1809364828403732518")</f>
        <v>http://twitter.com/samstroozas/status/1809364828403732518</v>
      </c>
      <c r="O320" s="2" t="str">
        <f>HYPERLINK("https://www.mprnews.org/story/2024/07/05/with-pro-soccer-calling-minnesota-aurora-works-to-keep-its-summer-vibe-alive")</f>
        <v>https://www.mprnews.org/story/2024/07/05/with-pro-soccer-calling-minnesota-aurora-works-to-keep-its-summer-vibe-alive</v>
      </c>
    </row>
    <row r="321" spans="1:15" ht="52.8" x14ac:dyDescent="0.3">
      <c r="A321" s="2" t="s">
        <v>935</v>
      </c>
      <c r="B321" s="2" t="s">
        <v>2814</v>
      </c>
      <c r="C321" s="2" t="s">
        <v>2815</v>
      </c>
      <c r="D321" s="2" t="s">
        <v>2816</v>
      </c>
      <c r="E321" s="2" t="str">
        <f>HYPERLINK("http://twitter.com/SouhanStrib")</f>
        <v>http://twitter.com/SouhanStrib</v>
      </c>
      <c r="F321" s="2" t="str">
        <f>HYPERLINK("https://muckrack.com/souhanstrib")</f>
        <v>https://muckrack.com/souhanstrib</v>
      </c>
      <c r="G321" s="2">
        <v>47972</v>
      </c>
      <c r="H321" s="2" t="s">
        <v>2817</v>
      </c>
      <c r="I321" s="2" t="s">
        <v>2818</v>
      </c>
      <c r="J321" s="2" t="s">
        <v>2819</v>
      </c>
      <c r="K321" s="2" t="s">
        <v>932</v>
      </c>
      <c r="L321" s="2" t="s">
        <v>2820</v>
      </c>
      <c r="M321" s="5">
        <v>45477.814525462964</v>
      </c>
      <c r="N321" s="2" t="str">
        <f>HYPERLINK("http://twitter.com/SouhanStrib/status/1809007512667992422")</f>
        <v>http://twitter.com/SouhanStrib/status/1809007512667992422</v>
      </c>
      <c r="O321" s="2" t="str">
        <f>HYPERLINK("https://www.startribune.com/minnesota-aurora-sophie-french-usl-w-league-championship-jim-souhan/600378499/")</f>
        <v>https://www.startribune.com/minnesota-aurora-sophie-french-usl-w-league-championship-jim-souhan/600378499/</v>
      </c>
    </row>
    <row r="322" spans="1:15" ht="52.8" x14ac:dyDescent="0.3">
      <c r="A322" s="2" t="s">
        <v>935</v>
      </c>
      <c r="B322" s="2" t="s">
        <v>2814</v>
      </c>
      <c r="C322" s="2" t="s">
        <v>2815</v>
      </c>
      <c r="D322" s="2" t="s">
        <v>2816</v>
      </c>
      <c r="E322" s="2" t="str">
        <f>HYPERLINK("http://twitter.com/SouhanStrib")</f>
        <v>http://twitter.com/SouhanStrib</v>
      </c>
      <c r="F322" s="2" t="str">
        <f>HYPERLINK("https://muckrack.com/souhanstrib")</f>
        <v>https://muckrack.com/souhanstrib</v>
      </c>
      <c r="G322" s="2">
        <v>47972</v>
      </c>
      <c r="H322" s="2" t="s">
        <v>2817</v>
      </c>
      <c r="I322" s="2" t="s">
        <v>2818</v>
      </c>
      <c r="J322" s="2" t="s">
        <v>2819</v>
      </c>
      <c r="K322" s="2" t="s">
        <v>932</v>
      </c>
      <c r="L322" s="2" t="s">
        <v>2821</v>
      </c>
      <c r="M322" s="5">
        <v>45478.432303240741</v>
      </c>
      <c r="N322" s="2" t="str">
        <f>HYPERLINK("http://twitter.com/SouhanStrib/status/1809231389344071813")</f>
        <v>http://twitter.com/SouhanStrib/status/1809231389344071813</v>
      </c>
      <c r="O322" s="2" t="str">
        <f>HYPERLINK("https://www.startribune.com/minnesota-aurora-sophie-french-usl-w-league-championship-jim-souhan/600378499/")</f>
        <v>https://www.startribune.com/minnesota-aurora-sophie-french-usl-w-league-championship-jim-souhan/600378499/</v>
      </c>
    </row>
    <row r="323" spans="1:15" ht="52.8" x14ac:dyDescent="0.3">
      <c r="A323" s="2" t="s">
        <v>935</v>
      </c>
      <c r="B323" s="2" t="s">
        <v>2814</v>
      </c>
      <c r="C323" s="2" t="s">
        <v>2815</v>
      </c>
      <c r="D323" s="2" t="s">
        <v>2816</v>
      </c>
      <c r="E323" s="2" t="str">
        <f>HYPERLINK("http://twitter.com/SouhanStrib")</f>
        <v>http://twitter.com/SouhanStrib</v>
      </c>
      <c r="F323" s="2" t="str">
        <f>HYPERLINK("https://muckrack.com/souhanstrib")</f>
        <v>https://muckrack.com/souhanstrib</v>
      </c>
      <c r="G323" s="2">
        <v>47972</v>
      </c>
      <c r="H323" s="2" t="s">
        <v>2817</v>
      </c>
      <c r="I323" s="2" t="s">
        <v>2818</v>
      </c>
      <c r="J323" s="2" t="s">
        <v>2819</v>
      </c>
      <c r="K323" s="2" t="s">
        <v>932</v>
      </c>
      <c r="L323" s="2" t="s">
        <v>2822</v>
      </c>
      <c r="M323" s="5">
        <v>45478.512997685182</v>
      </c>
      <c r="N323" s="2" t="str">
        <f>HYPERLINK("http://twitter.com/SouhanStrib/status/1809260630940979680")</f>
        <v>http://twitter.com/SouhanStrib/status/1809260630940979680</v>
      </c>
      <c r="O323" s="2" t="str">
        <f>HYPERLINK("https://www.startribune.com/minnesota-aurora-sophie-french-usl-w-league-championship-jim-souhan/600378499/")</f>
        <v>https://www.startribune.com/minnesota-aurora-sophie-french-usl-w-league-championship-jim-souhan/600378499/</v>
      </c>
    </row>
    <row r="324" spans="1:15" ht="52.8" x14ac:dyDescent="0.3">
      <c r="A324" s="2" t="s">
        <v>935</v>
      </c>
      <c r="B324" s="2" t="s">
        <v>2814</v>
      </c>
      <c r="C324" s="2" t="s">
        <v>2815</v>
      </c>
      <c r="D324" s="2" t="s">
        <v>2816</v>
      </c>
      <c r="E324" s="2" t="str">
        <f>HYPERLINK("http://twitter.com/SouhanStrib")</f>
        <v>http://twitter.com/SouhanStrib</v>
      </c>
      <c r="F324" s="2" t="str">
        <f>HYPERLINK("https://muckrack.com/souhanstrib")</f>
        <v>https://muckrack.com/souhanstrib</v>
      </c>
      <c r="G324" s="2">
        <v>47972</v>
      </c>
      <c r="H324" s="2" t="s">
        <v>2817</v>
      </c>
      <c r="I324" s="2" t="s">
        <v>2818</v>
      </c>
      <c r="J324" s="2" t="s">
        <v>2819</v>
      </c>
      <c r="K324" s="2" t="s">
        <v>932</v>
      </c>
      <c r="L324" s="2" t="s">
        <v>2823</v>
      </c>
      <c r="M324" s="5">
        <v>45478.695868055547</v>
      </c>
      <c r="N324" s="2" t="str">
        <f>HYPERLINK("http://twitter.com/SouhanStrib/status/1809326898897367163")</f>
        <v>http://twitter.com/SouhanStrib/status/1809326898897367163</v>
      </c>
      <c r="O324" s="2" t="str">
        <f>HYPERLINK("https://www.startribune.com/minnesota-aurora-sophie-french-usl-w-league-championship-jim-souhan/600378499/")</f>
        <v>https://www.startribune.com/minnesota-aurora-sophie-french-usl-w-league-championship-jim-souhan/600378499/</v>
      </c>
    </row>
    <row r="325" spans="1:15" ht="52.8" x14ac:dyDescent="0.3">
      <c r="A325" s="2" t="s">
        <v>2824</v>
      </c>
      <c r="B325" s="2" t="s">
        <v>2490</v>
      </c>
      <c r="C325" s="2" t="s">
        <v>2825</v>
      </c>
      <c r="D325" s="2" t="s">
        <v>2826</v>
      </c>
      <c r="E325" s="2" t="str">
        <f>HYPERLINK("http://twitter.com/mikeburbachPP")</f>
        <v>http://twitter.com/mikeburbachPP</v>
      </c>
      <c r="F325" s="2" t="str">
        <f>HYPERLINK("https://muckrack.com/mike-burbach")</f>
        <v>https://muckrack.com/mike-burbach</v>
      </c>
      <c r="G325" s="2">
        <v>1830</v>
      </c>
      <c r="H325" s="2" t="s">
        <v>2827</v>
      </c>
      <c r="I325" s="2" t="s">
        <v>2828</v>
      </c>
      <c r="J325" s="2" t="s">
        <v>2829</v>
      </c>
      <c r="K325" s="2" t="s">
        <v>922</v>
      </c>
      <c r="L325" s="2" t="s">
        <v>2830</v>
      </c>
      <c r="M325" s="5">
        <v>45478.628842592603</v>
      </c>
      <c r="N325" s="2" t="str">
        <f>HYPERLINK("http://twitter.com/mikeburbachPP/status/1809302609594880334")</f>
        <v>http://twitter.com/mikeburbachPP/status/1809302609594880334</v>
      </c>
      <c r="O325" s="2" t="str">
        <f>HYPERLINK("https://www.twincities.com/2024/07/04/minnesota-aurora-has-unfinished-business-going-into-usl-w-league-playoffs/")</f>
        <v>https://www.twincities.com/2024/07/04/minnesota-aurora-has-unfinished-business-going-into-usl-w-league-playoffs/</v>
      </c>
    </row>
    <row r="326" spans="1:15" ht="66" x14ac:dyDescent="0.3">
      <c r="A326" s="2" t="s">
        <v>29</v>
      </c>
      <c r="B326" s="2" t="s">
        <v>1910</v>
      </c>
      <c r="C326" s="2" t="s">
        <v>1911</v>
      </c>
      <c r="D326" s="2" t="s">
        <v>1912</v>
      </c>
      <c r="E326" s="2" t="str">
        <f>HYPERLINK("http://twitter.com/DougRobersonAJC")</f>
        <v>http://twitter.com/DougRobersonAJC</v>
      </c>
      <c r="F326" s="2" t="str">
        <f>HYPERLINK("https://muckrack.com/doug-roberson")</f>
        <v>https://muckrack.com/doug-roberson</v>
      </c>
      <c r="G326" s="2">
        <v>16740</v>
      </c>
      <c r="H326" s="2" t="s">
        <v>1913</v>
      </c>
      <c r="I326" s="2" t="s">
        <v>1914</v>
      </c>
      <c r="J326" s="2" t="s">
        <v>1915</v>
      </c>
      <c r="K326" s="2" t="s">
        <v>30</v>
      </c>
      <c r="L326" s="2" t="s">
        <v>2831</v>
      </c>
      <c r="M326" s="5">
        <v>45477.434999999998</v>
      </c>
      <c r="N326" s="2" t="str">
        <f>HYPERLINK("http://twitter.com/DougRobersonAJC/status/1808869975593189519")</f>
        <v>http://twitter.com/DougRobersonAJC/status/1808869975593189519</v>
      </c>
      <c r="O326" s="2" t="str">
        <f>HYPERLINK("https://www.ajc.com/sports/atlanta-united/atlanta-uniteds-offense-shows-life-in-second-half-against-revolution/5QNINVESS5CZDOJFXRNBB6I5EY/")</f>
        <v>https://www.ajc.com/sports/atlanta-united/atlanta-uniteds-offense-shows-life-in-second-half-against-revolution/5QNINVESS5CZDOJFXRNBB6I5EY/</v>
      </c>
    </row>
    <row r="327" spans="1:15" ht="66" x14ac:dyDescent="0.3">
      <c r="A327" s="2" t="s">
        <v>29</v>
      </c>
      <c r="B327" s="2" t="s">
        <v>1910</v>
      </c>
      <c r="C327" s="2" t="s">
        <v>1911</v>
      </c>
      <c r="D327" s="2" t="s">
        <v>1912</v>
      </c>
      <c r="E327" s="2" t="str">
        <f>HYPERLINK("http://twitter.com/DougRobersonAJC")</f>
        <v>http://twitter.com/DougRobersonAJC</v>
      </c>
      <c r="F327" s="2" t="str">
        <f>HYPERLINK("https://muckrack.com/doug-roberson")</f>
        <v>https://muckrack.com/doug-roberson</v>
      </c>
      <c r="G327" s="2">
        <v>16740</v>
      </c>
      <c r="H327" s="2" t="s">
        <v>1913</v>
      </c>
      <c r="I327" s="2" t="s">
        <v>1914</v>
      </c>
      <c r="J327" s="2" t="s">
        <v>1915</v>
      </c>
      <c r="K327" s="2" t="s">
        <v>30</v>
      </c>
      <c r="L327" s="2" t="s">
        <v>2832</v>
      </c>
      <c r="M327" s="5">
        <v>45476.918391203697</v>
      </c>
      <c r="N327" s="2" t="str">
        <f>HYPERLINK("http://twitter.com/DougRobersonAJC/status/1808682763739885903")</f>
        <v>http://twitter.com/DougRobersonAJC/status/1808682763739885903</v>
      </c>
      <c r="O327" s="2" t="str">
        <f>HYPERLINK("https://www.ajc.com/sports/atlanta-united/atlanta-united-unbeaten-streak-stopped-by-revs/2YLZ54DV65HXRCZTNB3IJW35DQ/")</f>
        <v>https://www.ajc.com/sports/atlanta-united/atlanta-united-unbeaten-streak-stopped-by-revs/2YLZ54DV65HXRCZTNB3IJW35DQ/</v>
      </c>
    </row>
    <row r="328" spans="1:15" ht="79.2" x14ac:dyDescent="0.3">
      <c r="A328" s="2" t="s">
        <v>943</v>
      </c>
      <c r="B328" s="2" t="s">
        <v>2833</v>
      </c>
      <c r="C328" s="2" t="s">
        <v>2834</v>
      </c>
      <c r="D328" s="2" t="s">
        <v>2835</v>
      </c>
      <c r="E328" s="2" t="str">
        <f>HYPERLINK("http://twitter.com/LaurenDaley1")</f>
        <v>http://twitter.com/LaurenDaley1</v>
      </c>
      <c r="F328" s="2" t="str">
        <f>HYPERLINK("https://muckrack.com/lauren-daley")</f>
        <v>https://muckrack.com/lauren-daley</v>
      </c>
      <c r="G328" s="2">
        <v>2140</v>
      </c>
      <c r="H328" s="2"/>
      <c r="I328" s="2" t="s">
        <v>2836</v>
      </c>
      <c r="J328" s="2" t="s">
        <v>2837</v>
      </c>
      <c r="K328" s="2" t="s">
        <v>2838</v>
      </c>
      <c r="L328" s="2" t="s">
        <v>2839</v>
      </c>
      <c r="M328" s="5">
        <v>45477.603368055563</v>
      </c>
      <c r="N328" s="2" t="str">
        <f>HYPERLINK("http://twitter.com/LaurenDaley1/status/1808930992117473753")</f>
        <v>http://twitter.com/LaurenDaley1/status/1808930992117473753</v>
      </c>
      <c r="O328" s="2" t="str">
        <f>HYPERLINK("https://www.bostonglobe.com/2024/07/03/metro/rhode-island-things-to-do/")</f>
        <v>https://www.bostonglobe.com/2024/07/03/metro/rhode-island-things-to-do/</v>
      </c>
    </row>
    <row r="329" spans="1:15" ht="52.8" x14ac:dyDescent="0.3">
      <c r="A329" s="2" t="s">
        <v>943</v>
      </c>
      <c r="B329" s="2" t="s">
        <v>2833</v>
      </c>
      <c r="C329" s="2" t="s">
        <v>2834</v>
      </c>
      <c r="D329" s="2" t="s">
        <v>2835</v>
      </c>
      <c r="E329" s="2" t="str">
        <f>HYPERLINK("http://twitter.com/LaurenDaley1")</f>
        <v>http://twitter.com/LaurenDaley1</v>
      </c>
      <c r="F329" s="2" t="str">
        <f>HYPERLINK("https://muckrack.com/lauren-daley")</f>
        <v>https://muckrack.com/lauren-daley</v>
      </c>
      <c r="G329" s="2">
        <v>2140</v>
      </c>
      <c r="H329" s="2"/>
      <c r="I329" s="2" t="s">
        <v>2836</v>
      </c>
      <c r="J329" s="2" t="s">
        <v>2837</v>
      </c>
      <c r="K329" s="2" t="s">
        <v>2838</v>
      </c>
      <c r="L329" s="2" t="str">
        <f>HYPERLINK("https://t.co/QA2YMSB60z")</f>
        <v>https://t.co/QA2YMSB60z</v>
      </c>
      <c r="M329" s="5">
        <v>45483.480057870373</v>
      </c>
      <c r="N329" s="2" t="str">
        <f>HYPERLINK("http://twitter.com/LaurenDaley1/status/1811060633779032403")</f>
        <v>http://twitter.com/LaurenDaley1/status/1811060633779032403</v>
      </c>
      <c r="O329" s="2" t="str">
        <f>HYPERLINK("https://www.bostonglobe.com/2024/07/03/metro/rhode-island-things-to-do/")</f>
        <v>https://www.bostonglobe.com/2024/07/03/metro/rhode-island-things-to-do/</v>
      </c>
    </row>
    <row r="330" spans="1:15" ht="79.2" x14ac:dyDescent="0.3">
      <c r="A330" s="2" t="s">
        <v>2840</v>
      </c>
      <c r="B330" s="2" t="s">
        <v>2841</v>
      </c>
      <c r="C330" s="2" t="s">
        <v>2842</v>
      </c>
      <c r="D330" s="2" t="s">
        <v>2843</v>
      </c>
      <c r="E330" s="2" t="str">
        <f>HYPERLINK("http://twitter.com/FitzProv")</f>
        <v>http://twitter.com/FitzProv</v>
      </c>
      <c r="F330" s="2" t="str">
        <f>HYPERLINK("https://muckrack.com/edward-fitzpatrick")</f>
        <v>https://muckrack.com/edward-fitzpatrick</v>
      </c>
      <c r="G330" s="2">
        <v>14470</v>
      </c>
      <c r="H330" s="2" t="s">
        <v>2844</v>
      </c>
      <c r="I330" s="2" t="s">
        <v>2845</v>
      </c>
      <c r="J330" s="2" t="s">
        <v>2361</v>
      </c>
      <c r="K330" s="2" t="s">
        <v>2846</v>
      </c>
      <c r="L330" s="2" t="s">
        <v>2847</v>
      </c>
      <c r="M330" s="5">
        <v>45478.639965277784</v>
      </c>
      <c r="N330" s="2" t="str">
        <f>HYPERLINK("http://twitter.com/FitzProv/status/1809306643630538875")</f>
        <v>http://twitter.com/FitzProv/status/1809306643630538875</v>
      </c>
      <c r="O330" s="2" t="str">
        <f>HYPERLINK("https://www.bostonglobe.com/2024/07/03/metro/rhode-island-things-to-do/")</f>
        <v>https://www.bostonglobe.com/2024/07/03/metro/rhode-island-things-to-do/</v>
      </c>
    </row>
    <row r="331" spans="1:15" ht="92.4" x14ac:dyDescent="0.3">
      <c r="A331" s="2" t="s">
        <v>809</v>
      </c>
      <c r="B331" s="2" t="s">
        <v>2746</v>
      </c>
      <c r="C331" s="2"/>
      <c r="D331" s="2" t="s">
        <v>2747</v>
      </c>
      <c r="E331" s="2" t="str">
        <f>HYPERLINK("http://twitter.com/TeddyBahu")</f>
        <v>http://twitter.com/TeddyBahu</v>
      </c>
      <c r="F331" s="2" t="str">
        <f>HYPERLINK("https://muckrack.com/teddy-bahu")</f>
        <v>https://muckrack.com/teddy-bahu</v>
      </c>
      <c r="G331" s="2">
        <v>2293</v>
      </c>
      <c r="H331" s="2" t="s">
        <v>2748</v>
      </c>
      <c r="I331" s="2" t="s">
        <v>2749</v>
      </c>
      <c r="J331" s="2" t="s">
        <v>2033</v>
      </c>
      <c r="K331" s="2" t="s">
        <v>2750</v>
      </c>
      <c r="L331" s="2" t="s">
        <v>2848</v>
      </c>
      <c r="M331" s="5">
        <v>45476.546423611107</v>
      </c>
      <c r="N331" s="2" t="str">
        <f>HYPERLINK("http://twitter.com/TeddyBahu/status/1808547966761795657")</f>
        <v>http://twitter.com/TeddyBahu/status/1808547966761795657</v>
      </c>
      <c r="O331" s="2" t="str">
        <f>HYPERLINK("https://prepsoccer.com/2024/07/ecnl-seattle-midwest-cl-evaluations/")</f>
        <v>https://prepsoccer.com/2024/07/ecnl-seattle-midwest-cl-evaluations/</v>
      </c>
    </row>
    <row r="332" spans="1:15" ht="66" x14ac:dyDescent="0.3">
      <c r="A332" s="2" t="s">
        <v>29</v>
      </c>
      <c r="B332" s="2" t="s">
        <v>1910</v>
      </c>
      <c r="C332" s="2" t="s">
        <v>1911</v>
      </c>
      <c r="D332" s="2" t="s">
        <v>1912</v>
      </c>
      <c r="E332" s="2" t="str">
        <f>HYPERLINK("http://twitter.com/DougRobersonAJC")</f>
        <v>http://twitter.com/DougRobersonAJC</v>
      </c>
      <c r="F332" s="2" t="str">
        <f>HYPERLINK("https://muckrack.com/doug-roberson")</f>
        <v>https://muckrack.com/doug-roberson</v>
      </c>
      <c r="G332" s="2">
        <v>16740</v>
      </c>
      <c r="H332" s="2" t="s">
        <v>1913</v>
      </c>
      <c r="I332" s="2" t="s">
        <v>1914</v>
      </c>
      <c r="J332" s="2" t="s">
        <v>1915</v>
      </c>
      <c r="K332" s="2" t="s">
        <v>30</v>
      </c>
      <c r="L332" s="2" t="s">
        <v>2849</v>
      </c>
      <c r="M332" s="5">
        <v>45475.655856481477</v>
      </c>
      <c r="N332" s="2" t="str">
        <f>HYPERLINK("http://twitter.com/DougRobersonAJC/status/1808225238036976034")</f>
        <v>http://twitter.com/DougRobersonAJC/status/1808225238036976034</v>
      </c>
      <c r="O332" s="2" t="str">
        <f>HYPERLINK("https://www.ajc.com/sports/atlanta-united/southern-fried-soccer-previewing-atlanta-united-at-new-england/RNSGW34UDVHTPMB3XVK4RRYXSU/")</f>
        <v>https://www.ajc.com/sports/atlanta-united/southern-fried-soccer-previewing-atlanta-united-at-new-england/RNSGW34UDVHTPMB3XVK4RRYXSU/</v>
      </c>
    </row>
    <row r="333" spans="1:15" ht="66" x14ac:dyDescent="0.3">
      <c r="A333" s="2" t="s">
        <v>29</v>
      </c>
      <c r="B333" s="2" t="s">
        <v>1910</v>
      </c>
      <c r="C333" s="2" t="s">
        <v>1911</v>
      </c>
      <c r="D333" s="2" t="s">
        <v>1912</v>
      </c>
      <c r="E333" s="2" t="str">
        <f>HYPERLINK("http://twitter.com/DougRobersonAJC")</f>
        <v>http://twitter.com/DougRobersonAJC</v>
      </c>
      <c r="F333" s="2" t="str">
        <f>HYPERLINK("https://muckrack.com/doug-roberson")</f>
        <v>https://muckrack.com/doug-roberson</v>
      </c>
      <c r="G333" s="2">
        <v>16740</v>
      </c>
      <c r="H333" s="2" t="s">
        <v>1913</v>
      </c>
      <c r="I333" s="2" t="s">
        <v>1914</v>
      </c>
      <c r="J333" s="2" t="s">
        <v>1915</v>
      </c>
      <c r="K333" s="2" t="s">
        <v>30</v>
      </c>
      <c r="L333" s="2" t="s">
        <v>2850</v>
      </c>
      <c r="M333" s="5">
        <v>45475.623449074083</v>
      </c>
      <c r="N333" s="2" t="str">
        <f>HYPERLINK("http://twitter.com/DougRobersonAJC/status/1808213493012934993")</f>
        <v>http://twitter.com/DougRobersonAJC/status/1808213493012934993</v>
      </c>
      <c r="O333" s="2" t="str">
        <f>HYPERLINK("https://www.ajc.com/sports/atlanta-united/info-to-know-atlanta-united-at-new-england/YDWC6MTZG5CWZESTGY4AZY4KJE/")</f>
        <v>https://www.ajc.com/sports/atlanta-united/info-to-know-atlanta-united-at-new-england/YDWC6MTZG5CWZESTGY4AZY4KJE/</v>
      </c>
    </row>
    <row r="334" spans="1:15" ht="79.2" x14ac:dyDescent="0.3">
      <c r="A334" s="2" t="s">
        <v>931</v>
      </c>
      <c r="B334" s="2" t="s">
        <v>2790</v>
      </c>
      <c r="C334" s="2" t="s">
        <v>2791</v>
      </c>
      <c r="D334" s="2" t="s">
        <v>2792</v>
      </c>
      <c r="E334" s="2" t="str">
        <f>HYPERLINK("http://twitter.com/JeffWaldFox9")</f>
        <v>http://twitter.com/JeffWaldFox9</v>
      </c>
      <c r="F334" s="2" t="str">
        <f>HYPERLINK("https://muckrack.com/jrwald7")</f>
        <v>https://muckrack.com/jrwald7</v>
      </c>
      <c r="G334" s="2">
        <v>2968</v>
      </c>
      <c r="H334" s="2" t="s">
        <v>2793</v>
      </c>
      <c r="I334" s="2" t="s">
        <v>2794</v>
      </c>
      <c r="J334" s="2" t="s">
        <v>2795</v>
      </c>
      <c r="K334" s="2" t="s">
        <v>930</v>
      </c>
      <c r="L334" s="2" t="s">
        <v>2851</v>
      </c>
      <c r="M334" s="5">
        <v>45475.517905092587</v>
      </c>
      <c r="N334" s="2" t="str">
        <f>HYPERLINK("http://twitter.com/JeffWaldFox9/status/1808175244085285040")</f>
        <v>http://twitter.com/JeffWaldFox9/status/1808175244085285040</v>
      </c>
      <c r="O334" s="2" t="str">
        <f>HYPERLINK("https://www.fox9.com/sports/minnesota-aurora-fc-face-indy-eleven-usl-w-playoffs-friday-detroit")</f>
        <v>https://www.fox9.com/sports/minnesota-aurora-fc-face-indy-eleven-usl-w-playoffs-friday-detroit</v>
      </c>
    </row>
    <row r="335" spans="1:15" ht="52.8" x14ac:dyDescent="0.3">
      <c r="A335" s="2" t="s">
        <v>953</v>
      </c>
      <c r="B335" s="2" t="s">
        <v>2674</v>
      </c>
      <c r="C335" s="2" t="s">
        <v>2675</v>
      </c>
      <c r="D335" s="2" t="s">
        <v>2676</v>
      </c>
      <c r="E335" s="2" t="str">
        <f>HYPERLINK("http://twitter.com/JREskilson")</f>
        <v>http://twitter.com/JREskilson</v>
      </c>
      <c r="F335" s="2" t="str">
        <f>HYPERLINK("https://muckrack.com/jr-eskilson")</f>
        <v>https://muckrack.com/jr-eskilson</v>
      </c>
      <c r="G335" s="2">
        <v>11261</v>
      </c>
      <c r="H335" s="2"/>
      <c r="I335" s="2" t="s">
        <v>2677</v>
      </c>
      <c r="J335" s="2" t="s">
        <v>2033</v>
      </c>
      <c r="K335" s="2" t="s">
        <v>354</v>
      </c>
      <c r="L335" s="2" t="s">
        <v>2852</v>
      </c>
      <c r="M335" s="5">
        <v>45475.808344907397</v>
      </c>
      <c r="N335" s="2" t="str">
        <f>HYPERLINK("http://twitter.com/JREskilson/status/1808280498244145269")</f>
        <v>http://twitter.com/JREskilson/status/1808280498244145269</v>
      </c>
      <c r="O335" s="2" t="str">
        <f>HYPERLINK("https://prepsoccer.com/2024/07/prep-soccer-ecnl-playoffs-2010-best-xi/")</f>
        <v>https://prepsoccer.com/2024/07/prep-soccer-ecnl-playoffs-2010-best-xi/</v>
      </c>
    </row>
    <row r="336" spans="1:15" ht="66" x14ac:dyDescent="0.3">
      <c r="A336" s="2" t="s">
        <v>29</v>
      </c>
      <c r="B336" s="2" t="s">
        <v>1910</v>
      </c>
      <c r="C336" s="2" t="s">
        <v>1911</v>
      </c>
      <c r="D336" s="2" t="s">
        <v>1912</v>
      </c>
      <c r="E336" s="2" t="str">
        <f>HYPERLINK("http://twitter.com/DougRobersonAJC")</f>
        <v>http://twitter.com/DougRobersonAJC</v>
      </c>
      <c r="F336" s="2" t="str">
        <f>HYPERLINK("https://muckrack.com/doug-roberson")</f>
        <v>https://muckrack.com/doug-roberson</v>
      </c>
      <c r="G336" s="2">
        <v>16740</v>
      </c>
      <c r="H336" s="2" t="s">
        <v>1913</v>
      </c>
      <c r="I336" s="2" t="s">
        <v>1914</v>
      </c>
      <c r="J336" s="2" t="s">
        <v>1915</v>
      </c>
      <c r="K336" s="2" t="s">
        <v>30</v>
      </c>
      <c r="L336" s="2" t="s">
        <v>2853</v>
      </c>
      <c r="M336" s="5">
        <v>45474.503518518519</v>
      </c>
      <c r="N336" s="2" t="str">
        <f>HYPERLINK("http://twitter.com/DougRobersonAJC/status/1807807645744505112")</f>
        <v>http://twitter.com/DougRobersonAJC/status/1807807645744505112</v>
      </c>
      <c r="O336" s="2" t="str">
        <f>HYPERLINK("https://www.ajc.com/sports/atlanta-united/valentino-said-thiares-goal-is-beauty-of-sport/KVDNPY7UHRGZZMGXCNPKA4ZFTI/")</f>
        <v>https://www.ajc.com/sports/atlanta-united/valentino-said-thiares-goal-is-beauty-of-sport/KVDNPY7UHRGZZMGXCNPKA4ZFTI/</v>
      </c>
    </row>
    <row r="337" spans="1:15" ht="66" x14ac:dyDescent="0.3">
      <c r="A337" s="2" t="s">
        <v>29</v>
      </c>
      <c r="B337" s="2" t="s">
        <v>1910</v>
      </c>
      <c r="C337" s="2" t="s">
        <v>1911</v>
      </c>
      <c r="D337" s="2" t="s">
        <v>1912</v>
      </c>
      <c r="E337" s="2" t="str">
        <f>HYPERLINK("http://twitter.com/DougRobersonAJC")</f>
        <v>http://twitter.com/DougRobersonAJC</v>
      </c>
      <c r="F337" s="2" t="str">
        <f>HYPERLINK("https://muckrack.com/doug-roberson")</f>
        <v>https://muckrack.com/doug-roberson</v>
      </c>
      <c r="G337" s="2">
        <v>16740</v>
      </c>
      <c r="H337" s="2" t="s">
        <v>1913</v>
      </c>
      <c r="I337" s="2" t="s">
        <v>1914</v>
      </c>
      <c r="J337" s="2" t="s">
        <v>1915</v>
      </c>
      <c r="K337" s="2" t="s">
        <v>30</v>
      </c>
      <c r="L337" s="2" t="s">
        <v>2854</v>
      </c>
      <c r="M337" s="5">
        <v>45474.488078703696</v>
      </c>
      <c r="N337" s="2" t="str">
        <f>HYPERLINK("http://twitter.com/DougRobersonAJC/status/1807802049926705505")</f>
        <v>http://twitter.com/DougRobersonAJC/status/1807802049926705505</v>
      </c>
      <c r="O337" s="2" t="str">
        <f>HYPERLINK("https://www.ajc.com/sports/atlanta-united/thiago-almada-likely-unavailable-for-new-england/46Z3VL7MF5EFZE4G74OSGEI5YM/")</f>
        <v>https://www.ajc.com/sports/atlanta-united/thiago-almada-likely-unavailable-for-new-england/46Z3VL7MF5EFZE4G74OSGEI5YM/</v>
      </c>
    </row>
    <row r="338" spans="1:15" ht="66" x14ac:dyDescent="0.3">
      <c r="A338" s="2" t="s">
        <v>29</v>
      </c>
      <c r="B338" s="2" t="s">
        <v>1910</v>
      </c>
      <c r="C338" s="2" t="s">
        <v>1911</v>
      </c>
      <c r="D338" s="2" t="s">
        <v>1912</v>
      </c>
      <c r="E338" s="2" t="str">
        <f>HYPERLINK("http://twitter.com/DougRobersonAJC")</f>
        <v>http://twitter.com/DougRobersonAJC</v>
      </c>
      <c r="F338" s="2" t="str">
        <f>HYPERLINK("https://muckrack.com/doug-roberson")</f>
        <v>https://muckrack.com/doug-roberson</v>
      </c>
      <c r="G338" s="2">
        <v>16740</v>
      </c>
      <c r="H338" s="2" t="s">
        <v>1913</v>
      </c>
      <c r="I338" s="2" t="s">
        <v>1914</v>
      </c>
      <c r="J338" s="2" t="s">
        <v>1915</v>
      </c>
      <c r="K338" s="2" t="s">
        <v>30</v>
      </c>
      <c r="L338" s="2" t="s">
        <v>2855</v>
      </c>
      <c r="M338" s="5">
        <v>45476.767326388886</v>
      </c>
      <c r="N338" s="2" t="str">
        <f>HYPERLINK("http://twitter.com/DougRobersonAJC/status/1808628019075961082")</f>
        <v>http://twitter.com/DougRobersonAJC/status/1808628019075961082</v>
      </c>
      <c r="O338" s="2" t="str">
        <f>HYPERLINK("https://www.ajc.com/sports/atlanta-united/thiago-almada-likely-unavailable-for-new-england/46Z3VL7MF5EFZE4G74OSGEI5YM/")</f>
        <v>https://www.ajc.com/sports/atlanta-united/thiago-almada-likely-unavailable-for-new-england/46Z3VL7MF5EFZE4G74OSGEI5YM/</v>
      </c>
    </row>
    <row r="339" spans="1:15" ht="66" x14ac:dyDescent="0.3">
      <c r="A339" s="2" t="s">
        <v>29</v>
      </c>
      <c r="B339" s="2" t="s">
        <v>1910</v>
      </c>
      <c r="C339" s="2" t="s">
        <v>1911</v>
      </c>
      <c r="D339" s="2" t="s">
        <v>1912</v>
      </c>
      <c r="E339" s="2" t="str">
        <f>HYPERLINK("http://twitter.com/DougRobersonAJC")</f>
        <v>http://twitter.com/DougRobersonAJC</v>
      </c>
      <c r="F339" s="2" t="str">
        <f>HYPERLINK("https://muckrack.com/doug-roberson")</f>
        <v>https://muckrack.com/doug-roberson</v>
      </c>
      <c r="G339" s="2">
        <v>16740</v>
      </c>
      <c r="H339" s="2" t="s">
        <v>1913</v>
      </c>
      <c r="I339" s="2" t="s">
        <v>1914</v>
      </c>
      <c r="J339" s="2" t="s">
        <v>1915</v>
      </c>
      <c r="K339" s="2" t="s">
        <v>30</v>
      </c>
      <c r="L339" s="2" t="s">
        <v>2856</v>
      </c>
      <c r="M339" s="5">
        <v>45476.798796296287</v>
      </c>
      <c r="N339" s="2" t="str">
        <f>HYPERLINK("http://twitter.com/DougRobersonAJC/status/1808639424793629166")</f>
        <v>http://twitter.com/DougRobersonAJC/status/1808639424793629166</v>
      </c>
      <c r="O339" s="2" t="str">
        <f>HYPERLINK("https://www.ajc.com/sports/atlanta-united/thiago-almada-likely-unavailable-for-new-england/46Z3VL7MF5EFZE4G74OSGEI5YM/")</f>
        <v>https://www.ajc.com/sports/atlanta-united/thiago-almada-likely-unavailable-for-new-england/46Z3VL7MF5EFZE4G74OSGEI5YM/</v>
      </c>
    </row>
    <row r="340" spans="1:15" ht="66" x14ac:dyDescent="0.3">
      <c r="A340" s="2" t="s">
        <v>29</v>
      </c>
      <c r="B340" s="2" t="s">
        <v>1910</v>
      </c>
      <c r="C340" s="2" t="s">
        <v>1911</v>
      </c>
      <c r="D340" s="2" t="s">
        <v>1912</v>
      </c>
      <c r="E340" s="2" t="str">
        <f>HYPERLINK("http://twitter.com/DougRobersonAJC")</f>
        <v>http://twitter.com/DougRobersonAJC</v>
      </c>
      <c r="F340" s="2" t="str">
        <f>HYPERLINK("https://muckrack.com/doug-roberson")</f>
        <v>https://muckrack.com/doug-roberson</v>
      </c>
      <c r="G340" s="2">
        <v>16740</v>
      </c>
      <c r="H340" s="2" t="s">
        <v>1913</v>
      </c>
      <c r="I340" s="2" t="s">
        <v>1914</v>
      </c>
      <c r="J340" s="2" t="s">
        <v>1915</v>
      </c>
      <c r="K340" s="2" t="s">
        <v>30</v>
      </c>
      <c r="L340" s="2" t="s">
        <v>2857</v>
      </c>
      <c r="M340" s="5">
        <v>45474.40697916667</v>
      </c>
      <c r="N340" s="2" t="str">
        <f>HYPERLINK("http://twitter.com/DougRobersonAJC/status/1807772659540689268")</f>
        <v>http://twitter.com/DougRobersonAJC/status/1807772659540689268</v>
      </c>
      <c r="O340" s="2" t="str">
        <f>HYPERLINK("https://www.ajc.com/sports/atlanta-united/atlanta-united-signs-fullback-pedro-amador/IPKZDHSHK5BNFI5NZM5UD2N7KY/")</f>
        <v>https://www.ajc.com/sports/atlanta-united/atlanta-united-signs-fullback-pedro-amador/IPKZDHSHK5BNFI5NZM5UD2N7KY/</v>
      </c>
    </row>
    <row r="341" spans="1:15" ht="66" x14ac:dyDescent="0.3">
      <c r="A341" s="2" t="s">
        <v>2725</v>
      </c>
      <c r="B341" s="2" t="s">
        <v>2289</v>
      </c>
      <c r="C341" s="2" t="s">
        <v>2726</v>
      </c>
      <c r="D341" s="2" t="s">
        <v>2727</v>
      </c>
      <c r="E341" s="2" t="str">
        <f>HYPERLINK("http://twitter.com/daveschechter")</f>
        <v>http://twitter.com/daveschechter</v>
      </c>
      <c r="F341" s="2" t="str">
        <f>HYPERLINK("https://muckrack.com/daveschechter")</f>
        <v>https://muckrack.com/daveschechter</v>
      </c>
      <c r="G341" s="2">
        <v>890</v>
      </c>
      <c r="H341" s="2" t="s">
        <v>2728</v>
      </c>
      <c r="I341" s="2" t="s">
        <v>2729</v>
      </c>
      <c r="J341" s="2" t="s">
        <v>2722</v>
      </c>
      <c r="K341" s="2" t="s">
        <v>2034</v>
      </c>
      <c r="L341" s="2" t="s">
        <v>2858</v>
      </c>
      <c r="M341" s="5">
        <v>45474.411122685182</v>
      </c>
      <c r="N341" s="2" t="str">
        <f>HYPERLINK("http://twitter.com/daveschechter/status/1807774161315528982")</f>
        <v>http://twitter.com/daveschechter/status/1807774161315528982</v>
      </c>
      <c r="O341" s="2" t="str">
        <f>HYPERLINK("https://www.ajc.com/sports/atlanta-united/atlanta-united-signs-fullback-pedro-amador/IPKZDHSHK5BNFI5NZM5UD2N7KY/")</f>
        <v>https://www.ajc.com/sports/atlanta-united/atlanta-united-signs-fullback-pedro-amador/IPKZDHSHK5BNFI5NZM5UD2N7KY/</v>
      </c>
    </row>
    <row r="342" spans="1:15" ht="39.6" x14ac:dyDescent="0.3">
      <c r="A342" s="2" t="s">
        <v>263</v>
      </c>
      <c r="B342" s="2" t="s">
        <v>2221</v>
      </c>
      <c r="C342" s="2" t="s">
        <v>2222</v>
      </c>
      <c r="D342" s="2" t="s">
        <v>2223</v>
      </c>
      <c r="E342" s="2" t="str">
        <f>HYPERLINK("http://twitter.com/pkedit")</f>
        <v>http://twitter.com/pkedit</v>
      </c>
      <c r="F342" s="2" t="str">
        <f>HYPERLINK("https://muckrack.com/paul-kennedy")</f>
        <v>https://muckrack.com/paul-kennedy</v>
      </c>
      <c r="G342" s="2">
        <v>10080</v>
      </c>
      <c r="H342" s="2"/>
      <c r="I342" s="2" t="s">
        <v>2224</v>
      </c>
      <c r="J342" s="2" t="s">
        <v>1929</v>
      </c>
      <c r="K342" s="2" t="s">
        <v>264</v>
      </c>
      <c r="L342" s="2" t="s">
        <v>2859</v>
      </c>
      <c r="M342" s="5">
        <v>45474.003993055558</v>
      </c>
      <c r="N342" s="2" t="str">
        <f>HYPERLINK("http://twitter.com/pkedit/status/1807626621861626253")</f>
        <v>http://twitter.com/pkedit/status/1807626621861626253</v>
      </c>
      <c r="O342" s="2" t="str">
        <f>HYPERLINK("https://www.socceramerica.com/usl-w-league-playoffs/")</f>
        <v>https://www.socceramerica.com/usl-w-league-playoffs/</v>
      </c>
    </row>
    <row r="343" spans="1:15" ht="79.2" x14ac:dyDescent="0.3">
      <c r="A343" s="2" t="s">
        <v>2860</v>
      </c>
      <c r="B343" s="2" t="s">
        <v>2227</v>
      </c>
      <c r="C343" s="2" t="s">
        <v>2861</v>
      </c>
      <c r="D343" s="2" t="s">
        <v>2862</v>
      </c>
      <c r="E343" s="2" t="str">
        <f>HYPERLINK("http://twitter.com/RachaelKPalmer")</f>
        <v>http://twitter.com/RachaelKPalmer</v>
      </c>
      <c r="F343" s="2" t="str">
        <f>HYPERLINK("https://muckrack.com/rachael-mckriger")</f>
        <v>https://muckrack.com/rachael-mckriger</v>
      </c>
      <c r="G343" s="2">
        <v>3570</v>
      </c>
      <c r="H343" s="2" t="s">
        <v>2187</v>
      </c>
      <c r="I343" s="2" t="s">
        <v>2863</v>
      </c>
      <c r="J343" s="2" t="s">
        <v>1929</v>
      </c>
      <c r="K343" s="2" t="s">
        <v>2034</v>
      </c>
      <c r="L343" s="2" t="s">
        <v>2864</v>
      </c>
      <c r="M343" s="5">
        <v>45474.004872685182</v>
      </c>
      <c r="N343" s="2" t="str">
        <f>HYPERLINK("http://twitter.com/RachaelKPalmer/status/1807626939445752183")</f>
        <v>http://twitter.com/RachaelKPalmer/status/1807626939445752183</v>
      </c>
      <c r="O343" s="2" t="str">
        <f>HYPERLINK("https://www.uslwleague.com/news_article/show/1313356")</f>
        <v>https://www.uslwleague.com/news_article/show/1313356</v>
      </c>
    </row>
    <row r="344" spans="1:15" ht="79.2" x14ac:dyDescent="0.3">
      <c r="A344" s="2" t="s">
        <v>2865</v>
      </c>
      <c r="B344" s="2" t="s">
        <v>2866</v>
      </c>
      <c r="C344" s="2" t="s">
        <v>2867</v>
      </c>
      <c r="D344" s="2" t="s">
        <v>2868</v>
      </c>
      <c r="E344" s="2" t="str">
        <f>HYPERLINK("http://twitter.com/OSGNelson")</f>
        <v>http://twitter.com/OSGNelson</v>
      </c>
      <c r="F344" s="2" t="str">
        <f>HYPERLINK("https://muckrack.com/jon-nelson")</f>
        <v>https://muckrack.com/jon-nelson</v>
      </c>
      <c r="G344" s="2">
        <v>3176</v>
      </c>
      <c r="H344" s="2" t="s">
        <v>2728</v>
      </c>
      <c r="I344" s="2" t="s">
        <v>2869</v>
      </c>
      <c r="J344" s="2" t="s">
        <v>2148</v>
      </c>
      <c r="K344" s="2" t="s">
        <v>2870</v>
      </c>
      <c r="L344" s="2" t="s">
        <v>2864</v>
      </c>
      <c r="M344" s="5">
        <v>45474.483472222222</v>
      </c>
      <c r="N344" s="2" t="str">
        <f>HYPERLINK("http://twitter.com/OSGNelson/status/1807800378584346743")</f>
        <v>http://twitter.com/OSGNelson/status/1807800378584346743</v>
      </c>
      <c r="O344" s="2" t="str">
        <f>HYPERLINK("https://www.uslwleague.com/news_article/show/1313356")</f>
        <v>https://www.uslwleague.com/news_article/show/1313356</v>
      </c>
    </row>
    <row r="345" spans="1:15" ht="66" x14ac:dyDescent="0.3">
      <c r="A345" s="2" t="s">
        <v>29</v>
      </c>
      <c r="B345" s="2" t="s">
        <v>1910</v>
      </c>
      <c r="C345" s="2" t="s">
        <v>1911</v>
      </c>
      <c r="D345" s="2" t="s">
        <v>1912</v>
      </c>
      <c r="E345" s="2" t="str">
        <f>HYPERLINK("http://twitter.com/DougRobersonAJC")</f>
        <v>http://twitter.com/DougRobersonAJC</v>
      </c>
      <c r="F345" s="2" t="str">
        <f>HYPERLINK("https://muckrack.com/doug-roberson")</f>
        <v>https://muckrack.com/doug-roberson</v>
      </c>
      <c r="G345" s="2">
        <v>16740</v>
      </c>
      <c r="H345" s="2" t="s">
        <v>1913</v>
      </c>
      <c r="I345" s="2" t="s">
        <v>1914</v>
      </c>
      <c r="J345" s="2" t="s">
        <v>1915</v>
      </c>
      <c r="K345" s="2" t="s">
        <v>30</v>
      </c>
      <c r="L345" s="2" t="s">
        <v>2871</v>
      </c>
      <c r="M345" s="5">
        <v>45473.603842592587</v>
      </c>
      <c r="N345" s="2" t="str">
        <f>HYPERLINK("http://twitter.com/DougRobersonAJC/status/1807481614491951252")</f>
        <v>http://twitter.com/DougRobersonAJC/status/1807481614491951252</v>
      </c>
      <c r="O345" s="2" t="str">
        <f>HYPERLINK("https://www.ajc.com/sports/atlanta-united/southern-fried-soccer-goodbye-to-atlanta-uniteds-thiago-almada/CA2PYJLCDJGPZN5JGEHPKPFHJE/")</f>
        <v>https://www.ajc.com/sports/atlanta-united/southern-fried-soccer-goodbye-to-atlanta-uniteds-thiago-almada/CA2PYJLCDJGPZN5JGEHPKPFHJE/</v>
      </c>
    </row>
    <row r="346" spans="1:15" ht="66" x14ac:dyDescent="0.3">
      <c r="A346" s="2" t="s">
        <v>29</v>
      </c>
      <c r="B346" s="2" t="s">
        <v>1910</v>
      </c>
      <c r="C346" s="2" t="s">
        <v>1911</v>
      </c>
      <c r="D346" s="2" t="s">
        <v>1912</v>
      </c>
      <c r="E346" s="2" t="str">
        <f>HYPERLINK("http://twitter.com/DougRobersonAJC")</f>
        <v>http://twitter.com/DougRobersonAJC</v>
      </c>
      <c r="F346" s="2" t="str">
        <f>HYPERLINK("https://muckrack.com/doug-roberson")</f>
        <v>https://muckrack.com/doug-roberson</v>
      </c>
      <c r="G346" s="2">
        <v>16740</v>
      </c>
      <c r="H346" s="2" t="s">
        <v>1913</v>
      </c>
      <c r="I346" s="2" t="s">
        <v>1914</v>
      </c>
      <c r="J346" s="2" t="s">
        <v>1915</v>
      </c>
      <c r="K346" s="2" t="s">
        <v>30</v>
      </c>
      <c r="L346" s="2" t="s">
        <v>2872</v>
      </c>
      <c r="M346" s="5">
        <v>45473.604050925933</v>
      </c>
      <c r="N346" s="2" t="str">
        <f>HYPERLINK("http://twitter.com/DougRobersonAJC/status/1807481686772318269")</f>
        <v>http://twitter.com/DougRobersonAJC/status/1807481686772318269</v>
      </c>
      <c r="O346" s="2" t="str">
        <f>HYPERLINK("https://www.ajc.com/sports/atlanta-united/southern-fried-soccer-goodbye-to-atlanta-uniteds-thiago-almada/CA2PYJLCDJGPZN5JGEHPKPFHJE/")</f>
        <v>https://www.ajc.com/sports/atlanta-united/southern-fried-soccer-goodbye-to-atlanta-uniteds-thiago-almada/CA2PYJLCDJGPZN5JGEHPKPFHJE/</v>
      </c>
    </row>
    <row r="347" spans="1:15" ht="66" x14ac:dyDescent="0.3">
      <c r="A347" s="2" t="s">
        <v>29</v>
      </c>
      <c r="B347" s="2" t="s">
        <v>1910</v>
      </c>
      <c r="C347" s="2" t="s">
        <v>1911</v>
      </c>
      <c r="D347" s="2" t="s">
        <v>1912</v>
      </c>
      <c r="E347" s="2" t="str">
        <f>HYPERLINK("http://twitter.com/DougRobersonAJC")</f>
        <v>http://twitter.com/DougRobersonAJC</v>
      </c>
      <c r="F347" s="2" t="str">
        <f>HYPERLINK("https://muckrack.com/doug-roberson")</f>
        <v>https://muckrack.com/doug-roberson</v>
      </c>
      <c r="G347" s="2">
        <v>16740</v>
      </c>
      <c r="H347" s="2" t="s">
        <v>1913</v>
      </c>
      <c r="I347" s="2" t="s">
        <v>1914</v>
      </c>
      <c r="J347" s="2" t="s">
        <v>1915</v>
      </c>
      <c r="K347" s="2" t="s">
        <v>30</v>
      </c>
      <c r="L347" s="2" t="s">
        <v>2873</v>
      </c>
      <c r="M347" s="5">
        <v>45473.471886574072</v>
      </c>
      <c r="N347" s="2" t="str">
        <f>HYPERLINK("http://twitter.com/DougRobersonAJC/status/1807433793440997473")</f>
        <v>http://twitter.com/DougRobersonAJC/status/1807433793440997473</v>
      </c>
      <c r="O347" s="2" t="str">
        <f>HYPERLINK("https://www.ajc.com/sports/atlanta-united/atlanta-united-on-verge-of-completing-30-million-thiago-almada-transfer/JBLE4MVNANGGDPTJGO4NKUKS4U/")</f>
        <v>https://www.ajc.com/sports/atlanta-united/atlanta-united-on-verge-of-completing-30-million-thiago-almada-transfer/JBLE4MVNANGGDPTJGO4NKUKS4U/</v>
      </c>
    </row>
    <row r="348" spans="1:15" ht="66" x14ac:dyDescent="0.3">
      <c r="A348" s="2" t="s">
        <v>2466</v>
      </c>
      <c r="B348" s="2" t="s">
        <v>2467</v>
      </c>
      <c r="C348" s="2" t="s">
        <v>2468</v>
      </c>
      <c r="D348" s="2" t="s">
        <v>2469</v>
      </c>
      <c r="E348" s="2" t="str">
        <f>HYPERLINK("http://twitter.com/RobUsry")</f>
        <v>http://twitter.com/RobUsry</v>
      </c>
      <c r="F348" s="2" t="str">
        <f>HYPERLINK("https://muckrack.com/rob-usry")</f>
        <v>https://muckrack.com/rob-usry</v>
      </c>
      <c r="G348" s="2">
        <v>10768</v>
      </c>
      <c r="H348" s="2" t="s">
        <v>2470</v>
      </c>
      <c r="I348" s="2" t="s">
        <v>2471</v>
      </c>
      <c r="J348" s="2" t="s">
        <v>2033</v>
      </c>
      <c r="K348" s="2" t="s">
        <v>2472</v>
      </c>
      <c r="L348" s="2" t="s">
        <v>2874</v>
      </c>
      <c r="M348" s="5">
        <v>45473.476863425924</v>
      </c>
      <c r="N348" s="2" t="str">
        <f>HYPERLINK("http://twitter.com/RobUsry/status/1807435595548950852")</f>
        <v>http://twitter.com/RobUsry/status/1807435595548950852</v>
      </c>
      <c r="O348" s="2" t="str">
        <f>HYPERLINK("https://www.ajc.com/sports/atlanta-united/atlanta-united-on-verge-of-completing-30-million-thiago-almada-transfer/JBLE4MVNANGGDPTJGO4NKUKS4U/")</f>
        <v>https://www.ajc.com/sports/atlanta-united/atlanta-united-on-verge-of-completing-30-million-thiago-almada-transfer/JBLE4MVNANGGDPTJGO4NKUKS4U/</v>
      </c>
    </row>
    <row r="349" spans="1:15" ht="66" x14ac:dyDescent="0.3">
      <c r="A349" s="2" t="s">
        <v>1963</v>
      </c>
      <c r="B349" s="2" t="s">
        <v>1964</v>
      </c>
      <c r="C349" s="2" t="s">
        <v>1965</v>
      </c>
      <c r="D349" s="2" t="s">
        <v>1966</v>
      </c>
      <c r="E349" s="2" t="str">
        <f>HYPERLINK("http://twitter.com/bposhea")</f>
        <v>http://twitter.com/bposhea</v>
      </c>
      <c r="F349" s="2" t="str">
        <f>HYPERLINK("https://muckrack.com/brian-oshea")</f>
        <v>https://muckrack.com/brian-oshea</v>
      </c>
      <c r="G349" s="2">
        <v>1614</v>
      </c>
      <c r="H349" s="2" t="s">
        <v>1913</v>
      </c>
      <c r="I349" s="2" t="s">
        <v>1967</v>
      </c>
      <c r="J349" s="2" t="s">
        <v>1954</v>
      </c>
      <c r="K349" s="2" t="s">
        <v>30</v>
      </c>
      <c r="L349" s="2" t="s">
        <v>2875</v>
      </c>
      <c r="M349" s="5">
        <v>45473.483668981477</v>
      </c>
      <c r="N349" s="2" t="str">
        <f>HYPERLINK("http://twitter.com/bposhea/status/1807438062193979552")</f>
        <v>http://twitter.com/bposhea/status/1807438062193979552</v>
      </c>
      <c r="O349" s="2" t="str">
        <f>HYPERLINK("https://www.ajc.com/sports/atlanta-united/atlanta-united-on-verge-of-completing-30-million-thiago-almada-transfer/JBLE4MVNANGGDPTJGO4NKUKS4U/")</f>
        <v>https://www.ajc.com/sports/atlanta-united/atlanta-united-on-verge-of-completing-30-million-thiago-almada-transfer/JBLE4MVNANGGDPTJGO4NKUKS4U/</v>
      </c>
    </row>
    <row r="350" spans="1:15" ht="66" x14ac:dyDescent="0.3">
      <c r="A350" s="2" t="s">
        <v>2876</v>
      </c>
      <c r="B350" s="2" t="s">
        <v>2877</v>
      </c>
      <c r="C350" s="2" t="s">
        <v>2878</v>
      </c>
      <c r="D350" s="2" t="s">
        <v>2879</v>
      </c>
      <c r="E350" s="2" t="str">
        <f>HYPERLINK("http://twitter.com/sportsbycourt")</f>
        <v>http://twitter.com/sportsbycourt</v>
      </c>
      <c r="F350" s="2" t="str">
        <f>HYPERLINK("https://muckrack.com/courtney-martinez-1")</f>
        <v>https://muckrack.com/courtney-martinez-1</v>
      </c>
      <c r="G350" s="2">
        <v>617</v>
      </c>
      <c r="H350" s="2" t="s">
        <v>2880</v>
      </c>
      <c r="I350" s="2" t="s">
        <v>2881</v>
      </c>
      <c r="J350" s="2" t="s">
        <v>1954</v>
      </c>
      <c r="K350" s="2" t="s">
        <v>2882</v>
      </c>
      <c r="L350" s="2" t="s">
        <v>2874</v>
      </c>
      <c r="M350" s="5">
        <v>45473.503645833327</v>
      </c>
      <c r="N350" s="2" t="str">
        <f>HYPERLINK("http://twitter.com/sportsbycourt/status/1807445304163107193")</f>
        <v>http://twitter.com/sportsbycourt/status/1807445304163107193</v>
      </c>
      <c r="O350" s="2" t="str">
        <f>HYPERLINK("https://www.ajc.com/sports/atlanta-united/atlanta-united-on-verge-of-completing-30-million-thiago-almada-transfer/JBLE4MVNANGGDPTJGO4NKUKS4U/")</f>
        <v>https://www.ajc.com/sports/atlanta-united/atlanta-united-on-verge-of-completing-30-million-thiago-almada-transfer/JBLE4MVNANGGDPTJGO4NKUKS4U/</v>
      </c>
    </row>
    <row r="351" spans="1:15" ht="66" x14ac:dyDescent="0.3">
      <c r="A351" s="2" t="s">
        <v>2245</v>
      </c>
      <c r="B351" s="2" t="s">
        <v>2246</v>
      </c>
      <c r="C351" s="2" t="s">
        <v>2247</v>
      </c>
      <c r="D351" s="2" t="s">
        <v>2248</v>
      </c>
      <c r="E351" s="2" t="str">
        <f>HYPERLINK("http://twitter.com/thegoalkeeper")</f>
        <v>http://twitter.com/thegoalkeeper</v>
      </c>
      <c r="F351" s="2" t="str">
        <f>HYPERLINK("https://muckrack.com/jonathan-tannenwald")</f>
        <v>https://muckrack.com/jonathan-tannenwald</v>
      </c>
      <c r="G351" s="2">
        <v>29037</v>
      </c>
      <c r="H351" s="2" t="s">
        <v>2249</v>
      </c>
      <c r="I351" s="2" t="s">
        <v>2250</v>
      </c>
      <c r="J351" s="2" t="s">
        <v>2251</v>
      </c>
      <c r="K351" s="2" t="s">
        <v>2252</v>
      </c>
      <c r="L351" s="2" t="s">
        <v>2874</v>
      </c>
      <c r="M351" s="5">
        <v>45473.64167824074</v>
      </c>
      <c r="N351" s="2" t="str">
        <f>HYPERLINK("http://twitter.com/thegoalkeeper/status/1807495323381555545")</f>
        <v>http://twitter.com/thegoalkeeper/status/1807495323381555545</v>
      </c>
      <c r="O351" s="2" t="str">
        <f>HYPERLINK("https://www.ajc.com/sports/atlanta-united/atlanta-united-on-verge-of-completing-30-million-thiago-almada-transfer/JBLE4MVNANGGDPTJGO4NKUKS4U/")</f>
        <v>https://www.ajc.com/sports/atlanta-united/atlanta-united-on-verge-of-completing-30-million-thiago-almada-transfer/JBLE4MVNANGGDPTJGO4NKUKS4U/</v>
      </c>
    </row>
    <row r="352" spans="1:15" ht="66" x14ac:dyDescent="0.3">
      <c r="A352" s="2" t="s">
        <v>29</v>
      </c>
      <c r="B352" s="2" t="s">
        <v>1910</v>
      </c>
      <c r="C352" s="2" t="s">
        <v>1911</v>
      </c>
      <c r="D352" s="2" t="s">
        <v>1912</v>
      </c>
      <c r="E352" s="2" t="str">
        <f>HYPERLINK("http://twitter.com/DougRobersonAJC")</f>
        <v>http://twitter.com/DougRobersonAJC</v>
      </c>
      <c r="F352" s="2" t="str">
        <f>HYPERLINK("https://muckrack.com/doug-roberson")</f>
        <v>https://muckrack.com/doug-roberson</v>
      </c>
      <c r="G352" s="2">
        <v>16740</v>
      </c>
      <c r="H352" s="2" t="s">
        <v>1913</v>
      </c>
      <c r="I352" s="2" t="s">
        <v>1914</v>
      </c>
      <c r="J352" s="2" t="s">
        <v>1915</v>
      </c>
      <c r="K352" s="2" t="s">
        <v>30</v>
      </c>
      <c r="L352" s="2" t="s">
        <v>2883</v>
      </c>
      <c r="M352" s="5">
        <v>45473.46837962963</v>
      </c>
      <c r="N352" s="2" t="str">
        <f>HYPERLINK("http://twitter.com/DougRobersonAJC/status/1807432524420833579")</f>
        <v>http://twitter.com/DougRobersonAJC/status/1807432524420833579</v>
      </c>
      <c r="O352" s="2" t="str">
        <f>HYPERLINK("https://www.ajc.com/sports/atlanta-united/atlanta-uniteds-jamal-thiare-i-just-had-a-feeling/ZXAUCULTIZFV7OS5HIXZKPPC7A/")</f>
        <v>https://www.ajc.com/sports/atlanta-united/atlanta-uniteds-jamal-thiare-i-just-had-a-feeling/ZXAUCULTIZFV7OS5HIXZKPPC7A/</v>
      </c>
    </row>
    <row r="353" spans="1:15" ht="66" x14ac:dyDescent="0.3">
      <c r="A353" s="2" t="s">
        <v>1963</v>
      </c>
      <c r="B353" s="2" t="s">
        <v>1964</v>
      </c>
      <c r="C353" s="2" t="s">
        <v>1965</v>
      </c>
      <c r="D353" s="2" t="s">
        <v>1966</v>
      </c>
      <c r="E353" s="2" t="str">
        <f>HYPERLINK("http://twitter.com/bposhea")</f>
        <v>http://twitter.com/bposhea</v>
      </c>
      <c r="F353" s="2" t="str">
        <f>HYPERLINK("https://muckrack.com/brian-oshea")</f>
        <v>https://muckrack.com/brian-oshea</v>
      </c>
      <c r="G353" s="2">
        <v>1614</v>
      </c>
      <c r="H353" s="2" t="s">
        <v>1913</v>
      </c>
      <c r="I353" s="2" t="s">
        <v>1967</v>
      </c>
      <c r="J353" s="2" t="s">
        <v>1954</v>
      </c>
      <c r="K353" s="2" t="s">
        <v>30</v>
      </c>
      <c r="L353" s="2" t="s">
        <v>2884</v>
      </c>
      <c r="M353" s="5">
        <v>45473.471701388888</v>
      </c>
      <c r="N353" s="2" t="str">
        <f>HYPERLINK("http://twitter.com/bposhea/status/1807433727435235712")</f>
        <v>http://twitter.com/bposhea/status/1807433727435235712</v>
      </c>
      <c r="O353" s="2" t="str">
        <f>HYPERLINK("https://www.ajc.com/sports/atlanta-united/atlanta-uniteds-jamal-thiare-i-just-had-a-feeling/ZXAUCULTIZFV7OS5HIXZKPPC7A/")</f>
        <v>https://www.ajc.com/sports/atlanta-united/atlanta-uniteds-jamal-thiare-i-just-had-a-feeling/ZXAUCULTIZFV7OS5HIXZKPPC7A/</v>
      </c>
    </row>
    <row r="354" spans="1:15" ht="79.2" x14ac:dyDescent="0.3">
      <c r="A354" s="2" t="s">
        <v>29</v>
      </c>
      <c r="B354" s="2" t="s">
        <v>1910</v>
      </c>
      <c r="C354" s="2" t="s">
        <v>1911</v>
      </c>
      <c r="D354" s="2" t="s">
        <v>1912</v>
      </c>
      <c r="E354" s="2" t="str">
        <f t="shared" ref="E354:E360" si="14">HYPERLINK("http://twitter.com/DougRobersonAJC")</f>
        <v>http://twitter.com/DougRobersonAJC</v>
      </c>
      <c r="F354" s="2" t="str">
        <f t="shared" ref="F354:F360" si="15">HYPERLINK("https://muckrack.com/doug-roberson")</f>
        <v>https://muckrack.com/doug-roberson</v>
      </c>
      <c r="G354" s="2">
        <v>16740</v>
      </c>
      <c r="H354" s="2" t="s">
        <v>1913</v>
      </c>
      <c r="I354" s="2" t="s">
        <v>1914</v>
      </c>
      <c r="J354" s="2" t="s">
        <v>1915</v>
      </c>
      <c r="K354" s="2" t="s">
        <v>30</v>
      </c>
      <c r="L354" s="2" t="s">
        <v>2885</v>
      </c>
      <c r="M354" s="5">
        <v>45472.962083333332</v>
      </c>
      <c r="N354" s="2" t="str">
        <f>HYPERLINK("http://twitter.com/DougRobersonAJC/status/1807249047297618167")</f>
        <v>http://twitter.com/DougRobersonAJC/status/1807249047297618167</v>
      </c>
      <c r="O354" s="2" t="str">
        <f>HYPERLINK("https://www.ajc.com/sports/atlanta-united/thiago-almada-said-saturday-may-have-been-his-last-home-match-with-atlanta-united/MJGS7TSKJBB7BICANJRRBU455A/")</f>
        <v>https://www.ajc.com/sports/atlanta-united/thiago-almada-said-saturday-may-have-been-his-last-home-match-with-atlanta-united/MJGS7TSKJBB7BICANJRRBU455A/</v>
      </c>
    </row>
    <row r="355" spans="1:15" ht="66" x14ac:dyDescent="0.3">
      <c r="A355" s="2" t="s">
        <v>29</v>
      </c>
      <c r="B355" s="2" t="s">
        <v>1910</v>
      </c>
      <c r="C355" s="2" t="s">
        <v>1911</v>
      </c>
      <c r="D355" s="2" t="s">
        <v>1912</v>
      </c>
      <c r="E355" s="2" t="str">
        <f t="shared" si="14"/>
        <v>http://twitter.com/DougRobersonAJC</v>
      </c>
      <c r="F355" s="2" t="str">
        <f t="shared" si="15"/>
        <v>https://muckrack.com/doug-roberson</v>
      </c>
      <c r="G355" s="2">
        <v>16740</v>
      </c>
      <c r="H355" s="2" t="s">
        <v>1913</v>
      </c>
      <c r="I355" s="2" t="s">
        <v>1914</v>
      </c>
      <c r="J355" s="2" t="s">
        <v>1915</v>
      </c>
      <c r="K355" s="2" t="s">
        <v>30</v>
      </c>
      <c r="L355" s="2" t="s">
        <v>2886</v>
      </c>
      <c r="M355" s="5">
        <v>45472.916770833333</v>
      </c>
      <c r="N355" s="2" t="str">
        <f>HYPERLINK("http://twitter.com/DougRobersonAJC/status/1807232626375233778")</f>
        <v>http://twitter.com/DougRobersonAJC/status/1807232626375233778</v>
      </c>
      <c r="O355" s="2" t="str">
        <f>HYPERLINK("https://www.ajc.com/sports/atlanta-united/thiago-almada-jamal-thiare-score-as-atlanta-united-defeats-toronto/UB2IVYA6RVG33MBXXSJAUIETJM/")</f>
        <v>https://www.ajc.com/sports/atlanta-united/thiago-almada-jamal-thiare-score-as-atlanta-united-defeats-toronto/UB2IVYA6RVG33MBXXSJAUIETJM/</v>
      </c>
    </row>
    <row r="356" spans="1:15" ht="66" x14ac:dyDescent="0.3">
      <c r="A356" s="2" t="s">
        <v>29</v>
      </c>
      <c r="B356" s="2" t="s">
        <v>1910</v>
      </c>
      <c r="C356" s="2" t="s">
        <v>1911</v>
      </c>
      <c r="D356" s="2" t="s">
        <v>1912</v>
      </c>
      <c r="E356" s="2" t="str">
        <f t="shared" si="14"/>
        <v>http://twitter.com/DougRobersonAJC</v>
      </c>
      <c r="F356" s="2" t="str">
        <f t="shared" si="15"/>
        <v>https://muckrack.com/doug-roberson</v>
      </c>
      <c r="G356" s="2">
        <v>16740</v>
      </c>
      <c r="H356" s="2" t="s">
        <v>1913</v>
      </c>
      <c r="I356" s="2" t="s">
        <v>1914</v>
      </c>
      <c r="J356" s="2" t="s">
        <v>1915</v>
      </c>
      <c r="K356" s="2" t="s">
        <v>30</v>
      </c>
      <c r="L356" s="2" t="s">
        <v>2887</v>
      </c>
      <c r="M356" s="5">
        <v>45472.960706018523</v>
      </c>
      <c r="N356" s="2" t="str">
        <f>HYPERLINK("http://twitter.com/DougRobersonAJC/status/1807248547252756825")</f>
        <v>http://twitter.com/DougRobersonAJC/status/1807248547252756825</v>
      </c>
      <c r="O356" s="2" t="str">
        <f>HYPERLINK("https://www.ajc.com/sports/atlanta-united/thiago-almada-jamal-thiare-score-as-atlanta-united-defeats-toronto/UB2IVYA6RVG33MBXXSJAUIETJM/")</f>
        <v>https://www.ajc.com/sports/atlanta-united/thiago-almada-jamal-thiare-score-as-atlanta-united-defeats-toronto/UB2IVYA6RVG33MBXXSJAUIETJM/</v>
      </c>
    </row>
    <row r="357" spans="1:15" ht="52.8" x14ac:dyDescent="0.3">
      <c r="A357" s="2" t="s">
        <v>29</v>
      </c>
      <c r="B357" s="2" t="s">
        <v>1910</v>
      </c>
      <c r="C357" s="2" t="s">
        <v>1911</v>
      </c>
      <c r="D357" s="2" t="s">
        <v>1912</v>
      </c>
      <c r="E357" s="2" t="str">
        <f t="shared" si="14"/>
        <v>http://twitter.com/DougRobersonAJC</v>
      </c>
      <c r="F357" s="2" t="str">
        <f t="shared" si="15"/>
        <v>https://muckrack.com/doug-roberson</v>
      </c>
      <c r="G357" s="2">
        <v>16740</v>
      </c>
      <c r="H357" s="2" t="s">
        <v>1913</v>
      </c>
      <c r="I357" s="2" t="s">
        <v>1914</v>
      </c>
      <c r="J357" s="2" t="s">
        <v>1915</v>
      </c>
      <c r="K357" s="2" t="s">
        <v>30</v>
      </c>
      <c r="L357" s="2" t="s">
        <v>2888</v>
      </c>
      <c r="M357" s="5">
        <v>45471.595671296287</v>
      </c>
      <c r="N357" s="2" t="str">
        <f>HYPERLINK("http://twitter.com/DougRobersonAJC/status/1806753874038161781")</f>
        <v>http://twitter.com/DougRobersonAJC/status/1806753874038161781</v>
      </c>
      <c r="O357" s="2" t="str">
        <f>HYPERLINK("https://www.ajc.com/sports/atlanta-united/info-to-know-atlanta-united-vs-toronto/BNUZ72VBSFEDDPOAPJAYRXNNTQ/")</f>
        <v>https://www.ajc.com/sports/atlanta-united/info-to-know-atlanta-united-vs-toronto/BNUZ72VBSFEDDPOAPJAYRXNNTQ/</v>
      </c>
    </row>
    <row r="358" spans="1:15" ht="66" x14ac:dyDescent="0.3">
      <c r="A358" s="2" t="s">
        <v>29</v>
      </c>
      <c r="B358" s="2" t="s">
        <v>1910</v>
      </c>
      <c r="C358" s="2" t="s">
        <v>1911</v>
      </c>
      <c r="D358" s="2" t="s">
        <v>1912</v>
      </c>
      <c r="E358" s="2" t="str">
        <f t="shared" si="14"/>
        <v>http://twitter.com/DougRobersonAJC</v>
      </c>
      <c r="F358" s="2" t="str">
        <f t="shared" si="15"/>
        <v>https://muckrack.com/doug-roberson</v>
      </c>
      <c r="G358" s="2">
        <v>16740</v>
      </c>
      <c r="H358" s="2" t="s">
        <v>1913</v>
      </c>
      <c r="I358" s="2" t="s">
        <v>1914</v>
      </c>
      <c r="J358" s="2" t="s">
        <v>1915</v>
      </c>
      <c r="K358" s="2" t="s">
        <v>30</v>
      </c>
      <c r="L358" s="2" t="s">
        <v>2889</v>
      </c>
      <c r="M358" s="5">
        <v>45471.592557870368</v>
      </c>
      <c r="N358" s="2" t="str">
        <f>HYPERLINK("http://twitter.com/DougRobersonAJC/status/1806752747095531861")</f>
        <v>http://twitter.com/DougRobersonAJC/status/1806752747095531861</v>
      </c>
      <c r="O358" s="2" t="str">
        <f>HYPERLINK("https://www.ajc.com/sports/atlanta-united/southern-fried-soccer-previewing-atlanta-united-vs-toronto/GXJKGU7NLJBJ5JUFASNDSOPJWE/")</f>
        <v>https://www.ajc.com/sports/atlanta-united/southern-fried-soccer-previewing-atlanta-united-vs-toronto/GXJKGU7NLJBJ5JUFASNDSOPJWE/</v>
      </c>
    </row>
    <row r="359" spans="1:15" ht="66" x14ac:dyDescent="0.3">
      <c r="A359" s="2" t="s">
        <v>29</v>
      </c>
      <c r="B359" s="2" t="s">
        <v>1910</v>
      </c>
      <c r="C359" s="2" t="s">
        <v>1911</v>
      </c>
      <c r="D359" s="2" t="s">
        <v>1912</v>
      </c>
      <c r="E359" s="2" t="str">
        <f t="shared" si="14"/>
        <v>http://twitter.com/DougRobersonAJC</v>
      </c>
      <c r="F359" s="2" t="str">
        <f t="shared" si="15"/>
        <v>https://muckrack.com/doug-roberson</v>
      </c>
      <c r="G359" s="2">
        <v>16740</v>
      </c>
      <c r="H359" s="2" t="s">
        <v>1913</v>
      </c>
      <c r="I359" s="2" t="s">
        <v>1914</v>
      </c>
      <c r="J359" s="2" t="s">
        <v>1915</v>
      </c>
      <c r="K359" s="2" t="s">
        <v>30</v>
      </c>
      <c r="L359" s="2" t="s">
        <v>2890</v>
      </c>
      <c r="M359" s="5">
        <v>45471.528807870367</v>
      </c>
      <c r="N359" s="2" t="str">
        <f>HYPERLINK("http://twitter.com/DougRobersonAJC/status/1806729643409420421")</f>
        <v>http://twitter.com/DougRobersonAJC/status/1806729643409420421</v>
      </c>
      <c r="O359" s="2" t="str">
        <f>HYPERLINK("https://www.ajc.com/sports/atlanta-united/atlanta-united-again-looks-to-improve-home-form/NR5M6CBG6BFN5D2ALEHNMJFDOI/")</f>
        <v>https://www.ajc.com/sports/atlanta-united/atlanta-united-again-looks-to-improve-home-form/NR5M6CBG6BFN5D2ALEHNMJFDOI/</v>
      </c>
    </row>
    <row r="360" spans="1:15" ht="79.2" x14ac:dyDescent="0.3">
      <c r="A360" s="2" t="s">
        <v>29</v>
      </c>
      <c r="B360" s="2" t="s">
        <v>1910</v>
      </c>
      <c r="C360" s="2" t="s">
        <v>1911</v>
      </c>
      <c r="D360" s="2" t="s">
        <v>1912</v>
      </c>
      <c r="E360" s="2" t="str">
        <f t="shared" si="14"/>
        <v>http://twitter.com/DougRobersonAJC</v>
      </c>
      <c r="F360" s="2" t="str">
        <f t="shared" si="15"/>
        <v>https://muckrack.com/doug-roberson</v>
      </c>
      <c r="G360" s="2">
        <v>16740</v>
      </c>
      <c r="H360" s="2" t="s">
        <v>1913</v>
      </c>
      <c r="I360" s="2" t="s">
        <v>1914</v>
      </c>
      <c r="J360" s="2" t="s">
        <v>1915</v>
      </c>
      <c r="K360" s="2" t="s">
        <v>30</v>
      </c>
      <c r="L360" s="2" t="s">
        <v>2891</v>
      </c>
      <c r="M360" s="5">
        <v>45470.578634259262</v>
      </c>
      <c r="N360" s="2" t="str">
        <f>HYPERLINK("http://twitter.com/DougRobersonAJC/status/1806385315751362976")</f>
        <v>http://twitter.com/DougRobersonAJC/status/1806385315751362976</v>
      </c>
      <c r="O360" s="2" t="str">
        <f>HYPERLINK("https://www.ajc.com/sports/atlanta-united/thiago-almada-still-with-atlanta-united-available-to-play-saturday-against-toronto/QXHVZTG22JCEDFAMOO7GWAOUCU/")</f>
        <v>https://www.ajc.com/sports/atlanta-united/thiago-almada-still-with-atlanta-united-available-to-play-saturday-against-toronto/QXHVZTG22JCEDFAMOO7GWAOUCU/</v>
      </c>
    </row>
    <row r="361" spans="1:15" ht="39.6" x14ac:dyDescent="0.3">
      <c r="A361" s="2" t="s">
        <v>608</v>
      </c>
      <c r="B361" s="2" t="s">
        <v>2892</v>
      </c>
      <c r="C361" s="2" t="s">
        <v>2893</v>
      </c>
      <c r="D361" s="2" t="s">
        <v>2894</v>
      </c>
      <c r="E361" s="2" t="str">
        <f>HYPERLINK("http://twitter.com/JillASheridan")</f>
        <v>http://twitter.com/JillASheridan</v>
      </c>
      <c r="F361" s="2" t="str">
        <f>HYPERLINK("https://muckrack.com/jill-sheridan")</f>
        <v>https://muckrack.com/jill-sheridan</v>
      </c>
      <c r="G361" s="2">
        <v>1289</v>
      </c>
      <c r="H361" s="2" t="s">
        <v>2132</v>
      </c>
      <c r="I361" s="2" t="s">
        <v>2895</v>
      </c>
      <c r="J361" s="2" t="s">
        <v>2008</v>
      </c>
      <c r="K361" s="2" t="s">
        <v>609</v>
      </c>
      <c r="L361" s="2" t="s">
        <v>2896</v>
      </c>
      <c r="M361" s="5">
        <v>45470.65184027778</v>
      </c>
      <c r="N361" s="2" t="str">
        <f>HYPERLINK("http://twitter.com/JillASheridan/status/1806411841779699765")</f>
        <v>http://twitter.com/JillASheridan/status/1806411841779699765</v>
      </c>
      <c r="O361" s="2" t="str">
        <f>HYPERLINK("https://www.wfyi.org/news/articles/new-site-for-potential-mls-stadium-approved")</f>
        <v>https://www.wfyi.org/news/articles/new-site-for-potential-mls-stadium-approved</v>
      </c>
    </row>
    <row r="362" spans="1:15" ht="52.8" x14ac:dyDescent="0.3">
      <c r="A362" s="2" t="s">
        <v>58</v>
      </c>
      <c r="B362" s="2" t="s">
        <v>1910</v>
      </c>
      <c r="C362" s="2" t="s">
        <v>2897</v>
      </c>
      <c r="D362" s="2" t="s">
        <v>2898</v>
      </c>
      <c r="E362" s="2" t="str">
        <f>HYPERLINK("http://twitter.com/ByJacobRousseau")</f>
        <v>http://twitter.com/ByJacobRousseau</v>
      </c>
      <c r="F362" s="2" t="str">
        <f>HYPERLINK("https://muckrack.com/jacob-rousseau")</f>
        <v>https://muckrack.com/jacob-rousseau</v>
      </c>
      <c r="G362" s="2">
        <v>1386</v>
      </c>
      <c r="H362" s="2" t="s">
        <v>2899</v>
      </c>
      <c r="I362" s="2" t="s">
        <v>2900</v>
      </c>
      <c r="J362" s="2" t="s">
        <v>2033</v>
      </c>
      <c r="K362" s="2" t="s">
        <v>2901</v>
      </c>
      <c r="L362" s="2" t="s">
        <v>2902</v>
      </c>
      <c r="M362" s="5">
        <v>45470.458055555559</v>
      </c>
      <c r="N362" s="2" t="str">
        <f>HYPERLINK("http://twitter.com/ByJacobRousseau/status/1806341617973907661")</f>
        <v>http://twitter.com/ByJacobRousseau/status/1806341617973907661</v>
      </c>
      <c r="O362" s="2" t="str">
        <f>HYPERLINK("https://www.providencejournal.com/story/sports/2024/06/27/rifc-beats-el-paso-locomotive-fc-3-0-for-first-home-win/74217581007/")</f>
        <v>https://www.providencejournal.com/story/sports/2024/06/27/rifc-beats-el-paso-locomotive-fc-3-0-for-first-home-win/74217581007/</v>
      </c>
    </row>
    <row r="363" spans="1:15" ht="92.4" x14ac:dyDescent="0.3">
      <c r="A363" s="2" t="s">
        <v>919</v>
      </c>
      <c r="B363" s="2" t="s">
        <v>2279</v>
      </c>
      <c r="C363" s="2" t="s">
        <v>2280</v>
      </c>
      <c r="D363" s="2" t="s">
        <v>2281</v>
      </c>
      <c r="E363" s="2" t="str">
        <f>HYPERLINK("http://twitter.com/ADChernoff")</f>
        <v>http://twitter.com/ADChernoff</v>
      </c>
      <c r="F363" s="2" t="str">
        <f>HYPERLINK("https://muckrack.com/andrew-chernoff")</f>
        <v>https://muckrack.com/andrew-chernoff</v>
      </c>
      <c r="G363" s="2">
        <v>7778</v>
      </c>
      <c r="H363" s="2" t="s">
        <v>1972</v>
      </c>
      <c r="I363" s="2" t="s">
        <v>2282</v>
      </c>
      <c r="J363" s="2" t="s">
        <v>2000</v>
      </c>
      <c r="K363" s="2" t="s">
        <v>2283</v>
      </c>
      <c r="L363" s="2" t="s">
        <v>2903</v>
      </c>
      <c r="M363" s="5">
        <v>45469.784386574072</v>
      </c>
      <c r="N363" s="2" t="str">
        <f>HYPERLINK("http://twitter.com/ADChernoff/status/1806097486257303768")</f>
        <v>http://twitter.com/ADChernoff/status/1806097486257303768</v>
      </c>
      <c r="O363" s="2" t="str">
        <f>HYPERLINK("https://www.wishtv.com/sports/indianapolis-sends-mls-soccer-stadium-tax-district-to-state-for-final-review/")</f>
        <v>https://www.wishtv.com/sports/indianapolis-sends-mls-soccer-stadium-tax-district-to-state-for-final-review/</v>
      </c>
    </row>
    <row r="364" spans="1:15" ht="66" x14ac:dyDescent="0.3">
      <c r="A364" s="2" t="s">
        <v>965</v>
      </c>
      <c r="B364" s="2" t="s">
        <v>2556</v>
      </c>
      <c r="C364" s="2" t="s">
        <v>2557</v>
      </c>
      <c r="D364" s="2" t="s">
        <v>2558</v>
      </c>
      <c r="E364" s="2" t="str">
        <f>HYPERLINK("http://twitter.com/hayleighcolombo")</f>
        <v>http://twitter.com/hayleighcolombo</v>
      </c>
      <c r="F364" s="2" t="str">
        <f>HYPERLINK("https://muckrack.com/hayleigh-colombo")</f>
        <v>https://muckrack.com/hayleigh-colombo</v>
      </c>
      <c r="G364" s="2">
        <v>4609</v>
      </c>
      <c r="H364" s="2" t="s">
        <v>1972</v>
      </c>
      <c r="I364" s="2" t="s">
        <v>2559</v>
      </c>
      <c r="J364" s="2" t="s">
        <v>2141</v>
      </c>
      <c r="K364" s="2" t="s">
        <v>321</v>
      </c>
      <c r="L364" s="2" t="s">
        <v>2904</v>
      </c>
      <c r="M364" s="5">
        <v>45469.6175</v>
      </c>
      <c r="N364" s="2" t="str">
        <f>HYPERLINK("http://twitter.com/hayleighcolombo/status/1806037012572782980")</f>
        <v>http://twitter.com/hayleighcolombo/status/1806037012572782980</v>
      </c>
      <c r="O364" s="2" t="str">
        <f>HYPERLINK("https://www.indystar.com/story/news/local/2024/06/26/mls-stadium-site-indianapolis-heliport-special-taxing-district-approved/74218542007/")</f>
        <v>https://www.indystar.com/story/news/local/2024/06/26/mls-stadium-site-indianapolis-heliport-special-taxing-district-approved/74218542007/</v>
      </c>
    </row>
    <row r="365" spans="1:15" ht="92.4" x14ac:dyDescent="0.3">
      <c r="A365" s="2" t="s">
        <v>2436</v>
      </c>
      <c r="B365" s="2" t="s">
        <v>2437</v>
      </c>
      <c r="C365" s="2" t="s">
        <v>2438</v>
      </c>
      <c r="D365" s="2" t="s">
        <v>2439</v>
      </c>
      <c r="E365" s="2" t="str">
        <f>HYPERLINK("http://twitter.com/MattGlenesk")</f>
        <v>http://twitter.com/MattGlenesk</v>
      </c>
      <c r="F365" s="2" t="str">
        <f>HYPERLINK("https://muckrack.com/matthew-glenesk")</f>
        <v>https://muckrack.com/matthew-glenesk</v>
      </c>
      <c r="G365" s="2">
        <v>8773</v>
      </c>
      <c r="H365" s="2" t="s">
        <v>2440</v>
      </c>
      <c r="I365" s="2" t="s">
        <v>2441</v>
      </c>
      <c r="J365" s="2" t="s">
        <v>2000</v>
      </c>
      <c r="K365" s="2" t="s">
        <v>321</v>
      </c>
      <c r="L365" s="2" t="s">
        <v>2905</v>
      </c>
      <c r="M365" s="5">
        <v>45469.721504629633</v>
      </c>
      <c r="N365" s="2" t="str">
        <f>HYPERLINK("http://twitter.com/MattGlenesk/status/1806074701606793541")</f>
        <v>http://twitter.com/MattGlenesk/status/1806074701606793541</v>
      </c>
      <c r="O365" s="2" t="str">
        <f>HYPERLINK("https://www.indystar.com/story/news/local/2024/06/26/mls-stadium-site-indianapolis-heliport-special-taxing-district-approved/74218542007/")</f>
        <v>https://www.indystar.com/story/news/local/2024/06/26/mls-stadium-site-indianapolis-heliport-special-taxing-district-approved/74218542007/</v>
      </c>
    </row>
    <row r="366" spans="1:15" ht="52.8" x14ac:dyDescent="0.3">
      <c r="A366" s="2" t="s">
        <v>1023</v>
      </c>
      <c r="B366" s="2" t="s">
        <v>2544</v>
      </c>
      <c r="C366" s="2" t="s">
        <v>2545</v>
      </c>
      <c r="D366" s="2" t="s">
        <v>2546</v>
      </c>
      <c r="E366" s="2" t="str">
        <f>HYPERLINK("http://twitter.com/AllyBurris")</f>
        <v>http://twitter.com/AllyBurris</v>
      </c>
      <c r="F366" s="2" t="str">
        <f>HYPERLINK("https://muckrack.com/allyburris")</f>
        <v>https://muckrack.com/allyburris</v>
      </c>
      <c r="G366" s="2">
        <v>1524</v>
      </c>
      <c r="H366" s="2" t="s">
        <v>1972</v>
      </c>
      <c r="I366" s="2" t="s">
        <v>2547</v>
      </c>
      <c r="J366" s="2" t="s">
        <v>2141</v>
      </c>
      <c r="K366" s="2" t="s">
        <v>321</v>
      </c>
      <c r="L366" s="2" t="s">
        <v>2906</v>
      </c>
      <c r="M366" s="5">
        <v>45470.423784722218</v>
      </c>
      <c r="N366" s="2" t="str">
        <f>HYPERLINK("http://twitter.com/AllyBurris/status/1806329197570474330")</f>
        <v>http://twitter.com/AllyBurris/status/1806329197570474330</v>
      </c>
      <c r="O366" s="2" t="str">
        <f>HYPERLINK("https://www.indystar.com/story/news/local/2024/06/26/mls-stadium-site-indianapolis-heliport-special-taxing-district-approved/74218542007/")</f>
        <v>https://www.indystar.com/story/news/local/2024/06/26/mls-stadium-site-indianapolis-heliport-special-taxing-district-approved/74218542007/</v>
      </c>
    </row>
    <row r="367" spans="1:15" ht="52.8" x14ac:dyDescent="0.3">
      <c r="A367" s="2" t="s">
        <v>2119</v>
      </c>
      <c r="B367" s="2" t="s">
        <v>2120</v>
      </c>
      <c r="C367" s="2" t="s">
        <v>2121</v>
      </c>
      <c r="D367" s="2" t="s">
        <v>2122</v>
      </c>
      <c r="E367" s="2" t="str">
        <f>HYPERLINK("http://twitter.com/starwatchtim")</f>
        <v>http://twitter.com/starwatchtim</v>
      </c>
      <c r="F367" s="2" t="str">
        <f>HYPERLINK("https://muckrack.com/starwatchtim")</f>
        <v>https://muckrack.com/starwatchtim</v>
      </c>
      <c r="G367" s="2">
        <v>7285</v>
      </c>
      <c r="H367" s="2" t="s">
        <v>2123</v>
      </c>
      <c r="I367" s="2" t="s">
        <v>2124</v>
      </c>
      <c r="J367" s="2" t="s">
        <v>2125</v>
      </c>
      <c r="K367" s="2" t="s">
        <v>321</v>
      </c>
      <c r="L367" s="2" t="s">
        <v>2907</v>
      </c>
      <c r="M367" s="5">
        <v>45470.452118055553</v>
      </c>
      <c r="N367" s="2" t="str">
        <f>HYPERLINK("http://twitter.com/starwatchtim/status/1806339463972294687")</f>
        <v>http://twitter.com/starwatchtim/status/1806339463972294687</v>
      </c>
      <c r="O367" s="2" t="str">
        <f>HYPERLINK("https://www.indystar.com/story/news/local/2024/06/26/mls-stadium-site-indianapolis-heliport-special-taxing-district-approved/74218542007/")</f>
        <v>https://www.indystar.com/story/news/local/2024/06/26/mls-stadium-site-indianapolis-heliport-special-taxing-district-approved/74218542007/</v>
      </c>
    </row>
    <row r="368" spans="1:15" ht="52.8" x14ac:dyDescent="0.3">
      <c r="A368" s="2" t="s">
        <v>966</v>
      </c>
      <c r="B368" s="2" t="s">
        <v>2311</v>
      </c>
      <c r="C368" s="2" t="s">
        <v>2908</v>
      </c>
      <c r="D368" s="2" t="s">
        <v>2909</v>
      </c>
      <c r="E368" s="2" t="str">
        <f>HYPERLINK("http://twitter.com/Ty_Fenwick")</f>
        <v>http://twitter.com/Ty_Fenwick</v>
      </c>
      <c r="F368" s="2" t="str">
        <f>HYPERLINK("https://muckrack.com/tyler-fenwick-1")</f>
        <v>https://muckrack.com/tyler-fenwick-1</v>
      </c>
      <c r="G368" s="2">
        <v>1519</v>
      </c>
      <c r="H368" s="2" t="s">
        <v>1972</v>
      </c>
      <c r="I368" s="2" t="s">
        <v>2910</v>
      </c>
      <c r="J368" s="2" t="s">
        <v>2911</v>
      </c>
      <c r="K368" s="2" t="s">
        <v>1974</v>
      </c>
      <c r="L368" s="2" t="s">
        <v>2912</v>
      </c>
      <c r="M368" s="5">
        <v>45469.594467592593</v>
      </c>
      <c r="N368" s="2" t="str">
        <f>HYPERLINK("http://twitter.com/Ty_Fenwick/status/1806028664309473298")</f>
        <v>http://twitter.com/Ty_Fenwick/status/1806028664309473298</v>
      </c>
      <c r="O368" s="2" t="str">
        <f>HYPERLINK("https://mirrorindy.org/indianapolis-mls-stadium-tax-district-local-approval-mayor-joe-hogsett/")</f>
        <v>https://mirrorindy.org/indianapolis-mls-stadium-tax-district-local-approval-mayor-joe-hogsett/</v>
      </c>
    </row>
    <row r="369" spans="1:15" ht="39.6" x14ac:dyDescent="0.3">
      <c r="A369" s="2" t="s">
        <v>107</v>
      </c>
      <c r="B369" s="2" t="s">
        <v>1969</v>
      </c>
      <c r="C369" s="2" t="s">
        <v>1970</v>
      </c>
      <c r="D369" s="2" t="s">
        <v>1971</v>
      </c>
      <c r="E369" s="2" t="str">
        <f>HYPERLINK("http://twitter.com/indyemapolis")</f>
        <v>http://twitter.com/indyemapolis</v>
      </c>
      <c r="F369" s="2" t="str">
        <f>HYPERLINK("https://muckrack.com/emily-hopkins-2")</f>
        <v>https://muckrack.com/emily-hopkins-2</v>
      </c>
      <c r="G369" s="2">
        <v>3414</v>
      </c>
      <c r="H369" s="2" t="s">
        <v>1972</v>
      </c>
      <c r="I369" s="2" t="s">
        <v>1973</v>
      </c>
      <c r="J369" s="2" t="s">
        <v>1954</v>
      </c>
      <c r="K369" s="2" t="s">
        <v>1974</v>
      </c>
      <c r="L369" s="2" t="s">
        <v>2913</v>
      </c>
      <c r="M369" s="5">
        <v>45469.594675925917</v>
      </c>
      <c r="N369" s="2" t="str">
        <f>HYPERLINK("http://twitter.com/indyemapolis/status/1806028737689145814")</f>
        <v>http://twitter.com/indyemapolis/status/1806028737689145814</v>
      </c>
      <c r="O369" s="2" t="str">
        <f>HYPERLINK("https://mirrorindy.org/indianapolis-mls-stadium-tax-district-local-approval-mayor-joe-hogsett/")</f>
        <v>https://mirrorindy.org/indianapolis-mls-stadium-tax-district-local-approval-mayor-joe-hogsett/</v>
      </c>
    </row>
    <row r="370" spans="1:15" ht="39.6" x14ac:dyDescent="0.3">
      <c r="A370" s="2" t="s">
        <v>2914</v>
      </c>
      <c r="B370" s="2" t="s">
        <v>2061</v>
      </c>
      <c r="C370" s="2" t="s">
        <v>2915</v>
      </c>
      <c r="D370" s="2" t="s">
        <v>2916</v>
      </c>
      <c r="E370" s="2" t="str">
        <f>HYPERLINK("http://twitter.com/heyEnriqueSaenz")</f>
        <v>http://twitter.com/heyEnriqueSaenz</v>
      </c>
      <c r="F370" s="2" t="str">
        <f>HYPERLINK("https://muckrack.com/enrique-saenz-1")</f>
        <v>https://muckrack.com/enrique-saenz-1</v>
      </c>
      <c r="G370" s="2">
        <v>204</v>
      </c>
      <c r="H370" s="2" t="s">
        <v>2154</v>
      </c>
      <c r="I370" s="2" t="s">
        <v>2917</v>
      </c>
      <c r="J370" s="2" t="s">
        <v>1954</v>
      </c>
      <c r="K370" s="2" t="s">
        <v>1974</v>
      </c>
      <c r="L370" s="2" t="s">
        <v>2913</v>
      </c>
      <c r="M370" s="5">
        <v>45469.601493055547</v>
      </c>
      <c r="N370" s="2" t="str">
        <f>HYPERLINK("http://twitter.com/heyEnriqueSaenz/status/1806031211376111732")</f>
        <v>http://twitter.com/heyEnriqueSaenz/status/1806031211376111732</v>
      </c>
      <c r="O370" s="2" t="str">
        <f>HYPERLINK("https://mirrorindy.org/indianapolis-mls-stadium-tax-district-local-approval-mayor-joe-hogsett/")</f>
        <v>https://mirrorindy.org/indianapolis-mls-stadium-tax-district-local-approval-mayor-joe-hogsett/</v>
      </c>
    </row>
    <row r="371" spans="1:15" ht="66" x14ac:dyDescent="0.3">
      <c r="A371" s="2" t="s">
        <v>29</v>
      </c>
      <c r="B371" s="2" t="s">
        <v>1910</v>
      </c>
      <c r="C371" s="2" t="s">
        <v>1911</v>
      </c>
      <c r="D371" s="2" t="s">
        <v>1912</v>
      </c>
      <c r="E371" s="2" t="str">
        <f>HYPERLINK("http://twitter.com/DougRobersonAJC")</f>
        <v>http://twitter.com/DougRobersonAJC</v>
      </c>
      <c r="F371" s="2" t="str">
        <f>HYPERLINK("https://muckrack.com/doug-roberson")</f>
        <v>https://muckrack.com/doug-roberson</v>
      </c>
      <c r="G371" s="2">
        <v>16740</v>
      </c>
      <c r="H371" s="2" t="s">
        <v>1913</v>
      </c>
      <c r="I371" s="2" t="s">
        <v>1914</v>
      </c>
      <c r="J371" s="2" t="s">
        <v>1915</v>
      </c>
      <c r="K371" s="2" t="s">
        <v>30</v>
      </c>
      <c r="L371" s="2" t="s">
        <v>2918</v>
      </c>
      <c r="M371" s="5">
        <v>45469.555081018523</v>
      </c>
      <c r="N371" s="2" t="str">
        <f>HYPERLINK("http://twitter.com/DougRobersonAJC/status/1806014392468906389")</f>
        <v>http://twitter.com/DougRobersonAJC/status/1806014392468906389</v>
      </c>
      <c r="O371" s="2" t="str">
        <f>HYPERLINK("https://www.ajc.com/sports/atlanta-united/two-atlantans-make-us-womens-olympic-soccer-team/YLBEUT4EWBFOVPJOL5T6VOGBMM/")</f>
        <v>https://www.ajc.com/sports/atlanta-united/two-atlantans-make-us-womens-olympic-soccer-team/YLBEUT4EWBFOVPJOL5T6VOGBMM/</v>
      </c>
    </row>
    <row r="372" spans="1:15" ht="66" x14ac:dyDescent="0.3">
      <c r="A372" s="2" t="s">
        <v>2919</v>
      </c>
      <c r="B372" s="2" t="s">
        <v>2920</v>
      </c>
      <c r="C372" s="2" t="s">
        <v>2921</v>
      </c>
      <c r="D372" s="2" t="s">
        <v>2922</v>
      </c>
      <c r="E372" s="2" t="str">
        <f>HYPERLINK("http://twitter.com/Maetron")</f>
        <v>http://twitter.com/Maetron</v>
      </c>
      <c r="F372" s="2" t="str">
        <f>HYPERLINK("https://muckrack.com/maetron")</f>
        <v>https://muckrack.com/maetron</v>
      </c>
      <c r="G372" s="2">
        <v>5058</v>
      </c>
      <c r="H372" s="2" t="s">
        <v>2923</v>
      </c>
      <c r="I372" s="2" t="s">
        <v>2924</v>
      </c>
      <c r="J372" s="2" t="s">
        <v>2925</v>
      </c>
      <c r="K372" s="2" t="s">
        <v>1698</v>
      </c>
      <c r="L372" s="2" t="s">
        <v>2926</v>
      </c>
      <c r="M372" s="5">
        <v>45469.583055555559</v>
      </c>
      <c r="N372" s="2" t="str">
        <f>HYPERLINK("http://twitter.com/Maetron/status/1806024528457252974")</f>
        <v>http://twitter.com/Maetron/status/1806024528457252974</v>
      </c>
      <c r="O372" s="2" t="str">
        <f>HYPERLINK("https://www.ajc.com/sports/atlanta-united/two-atlantans-make-us-womens-olympic-soccer-team/YLBEUT4EWBFOVPJOL5T6VOGBMM/")</f>
        <v>https://www.ajc.com/sports/atlanta-united/two-atlantans-make-us-womens-olympic-soccer-team/YLBEUT4EWBFOVPJOL5T6VOGBMM/</v>
      </c>
    </row>
    <row r="373" spans="1:15" ht="79.2" x14ac:dyDescent="0.3">
      <c r="A373" s="2" t="s">
        <v>29</v>
      </c>
      <c r="B373" s="2" t="s">
        <v>1910</v>
      </c>
      <c r="C373" s="2" t="s">
        <v>1911</v>
      </c>
      <c r="D373" s="2" t="s">
        <v>1912</v>
      </c>
      <c r="E373" s="2" t="str">
        <f>HYPERLINK("http://twitter.com/DougRobersonAJC")</f>
        <v>http://twitter.com/DougRobersonAJC</v>
      </c>
      <c r="F373" s="2" t="str">
        <f>HYPERLINK("https://muckrack.com/doug-roberson")</f>
        <v>https://muckrack.com/doug-roberson</v>
      </c>
      <c r="G373" s="2">
        <v>16740</v>
      </c>
      <c r="H373" s="2" t="s">
        <v>1913</v>
      </c>
      <c r="I373" s="2" t="s">
        <v>1914</v>
      </c>
      <c r="J373" s="2" t="s">
        <v>1915</v>
      </c>
      <c r="K373" s="2" t="s">
        <v>30</v>
      </c>
      <c r="L373" s="2" t="s">
        <v>2927</v>
      </c>
      <c r="M373" s="5">
        <v>45469.551782407398</v>
      </c>
      <c r="N373" s="2" t="str">
        <f>HYPERLINK("http://twitter.com/DougRobersonAJC/status/1806013196823572933")</f>
        <v>http://twitter.com/DougRobersonAJC/status/1806013196823572933</v>
      </c>
      <c r="O373" s="2" t="str">
        <f>HYPERLINK("https://www.ajc.com/sports/atlanta-united/atlanta-uniteds-homegrown-signees-excited-for-rare-chance-to-see-us-men-play/VLTE4HQM7VFPNAUNQFLME4GFVU/")</f>
        <v>https://www.ajc.com/sports/atlanta-united/atlanta-uniteds-homegrown-signees-excited-for-rare-chance-to-see-us-men-play/VLTE4HQM7VFPNAUNQFLME4GFVU/</v>
      </c>
    </row>
    <row r="374" spans="1:15" ht="105.6" x14ac:dyDescent="0.3">
      <c r="A374" s="2" t="s">
        <v>2436</v>
      </c>
      <c r="B374" s="2" t="s">
        <v>2437</v>
      </c>
      <c r="C374" s="2" t="s">
        <v>2438</v>
      </c>
      <c r="D374" s="2" t="s">
        <v>2439</v>
      </c>
      <c r="E374" s="2" t="str">
        <f>HYPERLINK("http://twitter.com/MattGlenesk")</f>
        <v>http://twitter.com/MattGlenesk</v>
      </c>
      <c r="F374" s="2" t="str">
        <f>HYPERLINK("https://muckrack.com/matthew-glenesk")</f>
        <v>https://muckrack.com/matthew-glenesk</v>
      </c>
      <c r="G374" s="2">
        <v>8773</v>
      </c>
      <c r="H374" s="2" t="s">
        <v>2440</v>
      </c>
      <c r="I374" s="2" t="s">
        <v>2441</v>
      </c>
      <c r="J374" s="2" t="s">
        <v>2000</v>
      </c>
      <c r="K374" s="2" t="s">
        <v>321</v>
      </c>
      <c r="L374" s="2" t="s">
        <v>2928</v>
      </c>
      <c r="M374" s="5">
        <v>45469.487453703703</v>
      </c>
      <c r="N374" s="2" t="str">
        <f>HYPERLINK("http://twitter.com/MattGlenesk/status/1805989884395405648")</f>
        <v>http://twitter.com/MattGlenesk/status/1805989884395405648</v>
      </c>
      <c r="O374" s="2" t="str">
        <f>HYPERLINK("https://www.indystar.com/story/news/local/2024/06/26/indy-mls-ownership-herb-simon-would-be-wonderful-joe-hogsett-says/74205135007/")</f>
        <v>https://www.indystar.com/story/news/local/2024/06/26/indy-mls-ownership-herb-simon-would-be-wonderful-joe-hogsett-says/74205135007/</v>
      </c>
    </row>
    <row r="375" spans="1:15" ht="52.8" x14ac:dyDescent="0.3">
      <c r="A375" s="2" t="s">
        <v>1023</v>
      </c>
      <c r="B375" s="2" t="s">
        <v>2544</v>
      </c>
      <c r="C375" s="2" t="s">
        <v>2545</v>
      </c>
      <c r="D375" s="2" t="s">
        <v>2546</v>
      </c>
      <c r="E375" s="2" t="str">
        <f>HYPERLINK("http://twitter.com/AllyBurris")</f>
        <v>http://twitter.com/AllyBurris</v>
      </c>
      <c r="F375" s="2" t="str">
        <f>HYPERLINK("https://muckrack.com/allyburris")</f>
        <v>https://muckrack.com/allyburris</v>
      </c>
      <c r="G375" s="2">
        <v>1524</v>
      </c>
      <c r="H375" s="2" t="s">
        <v>1972</v>
      </c>
      <c r="I375" s="2" t="s">
        <v>2547</v>
      </c>
      <c r="J375" s="2" t="s">
        <v>2141</v>
      </c>
      <c r="K375" s="2" t="s">
        <v>321</v>
      </c>
      <c r="L375" s="2" t="s">
        <v>2929</v>
      </c>
      <c r="M375" s="5">
        <v>45469.593344907407</v>
      </c>
      <c r="N375" s="2" t="str">
        <f>HYPERLINK("http://twitter.com/AllyBurris/status/1806028255520031093")</f>
        <v>http://twitter.com/AllyBurris/status/1806028255520031093</v>
      </c>
      <c r="O375" s="2" t="str">
        <f>HYPERLINK("https://www.indystar.com/story/news/local/2024/06/26/indy-mls-ownership-herb-simon-would-be-wonderful-joe-hogsett-says/74205135007/")</f>
        <v>https://www.indystar.com/story/news/local/2024/06/26/indy-mls-ownership-herb-simon-would-be-wonderful-joe-hogsett-says/74205135007/</v>
      </c>
    </row>
    <row r="376" spans="1:15" ht="79.2" x14ac:dyDescent="0.3">
      <c r="A376" s="2" t="s">
        <v>29</v>
      </c>
      <c r="B376" s="2" t="s">
        <v>1910</v>
      </c>
      <c r="C376" s="2" t="s">
        <v>1911</v>
      </c>
      <c r="D376" s="2" t="s">
        <v>1912</v>
      </c>
      <c r="E376" s="2" t="str">
        <f>HYPERLINK("http://twitter.com/DougRobersonAJC")</f>
        <v>http://twitter.com/DougRobersonAJC</v>
      </c>
      <c r="F376" s="2" t="str">
        <f>HYPERLINK("https://muckrack.com/doug-roberson")</f>
        <v>https://muckrack.com/doug-roberson</v>
      </c>
      <c r="G376" s="2">
        <v>16740</v>
      </c>
      <c r="H376" s="2" t="s">
        <v>1913</v>
      </c>
      <c r="I376" s="2" t="s">
        <v>1914</v>
      </c>
      <c r="J376" s="2" t="s">
        <v>1915</v>
      </c>
      <c r="K376" s="2" t="s">
        <v>30</v>
      </c>
      <c r="L376" s="2" t="s">
        <v>2930</v>
      </c>
      <c r="M376" s="5">
        <v>45468.62809027778</v>
      </c>
      <c r="N376" s="2" t="str">
        <f>HYPERLINK("http://twitter.com/DougRobersonAJC/status/1805678460779565198")</f>
        <v>http://twitter.com/DougRobersonAJC/status/1805678460779565198</v>
      </c>
      <c r="O376" s="2" t="str">
        <f>HYPERLINK("https://www.ajc.com/sports/atlanta-united/will-saturday-be-thiago-almadas-last-home-match-with-atlanta-united/NEYGKXD57JGY3FJWKSGENWDGGQ/")</f>
        <v>https://www.ajc.com/sports/atlanta-united/will-saturday-be-thiago-almadas-last-home-match-with-atlanta-united/NEYGKXD57JGY3FJWKSGENWDGGQ/</v>
      </c>
    </row>
    <row r="377" spans="1:15" ht="66" x14ac:dyDescent="0.3">
      <c r="A377" s="2" t="s">
        <v>29</v>
      </c>
      <c r="B377" s="2" t="s">
        <v>1910</v>
      </c>
      <c r="C377" s="2" t="s">
        <v>1911</v>
      </c>
      <c r="D377" s="2" t="s">
        <v>1912</v>
      </c>
      <c r="E377" s="2" t="str">
        <f>HYPERLINK("http://twitter.com/DougRobersonAJC")</f>
        <v>http://twitter.com/DougRobersonAJC</v>
      </c>
      <c r="F377" s="2" t="str">
        <f>HYPERLINK("https://muckrack.com/doug-roberson")</f>
        <v>https://muckrack.com/doug-roberson</v>
      </c>
      <c r="G377" s="2">
        <v>16740</v>
      </c>
      <c r="H377" s="2" t="s">
        <v>1913</v>
      </c>
      <c r="I377" s="2" t="s">
        <v>1914</v>
      </c>
      <c r="J377" s="2" t="s">
        <v>1915</v>
      </c>
      <c r="K377" s="2" t="s">
        <v>30</v>
      </c>
      <c r="L377" s="2" t="s">
        <v>2931</v>
      </c>
      <c r="M377" s="5">
        <v>45467.543020833327</v>
      </c>
      <c r="N377" s="2" t="str">
        <f>HYPERLINK("http://twitter.com/DougRobersonAJC/status/1805285244926357741")</f>
        <v>http://twitter.com/DougRobersonAJC/status/1805285244926357741</v>
      </c>
      <c r="O377" s="2" t="str">
        <f>HYPERLINK("https://www.ajc.com/sports/atlanta-united/southern-fried-soccer-whats-going-on-with-thiago-almada/R76MDGBULREHBAQ3YUBAH2X2A4/")</f>
        <v>https://www.ajc.com/sports/atlanta-united/southern-fried-soccer-whats-going-on-with-thiago-almada/R76MDGBULREHBAQ3YUBAH2X2A4/</v>
      </c>
    </row>
    <row r="378" spans="1:15" ht="66" x14ac:dyDescent="0.3">
      <c r="A378" s="2" t="s">
        <v>29</v>
      </c>
      <c r="B378" s="2" t="s">
        <v>1910</v>
      </c>
      <c r="C378" s="2" t="s">
        <v>1911</v>
      </c>
      <c r="D378" s="2" t="s">
        <v>1912</v>
      </c>
      <c r="E378" s="2" t="str">
        <f>HYPERLINK("http://twitter.com/DougRobersonAJC")</f>
        <v>http://twitter.com/DougRobersonAJC</v>
      </c>
      <c r="F378" s="2" t="str">
        <f>HYPERLINK("https://muckrack.com/doug-roberson")</f>
        <v>https://muckrack.com/doug-roberson</v>
      </c>
      <c r="G378" s="2">
        <v>16740</v>
      </c>
      <c r="H378" s="2" t="s">
        <v>1913</v>
      </c>
      <c r="I378" s="2" t="s">
        <v>1914</v>
      </c>
      <c r="J378" s="2" t="s">
        <v>1915</v>
      </c>
      <c r="K378" s="2" t="s">
        <v>30</v>
      </c>
      <c r="L378" s="2" t="s">
        <v>2932</v>
      </c>
      <c r="M378" s="5">
        <v>45467.478888888887</v>
      </c>
      <c r="N378" s="2" t="str">
        <f>HYPERLINK("http://twitter.com/DougRobersonAJC/status/1805262003876855817")</f>
        <v>http://twitter.com/DougRobersonAJC/status/1805262003876855817</v>
      </c>
      <c r="O378" s="2" t="str">
        <f>HYPERLINK("https://www.ajc.com/sports/atlanta-united/atlanta-united-enters-an-important-week-of-training/ERUFGUZLM5HWTCTSCKODF7D3YY/")</f>
        <v>https://www.ajc.com/sports/atlanta-united/atlanta-united-enters-an-important-week-of-training/ERUFGUZLM5HWTCTSCKODF7D3YY/</v>
      </c>
    </row>
    <row r="379" spans="1:15" ht="39.6" x14ac:dyDescent="0.3">
      <c r="A379" s="2" t="s">
        <v>1986</v>
      </c>
      <c r="B379" s="2" t="s">
        <v>1987</v>
      </c>
      <c r="C379" s="2" t="s">
        <v>1988</v>
      </c>
      <c r="D379" s="2" t="s">
        <v>1989</v>
      </c>
      <c r="E379" s="2" t="str">
        <f>HYPERLINK("http://twitter.com/clairerafford")</f>
        <v>http://twitter.com/clairerafford</v>
      </c>
      <c r="F379" s="2" t="str">
        <f>HYPERLINK("https://muckrack.com/claire-rafford")</f>
        <v>https://muckrack.com/claire-rafford</v>
      </c>
      <c r="G379" s="2">
        <v>1224</v>
      </c>
      <c r="H379" s="2" t="s">
        <v>1990</v>
      </c>
      <c r="I379" s="2" t="s">
        <v>1991</v>
      </c>
      <c r="J379" s="2" t="s">
        <v>1992</v>
      </c>
      <c r="K379" s="2" t="s">
        <v>132</v>
      </c>
      <c r="L379" s="2" t="s">
        <v>2933</v>
      </c>
      <c r="M379" s="5">
        <v>45467.385370370372</v>
      </c>
      <c r="N379" s="2" t="str">
        <f>HYPERLINK("http://twitter.com/clairerafford/status/1805228111832719569")</f>
        <v>http://twitter.com/clairerafford/status/1805228111832719569</v>
      </c>
      <c r="O379" s="2" t="str">
        <f>HYPERLINK("https://mirrorindy.org/indianapolis-diamond-chain-human-remains-dnr-keystone-eleven-park-greenlawn/")</f>
        <v>https://mirrorindy.org/indianapolis-diamond-chain-human-remains-dnr-keystone-eleven-park-greenlawn/</v>
      </c>
    </row>
    <row r="380" spans="1:15" ht="118.8" x14ac:dyDescent="0.3">
      <c r="A380" s="2" t="s">
        <v>1986</v>
      </c>
      <c r="B380" s="2" t="s">
        <v>1987</v>
      </c>
      <c r="C380" s="2" t="s">
        <v>1988</v>
      </c>
      <c r="D380" s="2" t="s">
        <v>1989</v>
      </c>
      <c r="E380" s="2" t="str">
        <f>HYPERLINK("http://twitter.com/clairerafford")</f>
        <v>http://twitter.com/clairerafford</v>
      </c>
      <c r="F380" s="2" t="str">
        <f>HYPERLINK("https://muckrack.com/claire-rafford")</f>
        <v>https://muckrack.com/claire-rafford</v>
      </c>
      <c r="G380" s="2">
        <v>1224</v>
      </c>
      <c r="H380" s="2" t="s">
        <v>1990</v>
      </c>
      <c r="I380" s="2" t="s">
        <v>1991</v>
      </c>
      <c r="J380" s="2" t="s">
        <v>1992</v>
      </c>
      <c r="K380" s="2" t="s">
        <v>132</v>
      </c>
      <c r="L380" s="2" t="s">
        <v>2934</v>
      </c>
      <c r="M380" s="5">
        <v>45467.41233796296</v>
      </c>
      <c r="N380" s="2" t="str">
        <f>HYPERLINK("http://twitter.com/clairerafford/status/1805237887413195231")</f>
        <v>http://twitter.com/clairerafford/status/1805237887413195231</v>
      </c>
      <c r="O380" s="2" t="str">
        <f>HYPERLINK("https://mirrorindy.org/indianapolis-diamond-chain-human-remains-dnr-keystone-eleven-park-greenlawn/")</f>
        <v>https://mirrorindy.org/indianapolis-diamond-chain-human-remains-dnr-keystone-eleven-park-greenlawn/</v>
      </c>
    </row>
    <row r="381" spans="1:15" ht="105.6" x14ac:dyDescent="0.3">
      <c r="A381" s="2" t="s">
        <v>107</v>
      </c>
      <c r="B381" s="2" t="s">
        <v>1969</v>
      </c>
      <c r="C381" s="2" t="s">
        <v>1970</v>
      </c>
      <c r="D381" s="2" t="s">
        <v>1971</v>
      </c>
      <c r="E381" s="2" t="str">
        <f>HYPERLINK("http://twitter.com/indyemapolis")</f>
        <v>http://twitter.com/indyemapolis</v>
      </c>
      <c r="F381" s="2" t="str">
        <f>HYPERLINK("https://muckrack.com/emily-hopkins-2")</f>
        <v>https://muckrack.com/emily-hopkins-2</v>
      </c>
      <c r="G381" s="2">
        <v>3414</v>
      </c>
      <c r="H381" s="2" t="s">
        <v>1972</v>
      </c>
      <c r="I381" s="2" t="s">
        <v>1973</v>
      </c>
      <c r="J381" s="2" t="s">
        <v>1954</v>
      </c>
      <c r="K381" s="2" t="s">
        <v>1974</v>
      </c>
      <c r="L381" s="2" t="s">
        <v>2935</v>
      </c>
      <c r="M381" s="5">
        <v>45467.413495370369</v>
      </c>
      <c r="N381" s="2" t="str">
        <f>HYPERLINK("http://twitter.com/indyemapolis/status/1805238306088640940")</f>
        <v>http://twitter.com/indyemapolis/status/1805238306088640940</v>
      </c>
      <c r="O381" s="2" t="str">
        <f>HYPERLINK("https://mirrorindy.org/indianapolis-diamond-chain-human-remains-dnr-keystone-eleven-park-greenlawn/")</f>
        <v>https://mirrorindy.org/indianapolis-diamond-chain-human-remains-dnr-keystone-eleven-park-greenlawn/</v>
      </c>
    </row>
    <row r="382" spans="1:15" ht="79.2" x14ac:dyDescent="0.3">
      <c r="A382" s="2" t="s">
        <v>107</v>
      </c>
      <c r="B382" s="2" t="s">
        <v>1969</v>
      </c>
      <c r="C382" s="2" t="s">
        <v>1970</v>
      </c>
      <c r="D382" s="2" t="s">
        <v>1971</v>
      </c>
      <c r="E382" s="2" t="str">
        <f>HYPERLINK("http://twitter.com/indyemapolis")</f>
        <v>http://twitter.com/indyemapolis</v>
      </c>
      <c r="F382" s="2" t="str">
        <f>HYPERLINK("https://muckrack.com/emily-hopkins-2")</f>
        <v>https://muckrack.com/emily-hopkins-2</v>
      </c>
      <c r="G382" s="2">
        <v>3414</v>
      </c>
      <c r="H382" s="2" t="s">
        <v>1972</v>
      </c>
      <c r="I382" s="2" t="s">
        <v>1973</v>
      </c>
      <c r="J382" s="2" t="s">
        <v>1954</v>
      </c>
      <c r="K382" s="2" t="s">
        <v>1974</v>
      </c>
      <c r="L382" s="2" t="s">
        <v>2936</v>
      </c>
      <c r="M382" s="5">
        <v>45467.413506944453</v>
      </c>
      <c r="N382" s="2" t="str">
        <f>HYPERLINK("http://twitter.com/indyemapolis/status/1805238310060581044")</f>
        <v>http://twitter.com/indyemapolis/status/1805238310060581044</v>
      </c>
      <c r="O382" s="2" t="str">
        <f>HYPERLINK("https://mirrorindy.org/indianapolis-diamond-chain-human-remains-dnr-keystone-eleven-park-greenlawn/")</f>
        <v>https://mirrorindy.org/indianapolis-diamond-chain-human-remains-dnr-keystone-eleven-park-greenlawn/</v>
      </c>
    </row>
    <row r="383" spans="1:15" ht="52.8" x14ac:dyDescent="0.3">
      <c r="A383" s="2" t="s">
        <v>2937</v>
      </c>
      <c r="B383" s="2" t="s">
        <v>2938</v>
      </c>
      <c r="C383" s="2" t="s">
        <v>2939</v>
      </c>
      <c r="D383" s="2" t="s">
        <v>2940</v>
      </c>
      <c r="E383" s="2" t="str">
        <f>HYPERLINK("http://twitter.com/DanArndtWrites")</f>
        <v>http://twitter.com/DanArndtWrites</v>
      </c>
      <c r="F383" s="2" t="str">
        <f>HYPERLINK("https://muckrack.com/dan-arndt-1")</f>
        <v>https://muckrack.com/dan-arndt-1</v>
      </c>
      <c r="G383" s="2">
        <v>1235</v>
      </c>
      <c r="H383" s="2" t="s">
        <v>1972</v>
      </c>
      <c r="I383" s="2" t="s">
        <v>2941</v>
      </c>
      <c r="J383" s="2" t="s">
        <v>2942</v>
      </c>
      <c r="K383" s="2" t="s">
        <v>2943</v>
      </c>
      <c r="L383" s="2" t="s">
        <v>2933</v>
      </c>
      <c r="M383" s="5">
        <v>45467.503148148149</v>
      </c>
      <c r="N383" s="2" t="str">
        <f>HYPERLINK("http://twitter.com/DanArndtWrites/status/1805270794122956805")</f>
        <v>http://twitter.com/DanArndtWrites/status/1805270794122956805</v>
      </c>
      <c r="O383" s="2" t="str">
        <f>HYPERLINK("https://mirrorindy.org/indianapolis-diamond-chain-human-remains-dnr-keystone-eleven-park-greenlawn/")</f>
        <v>https://mirrorindy.org/indianapolis-diamond-chain-human-remains-dnr-keystone-eleven-park-greenlawn/</v>
      </c>
    </row>
    <row r="384" spans="1:15" ht="39.6" x14ac:dyDescent="0.3">
      <c r="A384" s="2" t="s">
        <v>2944</v>
      </c>
      <c r="B384" s="2" t="s">
        <v>2945</v>
      </c>
      <c r="C384" s="2" t="s">
        <v>2946</v>
      </c>
      <c r="D384" s="2" t="s">
        <v>2947</v>
      </c>
      <c r="E384" s="2" t="str">
        <f>HYPERLINK("http://twitter.com/HicksCBER")</f>
        <v>http://twitter.com/HicksCBER</v>
      </c>
      <c r="F384" s="2" t="str">
        <f>HYPERLINK("https://muckrack.com/michael-hicks")</f>
        <v>https://muckrack.com/michael-hicks</v>
      </c>
      <c r="G384" s="2">
        <v>5039</v>
      </c>
      <c r="H384" s="2" t="s">
        <v>2948</v>
      </c>
      <c r="I384" s="2" t="s">
        <v>2949</v>
      </c>
      <c r="J384" s="2"/>
      <c r="K384" s="2" t="s">
        <v>2034</v>
      </c>
      <c r="L384" s="2" t="s">
        <v>2950</v>
      </c>
      <c r="M384" s="5">
        <v>45467.611145833333</v>
      </c>
      <c r="N384" s="2" t="str">
        <f>HYPERLINK("http://twitter.com/HicksCBER/status/1805309933732180401")</f>
        <v>http://twitter.com/HicksCBER/status/1805309933732180401</v>
      </c>
      <c r="O384" s="2" t="str">
        <f>HYPERLINK("https://wibc.com/383234/expert-claims-use-taxpayer-money-to-build-new-sports-stadiums-is-not-worth-it/")</f>
        <v>https://wibc.com/383234/expert-claims-use-taxpayer-money-to-build-new-sports-stadiums-is-not-worth-it/</v>
      </c>
    </row>
    <row r="385" spans="1:15" ht="52.8" x14ac:dyDescent="0.3">
      <c r="A385" s="2" t="s">
        <v>953</v>
      </c>
      <c r="B385" s="2" t="s">
        <v>2674</v>
      </c>
      <c r="C385" s="2" t="s">
        <v>2675</v>
      </c>
      <c r="D385" s="2" t="s">
        <v>2676</v>
      </c>
      <c r="E385" s="2" t="str">
        <f>HYPERLINK("http://twitter.com/JREskilson")</f>
        <v>http://twitter.com/JREskilson</v>
      </c>
      <c r="F385" s="2" t="str">
        <f>HYPERLINK("https://muckrack.com/jr-eskilson")</f>
        <v>https://muckrack.com/jr-eskilson</v>
      </c>
      <c r="G385" s="2">
        <v>11261</v>
      </c>
      <c r="H385" s="2"/>
      <c r="I385" s="2" t="s">
        <v>2677</v>
      </c>
      <c r="J385" s="2" t="s">
        <v>2033</v>
      </c>
      <c r="K385" s="2" t="s">
        <v>354</v>
      </c>
      <c r="L385" s="2" t="s">
        <v>2951</v>
      </c>
      <c r="M385" s="5">
        <v>45466.422893518517</v>
      </c>
      <c r="N385" s="2" t="str">
        <f>HYPERLINK("http://twitter.com/JREskilson/status/1804879325642314015")</f>
        <v>http://twitter.com/JREskilson/status/1804879325642314015</v>
      </c>
      <c r="O385" s="2" t="str">
        <f>HYPERLINK("https://prepsoccer.com/2024/06/ecnl-champions-league-playoffs-07-standouts-from-saturday/")</f>
        <v>https://prepsoccer.com/2024/06/ecnl-champions-league-playoffs-07-standouts-from-saturday/</v>
      </c>
    </row>
    <row r="386" spans="1:15" ht="66" x14ac:dyDescent="0.3">
      <c r="A386" s="2" t="s">
        <v>29</v>
      </c>
      <c r="B386" s="2" t="s">
        <v>1910</v>
      </c>
      <c r="C386" s="2" t="s">
        <v>1911</v>
      </c>
      <c r="D386" s="2" t="s">
        <v>1912</v>
      </c>
      <c r="E386" s="2" t="str">
        <f>HYPERLINK("http://twitter.com/DougRobersonAJC")</f>
        <v>http://twitter.com/DougRobersonAJC</v>
      </c>
      <c r="F386" s="2" t="str">
        <f>HYPERLINK("https://muckrack.com/doug-roberson")</f>
        <v>https://muckrack.com/doug-roberson</v>
      </c>
      <c r="G386" s="2">
        <v>16740</v>
      </c>
      <c r="H386" s="2" t="s">
        <v>1913</v>
      </c>
      <c r="I386" s="2" t="s">
        <v>1914</v>
      </c>
      <c r="J386" s="2" t="s">
        <v>1915</v>
      </c>
      <c r="K386" s="2" t="s">
        <v>30</v>
      </c>
      <c r="L386" s="2" t="s">
        <v>2952</v>
      </c>
      <c r="M386" s="5">
        <v>45465.966493055559</v>
      </c>
      <c r="N386" s="2" t="str">
        <f>HYPERLINK("http://twitter.com/DougRobersonAJC/status/1804713929777586416")</f>
        <v>http://twitter.com/DougRobersonAJC/status/1804713929777586416</v>
      </c>
      <c r="O386" s="2" t="str">
        <f>HYPERLINK("https://www.ajc.com/sports/atlanta-united/atlanta-united-earns-steamy-draw-with-st-louis/XJJDZ6YYCRFL5B3SZWX3Z5TGCM/")</f>
        <v>https://www.ajc.com/sports/atlanta-united/atlanta-united-earns-steamy-draw-with-st-louis/XJJDZ6YYCRFL5B3SZWX3Z5TGCM/</v>
      </c>
    </row>
    <row r="387" spans="1:15" ht="66" x14ac:dyDescent="0.3">
      <c r="A387" s="2" t="s">
        <v>263</v>
      </c>
      <c r="B387" s="2" t="s">
        <v>2221</v>
      </c>
      <c r="C387" s="2" t="s">
        <v>2222</v>
      </c>
      <c r="D387" s="2" t="s">
        <v>2223</v>
      </c>
      <c r="E387" s="2" t="str">
        <f>HYPERLINK("http://twitter.com/pkedit")</f>
        <v>http://twitter.com/pkedit</v>
      </c>
      <c r="F387" s="2" t="str">
        <f>HYPERLINK("https://muckrack.com/paul-kennedy")</f>
        <v>https://muckrack.com/paul-kennedy</v>
      </c>
      <c r="G387" s="2">
        <v>10080</v>
      </c>
      <c r="H387" s="2"/>
      <c r="I387" s="2" t="s">
        <v>2224</v>
      </c>
      <c r="J387" s="2" t="s">
        <v>1929</v>
      </c>
      <c r="K387" s="2" t="s">
        <v>264</v>
      </c>
      <c r="L387" s="2" t="s">
        <v>2953</v>
      </c>
      <c r="M387" s="5">
        <v>45465.481249999997</v>
      </c>
      <c r="N387" s="2" t="str">
        <f>HYPERLINK("http://twitter.com/pkedit/status/1804538082554728730")</f>
        <v>http://twitter.com/pkedit/status/1804538082554728730</v>
      </c>
      <c r="O387" s="2" t="str">
        <f>HYPERLINK("https://www.socceramerica.com/the-american-soccer-weekend-preview-11/")</f>
        <v>https://www.socceramerica.com/the-american-soccer-weekend-preview-11/</v>
      </c>
    </row>
    <row r="388" spans="1:15" ht="92.4" x14ac:dyDescent="0.3">
      <c r="A388" s="2" t="s">
        <v>29</v>
      </c>
      <c r="B388" s="2" t="s">
        <v>1910</v>
      </c>
      <c r="C388" s="2" t="s">
        <v>1911</v>
      </c>
      <c r="D388" s="2" t="s">
        <v>1912</v>
      </c>
      <c r="E388" s="2" t="str">
        <f>HYPERLINK("http://twitter.com/DougRobersonAJC")</f>
        <v>http://twitter.com/DougRobersonAJC</v>
      </c>
      <c r="F388" s="2" t="str">
        <f>HYPERLINK("https://muckrack.com/doug-roberson")</f>
        <v>https://muckrack.com/doug-roberson</v>
      </c>
      <c r="G388" s="2">
        <v>16740</v>
      </c>
      <c r="H388" s="2" t="s">
        <v>1913</v>
      </c>
      <c r="I388" s="2" t="s">
        <v>1914</v>
      </c>
      <c r="J388" s="2" t="s">
        <v>1915</v>
      </c>
      <c r="K388" s="2" t="s">
        <v>30</v>
      </c>
      <c r="L388" s="2" t="s">
        <v>2954</v>
      </c>
      <c r="M388" s="5">
        <v>45464.700162037043</v>
      </c>
      <c r="N388" s="2" t="str">
        <f>HYPERLINK("http://twitter.com/DougRobersonAJC/status/1804255026631659665")</f>
        <v>http://twitter.com/DougRobersonAJC/status/1804255026631659665</v>
      </c>
      <c r="O388" s="2" t="str">
        <f>HYPERLINK("https://www.ajc.com/sports/atlanta-united/southern-fried-soccer-reviewing-atlanta-uniteds-win-wednesday-previewing-saturday-at-st-louis/F5XBO3DDMBHZDPMNHD2H2LW4H4/")</f>
        <v>https://www.ajc.com/sports/atlanta-united/southern-fried-soccer-reviewing-atlanta-uniteds-win-wednesday-previewing-saturday-at-st-louis/F5XBO3DDMBHZDPMNHD2H2LW4H4/</v>
      </c>
    </row>
    <row r="389" spans="1:15" ht="66" x14ac:dyDescent="0.3">
      <c r="A389" s="2" t="s">
        <v>29</v>
      </c>
      <c r="B389" s="2" t="s">
        <v>1910</v>
      </c>
      <c r="C389" s="2" t="s">
        <v>1911</v>
      </c>
      <c r="D389" s="2" t="s">
        <v>1912</v>
      </c>
      <c r="E389" s="2" t="str">
        <f>HYPERLINK("http://twitter.com/DougRobersonAJC")</f>
        <v>http://twitter.com/DougRobersonAJC</v>
      </c>
      <c r="F389" s="2" t="str">
        <f>HYPERLINK("https://muckrack.com/doug-roberson")</f>
        <v>https://muckrack.com/doug-roberson</v>
      </c>
      <c r="G389" s="2">
        <v>16740</v>
      </c>
      <c r="H389" s="2" t="s">
        <v>1913</v>
      </c>
      <c r="I389" s="2" t="s">
        <v>1914</v>
      </c>
      <c r="J389" s="2" t="s">
        <v>1915</v>
      </c>
      <c r="K389" s="2" t="s">
        <v>30</v>
      </c>
      <c r="L389" s="2" t="s">
        <v>2955</v>
      </c>
      <c r="M389" s="5">
        <v>45464.649004629631</v>
      </c>
      <c r="N389" s="2" t="str">
        <f>HYPERLINK("http://twitter.com/DougRobersonAJC/status/1804236486243684640")</f>
        <v>http://twitter.com/DougRobersonAJC/status/1804236486243684640</v>
      </c>
      <c r="O389" s="2" t="str">
        <f>HYPERLINK("https://www.ajc.com/sports/atlanta-united/info-to-know-atlanta-united-at-st-louis/FNCXYXONPZEF5ASMERETHMB27M/")</f>
        <v>https://www.ajc.com/sports/atlanta-united/info-to-know-atlanta-united-at-st-louis/FNCXYXONPZEF5ASMERETHMB27M/</v>
      </c>
    </row>
    <row r="390" spans="1:15" ht="66" x14ac:dyDescent="0.3">
      <c r="A390" s="2" t="s">
        <v>29</v>
      </c>
      <c r="B390" s="2" t="s">
        <v>1910</v>
      </c>
      <c r="C390" s="2" t="s">
        <v>1911</v>
      </c>
      <c r="D390" s="2" t="s">
        <v>1912</v>
      </c>
      <c r="E390" s="2" t="str">
        <f>HYPERLINK("http://twitter.com/DougRobersonAJC")</f>
        <v>http://twitter.com/DougRobersonAJC</v>
      </c>
      <c r="F390" s="2" t="str">
        <f>HYPERLINK("https://muckrack.com/doug-roberson")</f>
        <v>https://muckrack.com/doug-roberson</v>
      </c>
      <c r="G390" s="2">
        <v>16740</v>
      </c>
      <c r="H390" s="2" t="s">
        <v>1913</v>
      </c>
      <c r="I390" s="2" t="s">
        <v>1914</v>
      </c>
      <c r="J390" s="2" t="s">
        <v>1915</v>
      </c>
      <c r="K390" s="2" t="s">
        <v>30</v>
      </c>
      <c r="L390" s="2" t="s">
        <v>2956</v>
      </c>
      <c r="M390" s="5">
        <v>45464.630254629628</v>
      </c>
      <c r="N390" s="2" t="str">
        <f>HYPERLINK("http://twitter.com/DougRobersonAJC/status/1804229692842791113")</f>
        <v>http://twitter.com/DougRobersonAJC/status/1804229692842791113</v>
      </c>
      <c r="O390" s="2" t="str">
        <f>HYPERLINK("https://www.ajc.com/sports/atlanta-united/atlanta-united-has-another-chance-to-build-momentum/JOJSXUUWR5DCJEYOUMESBDQFRE/")</f>
        <v>https://www.ajc.com/sports/atlanta-united/atlanta-united-has-another-chance-to-build-momentum/JOJSXUUWR5DCJEYOUMESBDQFRE/</v>
      </c>
    </row>
    <row r="391" spans="1:15" ht="66" x14ac:dyDescent="0.3">
      <c r="A391" s="2" t="s">
        <v>29</v>
      </c>
      <c r="B391" s="2" t="s">
        <v>1910</v>
      </c>
      <c r="C391" s="2" t="s">
        <v>1911</v>
      </c>
      <c r="D391" s="2" t="s">
        <v>1912</v>
      </c>
      <c r="E391" s="2" t="str">
        <f>HYPERLINK("http://twitter.com/DougRobersonAJC")</f>
        <v>http://twitter.com/DougRobersonAJC</v>
      </c>
      <c r="F391" s="2" t="str">
        <f>HYPERLINK("https://muckrack.com/doug-roberson")</f>
        <v>https://muckrack.com/doug-roberson</v>
      </c>
      <c r="G391" s="2">
        <v>16740</v>
      </c>
      <c r="H391" s="2" t="s">
        <v>1913</v>
      </c>
      <c r="I391" s="2" t="s">
        <v>1914</v>
      </c>
      <c r="J391" s="2" t="s">
        <v>1915</v>
      </c>
      <c r="K391" s="2" t="s">
        <v>30</v>
      </c>
      <c r="L391" s="2" t="s">
        <v>2957</v>
      </c>
      <c r="M391" s="5">
        <v>45463.363310185188</v>
      </c>
      <c r="N391" s="2" t="str">
        <f>HYPERLINK("http://twitter.com/DougRobersonAJC/status/1803770568048628171")</f>
        <v>http://twitter.com/DougRobersonAJC/status/1803770568048628171</v>
      </c>
      <c r="O391" s="2" t="str">
        <f>HYPERLINK("https://www.ajc.com/sports/atlanta-united/things-learned-in-atlanta-uniteds-win-over-dc-united/SQK6NSV5UJHSJCE4TV53CIVNWM/")</f>
        <v>https://www.ajc.com/sports/atlanta-united/things-learned-in-atlanta-uniteds-win-over-dc-united/SQK6NSV5UJHSJCE4TV53CIVNWM/</v>
      </c>
    </row>
    <row r="392" spans="1:15" ht="66" x14ac:dyDescent="0.3">
      <c r="A392" s="2" t="s">
        <v>29</v>
      </c>
      <c r="B392" s="2" t="s">
        <v>1910</v>
      </c>
      <c r="C392" s="2" t="s">
        <v>1911</v>
      </c>
      <c r="D392" s="2" t="s">
        <v>1912</v>
      </c>
      <c r="E392" s="2" t="str">
        <f>HYPERLINK("http://twitter.com/DougRobersonAJC")</f>
        <v>http://twitter.com/DougRobersonAJC</v>
      </c>
      <c r="F392" s="2" t="str">
        <f>HYPERLINK("https://muckrack.com/doug-roberson")</f>
        <v>https://muckrack.com/doug-roberson</v>
      </c>
      <c r="G392" s="2">
        <v>16740</v>
      </c>
      <c r="H392" s="2" t="s">
        <v>1913</v>
      </c>
      <c r="I392" s="2" t="s">
        <v>1914</v>
      </c>
      <c r="J392" s="2" t="s">
        <v>1915</v>
      </c>
      <c r="K392" s="2" t="s">
        <v>30</v>
      </c>
      <c r="L392" s="2" t="s">
        <v>2958</v>
      </c>
      <c r="M392" s="5">
        <v>45463.926539351851</v>
      </c>
      <c r="N392" s="2" t="str">
        <f>HYPERLINK("http://twitter.com/DougRobersonAJC/status/1803974676793663750")</f>
        <v>http://twitter.com/DougRobersonAJC/status/1803974676793663750</v>
      </c>
      <c r="O392" s="2" t="str">
        <f>HYPERLINK("https://www.ajc.com/sports/atlanta-united/things-learned-in-atlanta-uniteds-win-over-dc-united/SQK6NSV5UJHSJCE4TV53CIVNWM/")</f>
        <v>https://www.ajc.com/sports/atlanta-united/things-learned-in-atlanta-uniteds-win-over-dc-united/SQK6NSV5UJHSJCE4TV53CIVNWM/</v>
      </c>
    </row>
    <row r="393" spans="1:15" ht="66" x14ac:dyDescent="0.3">
      <c r="A393" s="2" t="s">
        <v>989</v>
      </c>
      <c r="B393" s="2" t="s">
        <v>1910</v>
      </c>
      <c r="C393" s="2" t="s">
        <v>2959</v>
      </c>
      <c r="D393" s="2" t="s">
        <v>2960</v>
      </c>
      <c r="E393" s="2" t="str">
        <f>HYPERLINK("http://twitter.com/ericcrawford")</f>
        <v>http://twitter.com/ericcrawford</v>
      </c>
      <c r="F393" s="2" t="str">
        <f>HYPERLINK("https://muckrack.com/ericcrawford")</f>
        <v>https://muckrack.com/ericcrawford</v>
      </c>
      <c r="G393" s="2">
        <v>62327</v>
      </c>
      <c r="H393" s="2" t="s">
        <v>2961</v>
      </c>
      <c r="I393" s="2" t="s">
        <v>2962</v>
      </c>
      <c r="J393" s="2" t="s">
        <v>2000</v>
      </c>
      <c r="K393" s="2" t="s">
        <v>222</v>
      </c>
      <c r="L393" s="2" t="s">
        <v>2963</v>
      </c>
      <c r="M393" s="5">
        <v>45462.985451388893</v>
      </c>
      <c r="N393" s="2" t="str">
        <f>HYPERLINK("http://twitter.com/ericcrawford/status/1803633637889311188")</f>
        <v>http://twitter.com/ericcrawford/status/1803633637889311188</v>
      </c>
      <c r="O393" s="2" t="str">
        <f>HYPERLINK("https://www.wdrb.com/sports/crawford-running-away-loucity-beats-pittsburgh-1-0-opens-6-point-lead-in-usl-east/article_88b93cb6-2eb5-11ef-8b97-ebe0806d858d.html")</f>
        <v>https://www.wdrb.com/sports/crawford-running-away-loucity-beats-pittsburgh-1-0-opens-6-point-lead-in-usl-east/article_88b93cb6-2eb5-11ef-8b97-ebe0806d858d.html</v>
      </c>
    </row>
    <row r="394" spans="1:15" ht="66" x14ac:dyDescent="0.3">
      <c r="A394" s="2" t="s">
        <v>29</v>
      </c>
      <c r="B394" s="2" t="s">
        <v>1910</v>
      </c>
      <c r="C394" s="2" t="s">
        <v>1911</v>
      </c>
      <c r="D394" s="2" t="s">
        <v>1912</v>
      </c>
      <c r="E394" s="2" t="str">
        <f>HYPERLINK("http://twitter.com/DougRobersonAJC")</f>
        <v>http://twitter.com/DougRobersonAJC</v>
      </c>
      <c r="F394" s="2" t="str">
        <f>HYPERLINK("https://muckrack.com/doug-roberson")</f>
        <v>https://muckrack.com/doug-roberson</v>
      </c>
      <c r="G394" s="2">
        <v>16740</v>
      </c>
      <c r="H394" s="2" t="s">
        <v>1913</v>
      </c>
      <c r="I394" s="2" t="s">
        <v>1914</v>
      </c>
      <c r="J394" s="2" t="s">
        <v>1915</v>
      </c>
      <c r="K394" s="2" t="s">
        <v>30</v>
      </c>
      <c r="L394" s="2" t="s">
        <v>2964</v>
      </c>
      <c r="M394" s="5">
        <v>45462.90966435185</v>
      </c>
      <c r="N394" s="2" t="str">
        <f>HYPERLINK("http://twitter.com/DougRobersonAJC/status/1803606171447873688")</f>
        <v>http://twitter.com/DougRobersonAJC/status/1803606171447873688</v>
      </c>
      <c r="O394" s="2" t="str">
        <f>HYPERLINK("https://www.ajc.com/sports/atlanta-united/thiago-almada-thunderbolt-lifts-atlanta-united-past-dc-united/OVRQRXK73BGBDOUZZDVIIQ77AU/")</f>
        <v>https://www.ajc.com/sports/atlanta-united/thiago-almada-thunderbolt-lifts-atlanta-united-past-dc-united/OVRQRXK73BGBDOUZZDVIIQ77AU/</v>
      </c>
    </row>
    <row r="395" spans="1:15" ht="66" x14ac:dyDescent="0.3">
      <c r="A395" s="2" t="s">
        <v>29</v>
      </c>
      <c r="B395" s="2" t="s">
        <v>1910</v>
      </c>
      <c r="C395" s="2" t="s">
        <v>1911</v>
      </c>
      <c r="D395" s="2" t="s">
        <v>1912</v>
      </c>
      <c r="E395" s="2" t="str">
        <f>HYPERLINK("http://twitter.com/DougRobersonAJC")</f>
        <v>http://twitter.com/DougRobersonAJC</v>
      </c>
      <c r="F395" s="2" t="str">
        <f>HYPERLINK("https://muckrack.com/doug-roberson")</f>
        <v>https://muckrack.com/doug-roberson</v>
      </c>
      <c r="G395" s="2">
        <v>16740</v>
      </c>
      <c r="H395" s="2" t="s">
        <v>1913</v>
      </c>
      <c r="I395" s="2" t="s">
        <v>1914</v>
      </c>
      <c r="J395" s="2" t="s">
        <v>1915</v>
      </c>
      <c r="K395" s="2" t="s">
        <v>30</v>
      </c>
      <c r="L395" s="2" t="s">
        <v>2965</v>
      </c>
      <c r="M395" s="5">
        <v>45462.974131944437</v>
      </c>
      <c r="N395" s="2" t="str">
        <f>HYPERLINK("http://twitter.com/DougRobersonAJC/status/1803629533435764744")</f>
        <v>http://twitter.com/DougRobersonAJC/status/1803629533435764744</v>
      </c>
      <c r="O395" s="2" t="str">
        <f>HYPERLINK("https://www.ajc.com/sports/atlanta-united/thiago-almada-thunderbolt-lifts-atlanta-united-past-dc-united/OVRQRXK73BGBDOUZZDVIIQ77AU/")</f>
        <v>https://www.ajc.com/sports/atlanta-united/thiago-almada-thunderbolt-lifts-atlanta-united-past-dc-united/OVRQRXK73BGBDOUZZDVIIQ77AU/</v>
      </c>
    </row>
    <row r="396" spans="1:15" ht="66" x14ac:dyDescent="0.3">
      <c r="A396" s="2" t="s">
        <v>29</v>
      </c>
      <c r="B396" s="2" t="s">
        <v>1910</v>
      </c>
      <c r="C396" s="2" t="s">
        <v>1911</v>
      </c>
      <c r="D396" s="2" t="s">
        <v>1912</v>
      </c>
      <c r="E396" s="2" t="str">
        <f>HYPERLINK("http://twitter.com/DougRobersonAJC")</f>
        <v>http://twitter.com/DougRobersonAJC</v>
      </c>
      <c r="F396" s="2" t="str">
        <f>HYPERLINK("https://muckrack.com/doug-roberson")</f>
        <v>https://muckrack.com/doug-roberson</v>
      </c>
      <c r="G396" s="2">
        <v>16740</v>
      </c>
      <c r="H396" s="2" t="s">
        <v>1913</v>
      </c>
      <c r="I396" s="2" t="s">
        <v>1914</v>
      </c>
      <c r="J396" s="2" t="s">
        <v>1915</v>
      </c>
      <c r="K396" s="2" t="s">
        <v>30</v>
      </c>
      <c r="L396" s="2" t="s">
        <v>2966</v>
      </c>
      <c r="M396" s="5">
        <v>45462.868379629632</v>
      </c>
      <c r="N396" s="2" t="str">
        <f>HYPERLINK("http://twitter.com/DougRobersonAJC/status/1803591211250303071")</f>
        <v>http://twitter.com/DougRobersonAJC/status/1803591211250303071</v>
      </c>
      <c r="O396" s="2" t="str">
        <f>HYPERLINK("https://www.ajc.com/sports/atlanta-united/southern-fried-soccer-previewing-copa-america/3M7N2EPHLJDQJD2SBKWLXW6VY4/")</f>
        <v>https://www.ajc.com/sports/atlanta-united/southern-fried-soccer-previewing-copa-america/3M7N2EPHLJDQJD2SBKWLXW6VY4/</v>
      </c>
    </row>
    <row r="397" spans="1:15" ht="66" x14ac:dyDescent="0.3">
      <c r="A397" s="2" t="s">
        <v>29</v>
      </c>
      <c r="B397" s="2" t="s">
        <v>1910</v>
      </c>
      <c r="C397" s="2" t="s">
        <v>1911</v>
      </c>
      <c r="D397" s="2" t="s">
        <v>1912</v>
      </c>
      <c r="E397" s="2" t="str">
        <f>HYPERLINK("http://twitter.com/DougRobersonAJC")</f>
        <v>http://twitter.com/DougRobersonAJC</v>
      </c>
      <c r="F397" s="2" t="str">
        <f>HYPERLINK("https://muckrack.com/doug-roberson")</f>
        <v>https://muckrack.com/doug-roberson</v>
      </c>
      <c r="G397" s="2">
        <v>16740</v>
      </c>
      <c r="H397" s="2" t="s">
        <v>1913</v>
      </c>
      <c r="I397" s="2" t="s">
        <v>1914</v>
      </c>
      <c r="J397" s="2" t="s">
        <v>1915</v>
      </c>
      <c r="K397" s="2" t="s">
        <v>30</v>
      </c>
      <c r="L397" s="2" t="s">
        <v>2967</v>
      </c>
      <c r="M397" s="5">
        <v>45463.34542824074</v>
      </c>
      <c r="N397" s="2" t="str">
        <f>HYPERLINK("http://twitter.com/DougRobersonAJC/status/1803764088402547179")</f>
        <v>http://twitter.com/DougRobersonAJC/status/1803764088402547179</v>
      </c>
      <c r="O397" s="2" t="str">
        <f>HYPERLINK("https://www.ajc.com/sports/atlanta-united/southern-fried-soccer-previewing-copa-america/3M7N2EPHLJDQJD2SBKWLXW6VY4/")</f>
        <v>https://www.ajc.com/sports/atlanta-united/southern-fried-soccer-previewing-copa-america/3M7N2EPHLJDQJD2SBKWLXW6VY4/</v>
      </c>
    </row>
    <row r="398" spans="1:15" ht="66" x14ac:dyDescent="0.3">
      <c r="A398" s="2" t="s">
        <v>29</v>
      </c>
      <c r="B398" s="2" t="s">
        <v>1910</v>
      </c>
      <c r="C398" s="2" t="s">
        <v>1911</v>
      </c>
      <c r="D398" s="2" t="s">
        <v>1912</v>
      </c>
      <c r="E398" s="2" t="str">
        <f>HYPERLINK("http://twitter.com/DougRobersonAJC")</f>
        <v>http://twitter.com/DougRobersonAJC</v>
      </c>
      <c r="F398" s="2" t="str">
        <f>HYPERLINK("https://muckrack.com/doug-roberson")</f>
        <v>https://muckrack.com/doug-roberson</v>
      </c>
      <c r="G398" s="2">
        <v>16740</v>
      </c>
      <c r="H398" s="2" t="s">
        <v>1913</v>
      </c>
      <c r="I398" s="2" t="s">
        <v>1914</v>
      </c>
      <c r="J398" s="2" t="s">
        <v>1915</v>
      </c>
      <c r="K398" s="2" t="s">
        <v>30</v>
      </c>
      <c r="L398" s="2" t="s">
        <v>2968</v>
      </c>
      <c r="M398" s="5">
        <v>45463.345729166656</v>
      </c>
      <c r="N398" s="2" t="str">
        <f>HYPERLINK("http://twitter.com/DougRobersonAJC/status/1803764195403444574")</f>
        <v>http://twitter.com/DougRobersonAJC/status/1803764195403444574</v>
      </c>
      <c r="O398" s="2" t="str">
        <f>HYPERLINK("https://www.ajc.com/sports/atlanta-united/southern-fried-soccer-previewing-copa-america/3M7N2EPHLJDQJD2SBKWLXW6VY4/")</f>
        <v>https://www.ajc.com/sports/atlanta-united/southern-fried-soccer-previewing-copa-america/3M7N2EPHLJDQJD2SBKWLXW6VY4/</v>
      </c>
    </row>
    <row r="399" spans="1:15" ht="79.2" x14ac:dyDescent="0.3">
      <c r="A399" s="2" t="s">
        <v>1963</v>
      </c>
      <c r="B399" s="2" t="s">
        <v>1964</v>
      </c>
      <c r="C399" s="2" t="s">
        <v>1965</v>
      </c>
      <c r="D399" s="2" t="s">
        <v>1966</v>
      </c>
      <c r="E399" s="2" t="str">
        <f>HYPERLINK("http://twitter.com/bposhea")</f>
        <v>http://twitter.com/bposhea</v>
      </c>
      <c r="F399" s="2" t="str">
        <f>HYPERLINK("https://muckrack.com/brian-oshea")</f>
        <v>https://muckrack.com/brian-oshea</v>
      </c>
      <c r="G399" s="2">
        <v>1614</v>
      </c>
      <c r="H399" s="2" t="s">
        <v>1913</v>
      </c>
      <c r="I399" s="2" t="s">
        <v>1967</v>
      </c>
      <c r="J399" s="2" t="s">
        <v>1954</v>
      </c>
      <c r="K399" s="2" t="s">
        <v>30</v>
      </c>
      <c r="L399" s="2" t="s">
        <v>2969</v>
      </c>
      <c r="M399" s="5">
        <v>45462.876597222217</v>
      </c>
      <c r="N399" s="2" t="str">
        <f>HYPERLINK("http://twitter.com/bposhea/status/1803594188388233593")</f>
        <v>http://twitter.com/bposhea/status/1803594188388233593</v>
      </c>
      <c r="O399" s="2" t="str">
        <f>HYPERLINK("https://www.ajc.com/sports/atlanta-united/southern-fried-soccer-previewing-copa-america/3M7N2EPHLJDQJD2SBKWLXW6VY4/")</f>
        <v>https://www.ajc.com/sports/atlanta-united/southern-fried-soccer-previewing-copa-america/3M7N2EPHLJDQJD2SBKWLXW6VY4/</v>
      </c>
    </row>
    <row r="400" spans="1:15" ht="79.2" x14ac:dyDescent="0.3">
      <c r="A400" s="2" t="s">
        <v>29</v>
      </c>
      <c r="B400" s="2" t="s">
        <v>1910</v>
      </c>
      <c r="C400" s="2" t="s">
        <v>1911</v>
      </c>
      <c r="D400" s="2" t="s">
        <v>1912</v>
      </c>
      <c r="E400" s="2" t="str">
        <f>HYPERLINK("http://twitter.com/DougRobersonAJC")</f>
        <v>http://twitter.com/DougRobersonAJC</v>
      </c>
      <c r="F400" s="2" t="str">
        <f>HYPERLINK("https://muckrack.com/doug-roberson")</f>
        <v>https://muckrack.com/doug-roberson</v>
      </c>
      <c r="G400" s="2">
        <v>16740</v>
      </c>
      <c r="H400" s="2" t="s">
        <v>1913</v>
      </c>
      <c r="I400" s="2" t="s">
        <v>1914</v>
      </c>
      <c r="J400" s="2" t="s">
        <v>1915</v>
      </c>
      <c r="K400" s="2" t="s">
        <v>30</v>
      </c>
      <c r="L400" s="2" t="s">
        <v>2970</v>
      </c>
      <c r="M400" s="5">
        <v>45462.498124999998</v>
      </c>
      <c r="N400" s="2" t="str">
        <f>HYPERLINK("http://twitter.com/DougRobersonAJC/status/1803457034093994026")</f>
        <v>http://twitter.com/DougRobersonAJC/status/1803457034093994026</v>
      </c>
      <c r="O400" s="2" t="str">
        <f>HYPERLINK("https://www.ajc.com/sports/atlanta-united/argentinians-in-atlanta-explain-why-lionel-messi-is-more-than-a-great-soccer-player/UFRSNY6NUZCVNOGG43XWG5GTJM/")</f>
        <v>https://www.ajc.com/sports/atlanta-united/argentinians-in-atlanta-explain-why-lionel-messi-is-more-than-a-great-soccer-player/UFRSNY6NUZCVNOGG43XWG5GTJM/</v>
      </c>
    </row>
    <row r="401" spans="1:15" ht="79.2" x14ac:dyDescent="0.3">
      <c r="A401" s="2" t="s">
        <v>2971</v>
      </c>
      <c r="B401" s="2" t="s">
        <v>2036</v>
      </c>
      <c r="C401" s="2" t="s">
        <v>2972</v>
      </c>
      <c r="D401" s="2" t="s">
        <v>2973</v>
      </c>
      <c r="E401" s="2" t="str">
        <f>HYPERLINK("http://twitter.com/ksugiuraajc")</f>
        <v>http://twitter.com/ksugiuraajc</v>
      </c>
      <c r="F401" s="2" t="str">
        <f>HYPERLINK("https://muckrack.com/ken-sugiura")</f>
        <v>https://muckrack.com/ken-sugiura</v>
      </c>
      <c r="G401" s="2">
        <v>22865</v>
      </c>
      <c r="H401" s="2" t="s">
        <v>1913</v>
      </c>
      <c r="I401" s="2" t="s">
        <v>2974</v>
      </c>
      <c r="J401" s="2" t="s">
        <v>2148</v>
      </c>
      <c r="K401" s="2" t="s">
        <v>30</v>
      </c>
      <c r="L401" s="2" t="s">
        <v>2975</v>
      </c>
      <c r="M401" s="5">
        <v>45462.498449074083</v>
      </c>
      <c r="N401" s="2" t="str">
        <f>HYPERLINK("http://twitter.com/ksugiuraajc/status/1803457152431874188")</f>
        <v>http://twitter.com/ksugiuraajc/status/1803457152431874188</v>
      </c>
      <c r="O401" s="2" t="str">
        <f>HYPERLINK("https://www.ajc.com/sports/atlanta-united/argentinians-in-atlanta-explain-why-lionel-messi-is-more-than-a-great-soccer-player/UFRSNY6NUZCVNOGG43XWG5GTJM/")</f>
        <v>https://www.ajc.com/sports/atlanta-united/argentinians-in-atlanta-explain-why-lionel-messi-is-more-than-a-great-soccer-player/UFRSNY6NUZCVNOGG43XWG5GTJM/</v>
      </c>
    </row>
    <row r="402" spans="1:15" ht="52.8" x14ac:dyDescent="0.3">
      <c r="A402" s="2" t="s">
        <v>654</v>
      </c>
      <c r="B402" s="2" t="s">
        <v>2482</v>
      </c>
      <c r="C402" s="2"/>
      <c r="D402" s="2" t="s">
        <v>2483</v>
      </c>
      <c r="E402" s="2" t="str">
        <f>HYPERLINK("http://twitter.com/ldock93")</f>
        <v>http://twitter.com/ldock93</v>
      </c>
      <c r="F402" s="2" t="str">
        <f>HYPERLINK("https://muckrack.com/lawrence-dockery")</f>
        <v>https://muckrack.com/lawrence-dockery</v>
      </c>
      <c r="G402" s="2">
        <v>1147</v>
      </c>
      <c r="H402" s="2" t="s">
        <v>2484</v>
      </c>
      <c r="I402" s="2" t="s">
        <v>2485</v>
      </c>
      <c r="J402" s="2" t="s">
        <v>2033</v>
      </c>
      <c r="K402" s="2" t="s">
        <v>2486</v>
      </c>
      <c r="L402" s="2" t="s">
        <v>2976</v>
      </c>
      <c r="M402" s="5">
        <v>45462.491597222222</v>
      </c>
      <c r="N402" s="2" t="str">
        <f>HYPERLINK("http://twitter.com/ldock93/status/1803454669638758714")</f>
        <v>http://twitter.com/ldock93/status/1803454669638758714</v>
      </c>
      <c r="O402" s="2" t="str">
        <f>HYPERLINK("https://bluffcitymedia.co/breaking-news-tim-howard-steps-down-as-sporting-director-of-memphis-901-fc/")</f>
        <v>https://bluffcitymedia.co/breaking-news-tim-howard-steps-down-as-sporting-director-of-memphis-901-fc/</v>
      </c>
    </row>
    <row r="403" spans="1:15" ht="66" x14ac:dyDescent="0.3">
      <c r="A403" s="2" t="s">
        <v>29</v>
      </c>
      <c r="B403" s="2" t="s">
        <v>1910</v>
      </c>
      <c r="C403" s="2" t="s">
        <v>1911</v>
      </c>
      <c r="D403" s="2" t="s">
        <v>1912</v>
      </c>
      <c r="E403" s="2" t="str">
        <f>HYPERLINK("http://twitter.com/DougRobersonAJC")</f>
        <v>http://twitter.com/DougRobersonAJC</v>
      </c>
      <c r="F403" s="2" t="str">
        <f>HYPERLINK("https://muckrack.com/doug-roberson")</f>
        <v>https://muckrack.com/doug-roberson</v>
      </c>
      <c r="G403" s="2">
        <v>16740</v>
      </c>
      <c r="H403" s="2" t="s">
        <v>1913</v>
      </c>
      <c r="I403" s="2" t="s">
        <v>1914</v>
      </c>
      <c r="J403" s="2" t="s">
        <v>1915</v>
      </c>
      <c r="K403" s="2" t="s">
        <v>30</v>
      </c>
      <c r="L403" s="2" t="s">
        <v>2977</v>
      </c>
      <c r="M403" s="5">
        <v>45461.636643518519</v>
      </c>
      <c r="N403" s="2" t="str">
        <f>HYPERLINK("http://twitter.com/DougRobersonAJC/status/1803144844484739140")</f>
        <v>http://twitter.com/DougRobersonAJC/status/1803144844484739140</v>
      </c>
      <c r="O403" s="2" t="str">
        <f>HYPERLINK("https://www.ajc.com/sports/atlanta-united/info-to-know-atlanta-united-at-dc-united/F66C2U3KWFGNTLLR6AWLOZC2YE/")</f>
        <v>https://www.ajc.com/sports/atlanta-united/info-to-know-atlanta-united-at-dc-united/F66C2U3KWFGNTLLR6AWLOZC2YE/</v>
      </c>
    </row>
    <row r="404" spans="1:15" ht="66" x14ac:dyDescent="0.3">
      <c r="A404" s="2" t="s">
        <v>29</v>
      </c>
      <c r="B404" s="2" t="s">
        <v>1910</v>
      </c>
      <c r="C404" s="2" t="s">
        <v>1911</v>
      </c>
      <c r="D404" s="2" t="s">
        <v>1912</v>
      </c>
      <c r="E404" s="2" t="str">
        <f>HYPERLINK("http://twitter.com/DougRobersonAJC")</f>
        <v>http://twitter.com/DougRobersonAJC</v>
      </c>
      <c r="F404" s="2" t="str">
        <f>HYPERLINK("https://muckrack.com/doug-roberson")</f>
        <v>https://muckrack.com/doug-roberson</v>
      </c>
      <c r="G404" s="2">
        <v>16740</v>
      </c>
      <c r="H404" s="2" t="s">
        <v>1913</v>
      </c>
      <c r="I404" s="2" t="s">
        <v>1914</v>
      </c>
      <c r="J404" s="2" t="s">
        <v>1915</v>
      </c>
      <c r="K404" s="2" t="s">
        <v>30</v>
      </c>
      <c r="L404" s="2" t="s">
        <v>2978</v>
      </c>
      <c r="M404" s="5">
        <v>45461.621990740743</v>
      </c>
      <c r="N404" s="2" t="str">
        <f>HYPERLINK("http://twitter.com/DougRobersonAJC/status/1803139536299360743")</f>
        <v>http://twitter.com/DougRobersonAJC/status/1803139536299360743</v>
      </c>
      <c r="O404" s="2" t="str">
        <f>HYPERLINK("https://www.ajc.com/sports/atlanta-united/at-the-mls-midpoint-a-look-inside-atlanta-uniteds-season/LRSLV57NXZDCVK6NRI7M6KACQE/")</f>
        <v>https://www.ajc.com/sports/atlanta-united/at-the-mls-midpoint-a-look-inside-atlanta-uniteds-season/LRSLV57NXZDCVK6NRI7M6KACQE/</v>
      </c>
    </row>
    <row r="405" spans="1:15" ht="52.8" x14ac:dyDescent="0.3">
      <c r="A405" s="2" t="s">
        <v>755</v>
      </c>
      <c r="B405" s="2" t="s">
        <v>2702</v>
      </c>
      <c r="C405" s="2" t="s">
        <v>2703</v>
      </c>
      <c r="D405" s="2" t="s">
        <v>2704</v>
      </c>
      <c r="E405" s="2" t="str">
        <f>HYPERLINK("http://twitter.com/nolanbianchi")</f>
        <v>http://twitter.com/nolanbianchi</v>
      </c>
      <c r="F405" s="2" t="str">
        <f>HYPERLINK("https://muckrack.com/nolan-bianchi")</f>
        <v>https://muckrack.com/nolan-bianchi</v>
      </c>
      <c r="G405" s="2">
        <v>11819</v>
      </c>
      <c r="H405" s="2"/>
      <c r="I405" s="2" t="s">
        <v>2705</v>
      </c>
      <c r="J405" s="2" t="s">
        <v>2706</v>
      </c>
      <c r="K405" s="2" t="s">
        <v>64</v>
      </c>
      <c r="L405" s="2" t="s">
        <v>2979</v>
      </c>
      <c r="M405" s="5">
        <v>45461.546550925923</v>
      </c>
      <c r="N405" s="2" t="str">
        <f>HYPERLINK("http://twitter.com/nolanbianchi/status/1803112194906730855")</f>
        <v>http://twitter.com/nolanbianchi/status/1803112194906730855</v>
      </c>
      <c r="O405" s="2" t="str">
        <f>HYPERLINK("https://www.detroitnews.com/story/sports/soccer/2024/06/18/detroit-city-fc-sells-forward-ali-coote-to-shelbourne-fc/74137979007/")</f>
        <v>https://www.detroitnews.com/story/sports/soccer/2024/06/18/detroit-city-fc-sells-forward-ali-coote-to-shelbourne-fc/74137979007/</v>
      </c>
    </row>
    <row r="406" spans="1:15" ht="66" x14ac:dyDescent="0.3">
      <c r="A406" s="2" t="s">
        <v>29</v>
      </c>
      <c r="B406" s="2" t="s">
        <v>1910</v>
      </c>
      <c r="C406" s="2" t="s">
        <v>1911</v>
      </c>
      <c r="D406" s="2" t="s">
        <v>1912</v>
      </c>
      <c r="E406" s="2" t="str">
        <f>HYPERLINK("http://twitter.com/DougRobersonAJC")</f>
        <v>http://twitter.com/DougRobersonAJC</v>
      </c>
      <c r="F406" s="2" t="str">
        <f>HYPERLINK("https://muckrack.com/doug-roberson")</f>
        <v>https://muckrack.com/doug-roberson</v>
      </c>
      <c r="G406" s="2">
        <v>16740</v>
      </c>
      <c r="H406" s="2" t="s">
        <v>1913</v>
      </c>
      <c r="I406" s="2" t="s">
        <v>1914</v>
      </c>
      <c r="J406" s="2" t="s">
        <v>1915</v>
      </c>
      <c r="K406" s="2" t="s">
        <v>30</v>
      </c>
      <c r="L406" s="2" t="s">
        <v>2980</v>
      </c>
      <c r="M406" s="5">
        <v>45461.497881944437</v>
      </c>
      <c r="N406" s="2" t="str">
        <f>HYPERLINK("http://twitter.com/DougRobersonAJC/status/1803094559955595393")</f>
        <v>http://twitter.com/DougRobersonAJC/status/1803094559955595393</v>
      </c>
      <c r="O406" s="2" t="str">
        <f>HYPERLINK("https://www.ajc.com/sports/atlanta-united/atlanta-uniteds-edwin-mosquera-out-at-least-three-weeks/ES4C7IULCRA3FEXSQ4JYZY4HR4/")</f>
        <v>https://www.ajc.com/sports/atlanta-united/atlanta-uniteds-edwin-mosquera-out-at-least-three-weeks/ES4C7IULCRA3FEXSQ4JYZY4HR4/</v>
      </c>
    </row>
    <row r="407" spans="1:15" ht="52.8" x14ac:dyDescent="0.3">
      <c r="A407" s="2" t="s">
        <v>993</v>
      </c>
      <c r="B407" s="2" t="s">
        <v>2289</v>
      </c>
      <c r="C407" s="2" t="s">
        <v>2981</v>
      </c>
      <c r="D407" s="2" t="s">
        <v>2982</v>
      </c>
      <c r="E407" s="2" t="str">
        <f>HYPERLINK("http://twitter.com/StephenWhit89")</f>
        <v>http://twitter.com/StephenWhit89</v>
      </c>
      <c r="F407" s="2" t="str">
        <f>HYPERLINK("https://muckrack.com/stephen-whitaker")</f>
        <v>https://muckrack.com/stephen-whitaker</v>
      </c>
      <c r="G407" s="2">
        <v>1127</v>
      </c>
      <c r="H407" s="2" t="s">
        <v>2983</v>
      </c>
      <c r="I407" s="2" t="s">
        <v>2984</v>
      </c>
      <c r="J407" s="2" t="s">
        <v>2033</v>
      </c>
      <c r="K407" s="2" t="s">
        <v>2985</v>
      </c>
      <c r="L407" s="2" t="s">
        <v>2986</v>
      </c>
      <c r="M407" s="5">
        <v>45461.524733796286</v>
      </c>
      <c r="N407" s="2" t="str">
        <f>HYPERLINK("http://twitter.com/StephenWhit89/status/1803104289990066433")</f>
        <v>http://twitter.com/StephenWhit89/status/1803104289990066433</v>
      </c>
      <c r="O407" s="2" t="str">
        <f>HYPERLINK("https://www.expressnews.com/sports/article/san-antonio-fc-heads-birmingham-looking-climb-19520224.php")</f>
        <v>https://www.expressnews.com/sports/article/san-antonio-fc-heads-birmingham-looking-climb-19520224.php</v>
      </c>
    </row>
    <row r="408" spans="1:15" ht="79.2" x14ac:dyDescent="0.3">
      <c r="A408" s="2" t="s">
        <v>29</v>
      </c>
      <c r="B408" s="2" t="s">
        <v>1910</v>
      </c>
      <c r="C408" s="2" t="s">
        <v>1911</v>
      </c>
      <c r="D408" s="2" t="s">
        <v>1912</v>
      </c>
      <c r="E408" s="2" t="str">
        <f>HYPERLINK("http://twitter.com/DougRobersonAJC")</f>
        <v>http://twitter.com/DougRobersonAJC</v>
      </c>
      <c r="F408" s="2" t="str">
        <f>HYPERLINK("https://muckrack.com/doug-roberson")</f>
        <v>https://muckrack.com/doug-roberson</v>
      </c>
      <c r="G408" s="2">
        <v>16740</v>
      </c>
      <c r="H408" s="2" t="s">
        <v>1913</v>
      </c>
      <c r="I408" s="2" t="s">
        <v>1914</v>
      </c>
      <c r="J408" s="2" t="s">
        <v>1915</v>
      </c>
      <c r="K408" s="2" t="s">
        <v>30</v>
      </c>
      <c r="L408" s="2" t="s">
        <v>2987</v>
      </c>
      <c r="M408" s="5">
        <v>45460.629618055558</v>
      </c>
      <c r="N408" s="2" t="str">
        <f>HYPERLINK("http://twitter.com/DougRobersonAJC/status/1802779910550778299")</f>
        <v>http://twitter.com/DougRobersonAJC/status/1802779910550778299</v>
      </c>
      <c r="O408" s="2" t="str">
        <f>HYPERLINK("https://www.ajc.com/sports/atlanta-united/southern-fried-soccer-reviewing-houston-previewing-atlanta-united-at-dc-united/EWNZJME44NE3HNYDCKDDDBMB4Q/")</f>
        <v>https://www.ajc.com/sports/atlanta-united/southern-fried-soccer-reviewing-houston-previewing-atlanta-united-at-dc-united/EWNZJME44NE3HNYDCKDDDBMB4Q/</v>
      </c>
    </row>
    <row r="409" spans="1:15" ht="66" x14ac:dyDescent="0.3">
      <c r="A409" s="2" t="s">
        <v>263</v>
      </c>
      <c r="B409" s="2" t="s">
        <v>2221</v>
      </c>
      <c r="C409" s="2" t="s">
        <v>2222</v>
      </c>
      <c r="D409" s="2" t="s">
        <v>2223</v>
      </c>
      <c r="E409" s="2" t="str">
        <f>HYPERLINK("http://twitter.com/pkedit")</f>
        <v>http://twitter.com/pkedit</v>
      </c>
      <c r="F409" s="2" t="str">
        <f>HYPERLINK("https://muckrack.com/paul-kennedy")</f>
        <v>https://muckrack.com/paul-kennedy</v>
      </c>
      <c r="G409" s="2">
        <v>10080</v>
      </c>
      <c r="H409" s="2"/>
      <c r="I409" s="2" t="s">
        <v>2224</v>
      </c>
      <c r="J409" s="2" t="s">
        <v>1929</v>
      </c>
      <c r="K409" s="2" t="s">
        <v>264</v>
      </c>
      <c r="L409" s="2" t="s">
        <v>2988</v>
      </c>
      <c r="M409" s="5">
        <v>45462.479861111111</v>
      </c>
      <c r="N409" s="2" t="str">
        <f>HYPERLINK("http://twitter.com/pkedit/status/1803450415671074965")</f>
        <v>http://twitter.com/pkedit/status/1803450415671074965</v>
      </c>
      <c r="O409" s="2" t="str">
        <f>HYPERLINK("https://www.socceramerica.com/indy-elevens-sean-mcauley-on-the-usl-championships-growth-and-challenges-the-open-cup-and-what-hed-ask-alex-ferguson/")</f>
        <v>https://www.socceramerica.com/indy-elevens-sean-mcauley-on-the-usl-championships-growth-and-challenges-the-open-cup-and-what-hed-ask-alex-ferguson/</v>
      </c>
    </row>
    <row r="410" spans="1:15" ht="79.2" x14ac:dyDescent="0.3">
      <c r="A410" s="2" t="s">
        <v>993</v>
      </c>
      <c r="B410" s="2" t="s">
        <v>2289</v>
      </c>
      <c r="C410" s="2" t="s">
        <v>2981</v>
      </c>
      <c r="D410" s="2" t="s">
        <v>2982</v>
      </c>
      <c r="E410" s="2" t="str">
        <f>HYPERLINK("http://twitter.com/StephenWhit89")</f>
        <v>http://twitter.com/StephenWhit89</v>
      </c>
      <c r="F410" s="2" t="str">
        <f>HYPERLINK("https://muckrack.com/stephen-whitaker")</f>
        <v>https://muckrack.com/stephen-whitaker</v>
      </c>
      <c r="G410" s="2">
        <v>1127</v>
      </c>
      <c r="H410" s="2" t="s">
        <v>2983</v>
      </c>
      <c r="I410" s="2" t="s">
        <v>2984</v>
      </c>
      <c r="J410" s="2" t="s">
        <v>2033</v>
      </c>
      <c r="K410" s="2" t="s">
        <v>2985</v>
      </c>
      <c r="L410" s="2" t="s">
        <v>2989</v>
      </c>
      <c r="M410" s="5">
        <v>45459.080972222233</v>
      </c>
      <c r="N410" s="2" t="str">
        <f>HYPERLINK("http://twitter.com/StephenWhit89/status/1802218699299995790")</f>
        <v>http://twitter.com/StephenWhit89/status/1802218699299995790</v>
      </c>
      <c r="O410" s="2" t="str">
        <f>HYPERLINK("https://www.expressnews.com/sports/article/san-antonio-fc-falls-1-0-indy-eleven-19516720.php")</f>
        <v>https://www.expressnews.com/sports/article/san-antonio-fc-falls-1-0-indy-eleven-19516720.php</v>
      </c>
    </row>
    <row r="411" spans="1:15" ht="79.2" x14ac:dyDescent="0.3">
      <c r="A411" s="2" t="s">
        <v>29</v>
      </c>
      <c r="B411" s="2" t="s">
        <v>1910</v>
      </c>
      <c r="C411" s="2" t="s">
        <v>1911</v>
      </c>
      <c r="D411" s="2" t="s">
        <v>1912</v>
      </c>
      <c r="E411" s="2" t="str">
        <f>HYPERLINK("http://twitter.com/DougRobersonAJC")</f>
        <v>http://twitter.com/DougRobersonAJC</v>
      </c>
      <c r="F411" s="2" t="str">
        <f>HYPERLINK("https://muckrack.com/doug-roberson")</f>
        <v>https://muckrack.com/doug-roberson</v>
      </c>
      <c r="G411" s="2">
        <v>16740</v>
      </c>
      <c r="H411" s="2" t="s">
        <v>1913</v>
      </c>
      <c r="I411" s="2" t="s">
        <v>1914</v>
      </c>
      <c r="J411" s="2" t="s">
        <v>1915</v>
      </c>
      <c r="K411" s="2" t="s">
        <v>30</v>
      </c>
      <c r="L411" s="2" t="s">
        <v>2990</v>
      </c>
      <c r="M411" s="5">
        <v>45458.91202546296</v>
      </c>
      <c r="N411" s="2" t="str">
        <f>HYPERLINK("http://twitter.com/DougRobersonAJC/status/1802157476093038823")</f>
        <v>http://twitter.com/DougRobersonAJC/status/1802157476093038823</v>
      </c>
      <c r="O411" s="2" t="str">
        <f>HYPERLINK("https://www.ajc.com/sports/atlanta-united/atlanta-united-gives-up-late-goal-draws-with-houston-in-valentinos-debut/PYW62HXO7JCPHIEZYH65ITOLYY/")</f>
        <v>https://www.ajc.com/sports/atlanta-united/atlanta-united-gives-up-late-goal-draws-with-houston-in-valentinos-debut/PYW62HXO7JCPHIEZYH65ITOLYY/</v>
      </c>
    </row>
    <row r="412" spans="1:15" ht="79.2" x14ac:dyDescent="0.3">
      <c r="A412" s="2" t="s">
        <v>29</v>
      </c>
      <c r="B412" s="2" t="s">
        <v>1910</v>
      </c>
      <c r="C412" s="2" t="s">
        <v>1911</v>
      </c>
      <c r="D412" s="2" t="s">
        <v>1912</v>
      </c>
      <c r="E412" s="2" t="str">
        <f>HYPERLINK("http://twitter.com/DougRobersonAJC")</f>
        <v>http://twitter.com/DougRobersonAJC</v>
      </c>
      <c r="F412" s="2" t="str">
        <f>HYPERLINK("https://muckrack.com/doug-roberson")</f>
        <v>https://muckrack.com/doug-roberson</v>
      </c>
      <c r="G412" s="2">
        <v>16740</v>
      </c>
      <c r="H412" s="2" t="s">
        <v>1913</v>
      </c>
      <c r="I412" s="2" t="s">
        <v>1914</v>
      </c>
      <c r="J412" s="2" t="s">
        <v>1915</v>
      </c>
      <c r="K412" s="2" t="s">
        <v>30</v>
      </c>
      <c r="L412" s="2" t="s">
        <v>2991</v>
      </c>
      <c r="M412" s="5">
        <v>45458.940358796302</v>
      </c>
      <c r="N412" s="2" t="str">
        <f>HYPERLINK("http://twitter.com/DougRobersonAJC/status/1802167744969793734")</f>
        <v>http://twitter.com/DougRobersonAJC/status/1802167744969793734</v>
      </c>
      <c r="O412" s="2" t="str">
        <f>HYPERLINK("https://www.ajc.com/sports/atlanta-united/atlanta-united-gives-up-late-goal-draws-with-houston-in-valentinos-debut/PYW62HXO7JCPHIEZYH65ITOLYY/")</f>
        <v>https://www.ajc.com/sports/atlanta-united/atlanta-united-gives-up-late-goal-draws-with-houston-in-valentinos-debut/PYW62HXO7JCPHIEZYH65ITOLYY/</v>
      </c>
    </row>
    <row r="413" spans="1:15" ht="79.2" x14ac:dyDescent="0.3">
      <c r="A413" s="2" t="s">
        <v>1963</v>
      </c>
      <c r="B413" s="2" t="s">
        <v>1964</v>
      </c>
      <c r="C413" s="2" t="s">
        <v>1965</v>
      </c>
      <c r="D413" s="2" t="s">
        <v>1966</v>
      </c>
      <c r="E413" s="2" t="str">
        <f>HYPERLINK("http://twitter.com/bposhea")</f>
        <v>http://twitter.com/bposhea</v>
      </c>
      <c r="F413" s="2" t="str">
        <f>HYPERLINK("https://muckrack.com/brian-oshea")</f>
        <v>https://muckrack.com/brian-oshea</v>
      </c>
      <c r="G413" s="2">
        <v>1614</v>
      </c>
      <c r="H413" s="2" t="s">
        <v>1913</v>
      </c>
      <c r="I413" s="2" t="s">
        <v>1967</v>
      </c>
      <c r="J413" s="2" t="s">
        <v>1954</v>
      </c>
      <c r="K413" s="2" t="s">
        <v>30</v>
      </c>
      <c r="L413" s="2" t="s">
        <v>2992</v>
      </c>
      <c r="M413" s="5">
        <v>45458.91978009259</v>
      </c>
      <c r="N413" s="2" t="str">
        <f>HYPERLINK("http://twitter.com/bposhea/status/1802160288570978800")</f>
        <v>http://twitter.com/bposhea/status/1802160288570978800</v>
      </c>
      <c r="O413" s="2" t="str">
        <f>HYPERLINK("https://www.ajc.com/sports/atlanta-united/atlanta-united-gives-up-late-goal-draws-with-houston-in-valentinos-debut/PYW62HXO7JCPHIEZYH65ITOLYY/")</f>
        <v>https://www.ajc.com/sports/atlanta-united/atlanta-united-gives-up-late-goal-draws-with-houston-in-valentinos-debut/PYW62HXO7JCPHIEZYH65ITOLYY/</v>
      </c>
    </row>
    <row r="414" spans="1:15" ht="39.6" x14ac:dyDescent="0.3">
      <c r="A414" s="2" t="s">
        <v>1018</v>
      </c>
      <c r="B414" s="2" t="s">
        <v>2993</v>
      </c>
      <c r="C414" s="2" t="s">
        <v>2994</v>
      </c>
      <c r="D414" s="2" t="s">
        <v>2995</v>
      </c>
      <c r="E414" s="2" t="str">
        <f>HYPERLINK("http://twitter.com/Dan_Hope")</f>
        <v>http://twitter.com/Dan_Hope</v>
      </c>
      <c r="F414" s="2" t="str">
        <f>HYPERLINK("https://muckrack.com/dan-hope")</f>
        <v>https://muckrack.com/dan-hope</v>
      </c>
      <c r="G414" s="2">
        <v>39529</v>
      </c>
      <c r="H414" s="2" t="s">
        <v>2996</v>
      </c>
      <c r="I414" s="2" t="s">
        <v>2997</v>
      </c>
      <c r="J414" s="2" t="s">
        <v>1929</v>
      </c>
      <c r="K414" s="2" t="s">
        <v>1019</v>
      </c>
      <c r="L414" s="2" t="s">
        <v>2998</v>
      </c>
      <c r="M414" s="5">
        <v>45458.707476851851</v>
      </c>
      <c r="N414" s="2" t="str">
        <f>HYPERLINK("http://twitter.com/Dan_Hope/status/1802083352217846139")</f>
        <v>http://twitter.com/Dan_Hope/status/1802083352217846139</v>
      </c>
      <c r="O414" s="2" t="str">
        <f>HYPERLINK("https://www.elevenwarriors.com/ohio-state-athletics/2024/06/147515/ohio-state-s-top-36-athletes-of-2023-24")</f>
        <v>https://www.elevenwarriors.com/ohio-state-athletics/2024/06/147515/ohio-state-s-top-36-athletes-of-2023-24</v>
      </c>
    </row>
    <row r="415" spans="1:15" ht="39.6" x14ac:dyDescent="0.3">
      <c r="A415" s="2" t="s">
        <v>2531</v>
      </c>
      <c r="B415" s="2" t="s">
        <v>2532</v>
      </c>
      <c r="C415" s="2"/>
      <c r="D415" s="2" t="s">
        <v>2533</v>
      </c>
      <c r="E415" s="2" t="str">
        <f>HYPERLINK("http://twitter.com/fangsbites")</f>
        <v>http://twitter.com/fangsbites</v>
      </c>
      <c r="F415" s="2" t="str">
        <f>HYPERLINK("https://muckrack.com/ken-fang")</f>
        <v>https://muckrack.com/ken-fang</v>
      </c>
      <c r="G415" s="2">
        <v>8124</v>
      </c>
      <c r="H415" s="2" t="s">
        <v>2534</v>
      </c>
      <c r="I415" s="2" t="s">
        <v>2535</v>
      </c>
      <c r="J415" s="2" t="s">
        <v>2033</v>
      </c>
      <c r="K415" s="2" t="s">
        <v>694</v>
      </c>
      <c r="L415" s="2" t="s">
        <v>2999</v>
      </c>
      <c r="M415" s="5">
        <v>45458.29415509259</v>
      </c>
      <c r="N415" s="2" t="str">
        <f>HYPERLINK("http://twitter.com/fangsbites/status/1801933567418909146")</f>
        <v>http://twitter.com/fangsbites/status/1801933567418909146</v>
      </c>
      <c r="O415" s="2" t="str">
        <f>HYPERLINK("https://awfulannouncing.com/viewing-picks/june-15-2024-watch-panthers-oilers-game-4.html")</f>
        <v>https://awfulannouncing.com/viewing-picks/june-15-2024-watch-panthers-oilers-game-4.html</v>
      </c>
    </row>
    <row r="416" spans="1:15" ht="66" x14ac:dyDescent="0.3">
      <c r="A416" s="2" t="s">
        <v>263</v>
      </c>
      <c r="B416" s="2" t="s">
        <v>2221</v>
      </c>
      <c r="C416" s="2" t="s">
        <v>2222</v>
      </c>
      <c r="D416" s="2" t="s">
        <v>2223</v>
      </c>
      <c r="E416" s="2" t="str">
        <f>HYPERLINK("http://twitter.com/pkedit")</f>
        <v>http://twitter.com/pkedit</v>
      </c>
      <c r="F416" s="2" t="str">
        <f>HYPERLINK("https://muckrack.com/paul-kennedy")</f>
        <v>https://muckrack.com/paul-kennedy</v>
      </c>
      <c r="G416" s="2">
        <v>10080</v>
      </c>
      <c r="H416" s="2"/>
      <c r="I416" s="2" t="s">
        <v>2224</v>
      </c>
      <c r="J416" s="2" t="s">
        <v>1929</v>
      </c>
      <c r="K416" s="2" t="s">
        <v>264</v>
      </c>
      <c r="L416" s="2" t="s">
        <v>3000</v>
      </c>
      <c r="M416" s="5">
        <v>45458.438888888893</v>
      </c>
      <c r="N416" s="2" t="str">
        <f>HYPERLINK("http://twitter.com/pkedit/status/1801986016397742134")</f>
        <v>http://twitter.com/pkedit/status/1801986016397742134</v>
      </c>
      <c r="O416" s="2" t="str">
        <f>HYPERLINK("https://www.socceramerica.com/the-american-soccer-weekend-preview-10/")</f>
        <v>https://www.socceramerica.com/the-american-soccer-weekend-preview-10/</v>
      </c>
    </row>
    <row r="417" spans="1:15" ht="66" x14ac:dyDescent="0.3">
      <c r="A417" s="2" t="s">
        <v>3001</v>
      </c>
      <c r="B417" s="2" t="s">
        <v>2289</v>
      </c>
      <c r="C417" s="2" t="s">
        <v>3002</v>
      </c>
      <c r="D417" s="2" t="s">
        <v>3003</v>
      </c>
      <c r="E417" s="2" t="str">
        <f>HYPERLINK("http://twitter.com/jakefenner_")</f>
        <v>http://twitter.com/jakefenner_</v>
      </c>
      <c r="F417" s="2" t="str">
        <f>HYPERLINK("https://muckrack.com/jake-fenner")</f>
        <v>https://muckrack.com/jake-fenner</v>
      </c>
      <c r="G417" s="2">
        <v>1108</v>
      </c>
      <c r="H417" s="2" t="s">
        <v>3004</v>
      </c>
      <c r="I417" s="2" t="s">
        <v>3005</v>
      </c>
      <c r="J417" s="2" t="s">
        <v>1929</v>
      </c>
      <c r="K417" s="2" t="s">
        <v>795</v>
      </c>
      <c r="L417" s="2" t="s">
        <v>3006</v>
      </c>
      <c r="M417" s="5">
        <v>45457.480949074074</v>
      </c>
      <c r="N417" s="2" t="str">
        <f>HYPERLINK("http://twitter.com/jakefenner_/status/1801638869818888510")</f>
        <v>http://twitter.com/jakefenner_/status/1801638869818888510</v>
      </c>
      <c r="O417" s="2" t="str">
        <f>HYPERLINK("https://www.hartfordathletic.com/news/2024/06/14/hartford-athletic-acquire-defender-younes-boudadi-transfer-forward-romario-williams-to-indy-eleven/")</f>
        <v>https://www.hartfordathletic.com/news/2024/06/14/hartford-athletic-acquire-defender-younes-boudadi-transfer-forward-romario-williams-to-indy-eleven/</v>
      </c>
    </row>
    <row r="418" spans="1:15" ht="66" x14ac:dyDescent="0.3">
      <c r="A418" s="2" t="s">
        <v>993</v>
      </c>
      <c r="B418" s="2" t="s">
        <v>2289</v>
      </c>
      <c r="C418" s="2" t="s">
        <v>2981</v>
      </c>
      <c r="D418" s="2" t="s">
        <v>2982</v>
      </c>
      <c r="E418" s="2" t="str">
        <f>HYPERLINK("http://twitter.com/StephenWhit89")</f>
        <v>http://twitter.com/StephenWhit89</v>
      </c>
      <c r="F418" s="2" t="str">
        <f>HYPERLINK("https://muckrack.com/stephen-whitaker")</f>
        <v>https://muckrack.com/stephen-whitaker</v>
      </c>
      <c r="G418" s="2">
        <v>1127</v>
      </c>
      <c r="H418" s="2" t="s">
        <v>2983</v>
      </c>
      <c r="I418" s="2" t="s">
        <v>2984</v>
      </c>
      <c r="J418" s="2" t="s">
        <v>2033</v>
      </c>
      <c r="K418" s="2" t="s">
        <v>2985</v>
      </c>
      <c r="L418" s="2" t="s">
        <v>3007</v>
      </c>
      <c r="M418" s="5">
        <v>45458.515231481477</v>
      </c>
      <c r="N418" s="2" t="str">
        <f>HYPERLINK("http://twitter.com/StephenWhit89/status/1802013681791689118")</f>
        <v>http://twitter.com/StephenWhit89/status/1802013681791689118</v>
      </c>
      <c r="O418" s="2" t="str">
        <f>HYPERLINK("https://www.expressnews.com/sports/article/san-antonio-fc-looks-snap-losing-streak-indy-19513346.php")</f>
        <v>https://www.expressnews.com/sports/article/san-antonio-fc-looks-snap-losing-streak-indy-19513346.php</v>
      </c>
    </row>
    <row r="419" spans="1:15" ht="66" x14ac:dyDescent="0.3">
      <c r="A419" s="2" t="s">
        <v>29</v>
      </c>
      <c r="B419" s="2" t="s">
        <v>1910</v>
      </c>
      <c r="C419" s="2" t="s">
        <v>1911</v>
      </c>
      <c r="D419" s="2" t="s">
        <v>1912</v>
      </c>
      <c r="E419" s="2" t="str">
        <f>HYPERLINK("http://twitter.com/DougRobersonAJC")</f>
        <v>http://twitter.com/DougRobersonAJC</v>
      </c>
      <c r="F419" s="2" t="str">
        <f>HYPERLINK("https://muckrack.com/doug-roberson")</f>
        <v>https://muckrack.com/doug-roberson</v>
      </c>
      <c r="G419" s="2">
        <v>16740</v>
      </c>
      <c r="H419" s="2" t="s">
        <v>1913</v>
      </c>
      <c r="I419" s="2" t="s">
        <v>1914</v>
      </c>
      <c r="J419" s="2" t="s">
        <v>1915</v>
      </c>
      <c r="K419" s="2" t="s">
        <v>30</v>
      </c>
      <c r="L419" s="2" t="s">
        <v>3008</v>
      </c>
      <c r="M419" s="5">
        <v>45456.582662037043</v>
      </c>
      <c r="N419" s="2" t="str">
        <f>HYPERLINK("http://twitter.com/DougRobersonAJC/status/1801313343552061578")</f>
        <v>http://twitter.com/DougRobersonAJC/status/1801313343552061578</v>
      </c>
      <c r="O419" s="2" t="str">
        <f>HYPERLINK("https://www.ajc.com/sports/atlanta-united/atlanta-united-working-to-improve-mental-side-early-under-rob-valentino/FVAIXC5IYZE7PEVOZOOYVFCR2M/")</f>
        <v>https://www.ajc.com/sports/atlanta-united/atlanta-united-working-to-improve-mental-side-early-under-rob-valentino/FVAIXC5IYZE7PEVOZOOYVFCR2M/</v>
      </c>
    </row>
    <row r="420" spans="1:15" ht="66" x14ac:dyDescent="0.3">
      <c r="A420" s="2" t="s">
        <v>919</v>
      </c>
      <c r="B420" s="2" t="s">
        <v>2279</v>
      </c>
      <c r="C420" s="2" t="s">
        <v>2280</v>
      </c>
      <c r="D420" s="2" t="s">
        <v>2281</v>
      </c>
      <c r="E420" s="2" t="str">
        <f>HYPERLINK("http://twitter.com/ADChernoff")</f>
        <v>http://twitter.com/ADChernoff</v>
      </c>
      <c r="F420" s="2" t="str">
        <f>HYPERLINK("https://muckrack.com/andrew-chernoff")</f>
        <v>https://muckrack.com/andrew-chernoff</v>
      </c>
      <c r="G420" s="2">
        <v>7778</v>
      </c>
      <c r="H420" s="2" t="s">
        <v>1972</v>
      </c>
      <c r="I420" s="2" t="s">
        <v>2282</v>
      </c>
      <c r="J420" s="2" t="s">
        <v>2000</v>
      </c>
      <c r="K420" s="2" t="s">
        <v>2283</v>
      </c>
      <c r="L420" s="2" t="s">
        <v>3009</v>
      </c>
      <c r="M420" s="5">
        <v>45456.614583333343</v>
      </c>
      <c r="N420" s="2" t="str">
        <f>HYPERLINK("http://twitter.com/ADChernoff/status/1801324910087708853")</f>
        <v>http://twitter.com/ADChernoff/status/1801324910087708853</v>
      </c>
      <c r="O420" s="2" t="str">
        <f>HYPERLINK("https://www.wishtv.com/sports/indy-eleven/indy-eleven-head-coach-sean-mcauley-named-usl-coach-of-the-month/")</f>
        <v>https://www.wishtv.com/sports/indy-eleven/indy-eleven-head-coach-sean-mcauley-named-usl-coach-of-the-month/</v>
      </c>
    </row>
    <row r="421" spans="1:15" ht="66" x14ac:dyDescent="0.3">
      <c r="A421" s="2" t="s">
        <v>1048</v>
      </c>
      <c r="B421" s="2" t="s">
        <v>2215</v>
      </c>
      <c r="C421" s="2" t="s">
        <v>2587</v>
      </c>
      <c r="D421" s="2" t="s">
        <v>2588</v>
      </c>
      <c r="E421" s="2" t="str">
        <f>HYPERLINK("http://twitter.com/AngelaMoryanTV")</f>
        <v>http://twitter.com/AngelaMoryanTV</v>
      </c>
      <c r="F421" s="2" t="str">
        <f>HYPERLINK("https://muckrack.com/angela-moryan")</f>
        <v>https://muckrack.com/angela-moryan</v>
      </c>
      <c r="G421" s="2">
        <v>6948</v>
      </c>
      <c r="H421" s="2" t="s">
        <v>1972</v>
      </c>
      <c r="I421" s="2" t="s">
        <v>2589</v>
      </c>
      <c r="J421" s="2" t="s">
        <v>2000</v>
      </c>
      <c r="K421" s="2" t="s">
        <v>2283</v>
      </c>
      <c r="L421" s="2" t="s">
        <v>3010</v>
      </c>
      <c r="M421" s="5">
        <v>45456.633333333331</v>
      </c>
      <c r="N421" s="2" t="str">
        <f>HYPERLINK("http://twitter.com/AngelaMoryanTV/status/1801331705804165367")</f>
        <v>http://twitter.com/AngelaMoryanTV/status/1801331705804165367</v>
      </c>
      <c r="O421" s="2" t="str">
        <f>HYPERLINK("https://www.wishtv.com/sports/indy-eleven/indy-eleven-head-coach-sean-mcauley-named-usl-coach-of-the-month/")</f>
        <v>https://www.wishtv.com/sports/indy-eleven/indy-eleven-head-coach-sean-mcauley-named-usl-coach-of-the-month/</v>
      </c>
    </row>
    <row r="422" spans="1:15" ht="105.6" x14ac:dyDescent="0.3">
      <c r="A422" s="2" t="s">
        <v>1651</v>
      </c>
      <c r="B422" s="2" t="s">
        <v>2619</v>
      </c>
      <c r="C422" s="2" t="s">
        <v>2620</v>
      </c>
      <c r="D422" s="2" t="s">
        <v>2621</v>
      </c>
      <c r="E422" s="2" t="str">
        <f>HYPERLINK("http://twitter.com/worldsoccertalk")</f>
        <v>http://twitter.com/worldsoccertalk</v>
      </c>
      <c r="F422" s="2" t="str">
        <f>HYPERLINK("https://muckrack.com/christophermharris")</f>
        <v>https://muckrack.com/christophermharris</v>
      </c>
      <c r="G422" s="2">
        <v>81386</v>
      </c>
      <c r="H422" s="2" t="s">
        <v>2622</v>
      </c>
      <c r="I422" s="2" t="s">
        <v>2623</v>
      </c>
      <c r="J422" s="2" t="s">
        <v>2624</v>
      </c>
      <c r="K422" s="2" t="s">
        <v>2625</v>
      </c>
      <c r="L422" s="2" t="s">
        <v>3011</v>
      </c>
      <c r="M422" s="5">
        <v>45456.051516203697</v>
      </c>
      <c r="N422" s="2" t="str">
        <f>HYPERLINK("http://twitter.com/worldsoccertalk/status/1801120860700340358")</f>
        <v>http://twitter.com/worldsoccertalk/status/1801120860700340358</v>
      </c>
      <c r="O422" s="2" t="str">
        <f>HYPERLINK("https://worldsoccertalk.com/tv/usl-announces-spanish-language-deal-with-televisaunivision/")</f>
        <v>https://worldsoccertalk.com/tv/usl-announces-spanish-language-deal-with-televisaunivision/</v>
      </c>
    </row>
    <row r="423" spans="1:15" ht="79.2" x14ac:dyDescent="0.3">
      <c r="A423" s="2" t="s">
        <v>713</v>
      </c>
      <c r="B423" s="2" t="s">
        <v>3012</v>
      </c>
      <c r="C423" s="2" t="s">
        <v>3013</v>
      </c>
      <c r="D423" s="2" t="s">
        <v>3014</v>
      </c>
      <c r="E423" s="2" t="str">
        <f>HYPERLINK("http://twitter.com/KurtDarling_PBP")</f>
        <v>http://twitter.com/KurtDarling_PBP</v>
      </c>
      <c r="F423" s="2" t="str">
        <f>HYPERLINK("https://muckrack.com/kurt-darling")</f>
        <v>https://muckrack.com/kurt-darling</v>
      </c>
      <c r="G423" s="2">
        <v>1451</v>
      </c>
      <c r="H423" s="2" t="s">
        <v>3015</v>
      </c>
      <c r="I423" s="2" t="s">
        <v>3016</v>
      </c>
      <c r="J423" s="2" t="s">
        <v>1954</v>
      </c>
      <c r="K423" s="2" t="s">
        <v>322</v>
      </c>
      <c r="L423" s="2" t="s">
        <v>3017</v>
      </c>
      <c r="M423" s="5">
        <v>45455.541863425933</v>
      </c>
      <c r="N423" s="2" t="str">
        <f>HYPERLINK("http://twitter.com/KurtDarling_PBP/status/1800936170651832369")</f>
        <v>http://twitter.com/KurtDarling_PBP/status/1800936170651832369</v>
      </c>
      <c r="O423" s="2" t="str">
        <f>HYPERLINK("https://www.indyeleven.com/news/2024/06/12/mcauley-named-usl-championship-coach-of-the-month/")</f>
        <v>https://www.indyeleven.com/news/2024/06/12/mcauley-named-usl-championship-coach-of-the-month/</v>
      </c>
    </row>
    <row r="424" spans="1:15" ht="66" x14ac:dyDescent="0.3">
      <c r="A424" s="2" t="s">
        <v>919</v>
      </c>
      <c r="B424" s="2" t="s">
        <v>2279</v>
      </c>
      <c r="C424" s="2" t="s">
        <v>2280</v>
      </c>
      <c r="D424" s="2" t="s">
        <v>2281</v>
      </c>
      <c r="E424" s="2" t="str">
        <f>HYPERLINK("http://twitter.com/ADChernoff")</f>
        <v>http://twitter.com/ADChernoff</v>
      </c>
      <c r="F424" s="2" t="str">
        <f>HYPERLINK("https://muckrack.com/andrew-chernoff")</f>
        <v>https://muckrack.com/andrew-chernoff</v>
      </c>
      <c r="G424" s="2">
        <v>7778</v>
      </c>
      <c r="H424" s="2" t="s">
        <v>1972</v>
      </c>
      <c r="I424" s="2" t="s">
        <v>2282</v>
      </c>
      <c r="J424" s="2" t="s">
        <v>2000</v>
      </c>
      <c r="K424" s="2" t="s">
        <v>2283</v>
      </c>
      <c r="L424" s="2" t="s">
        <v>3018</v>
      </c>
      <c r="M424" s="5">
        <v>45455.536770833343</v>
      </c>
      <c r="N424" s="2" t="str">
        <f>HYPERLINK("http://twitter.com/ADChernoff/status/1800934325950488843")</f>
        <v>http://twitter.com/ADChernoff/status/1800934325950488843</v>
      </c>
      <c r="O424" s="2" t="str">
        <f>HYPERLINK("https://www.wishtv.com/sports/indy-eleven-make-history-with-seventh-straight-win/")</f>
        <v>https://www.wishtv.com/sports/indy-eleven-make-history-with-seventh-straight-win/</v>
      </c>
    </row>
    <row r="425" spans="1:15" ht="39.6" x14ac:dyDescent="0.3">
      <c r="A425" s="2" t="s">
        <v>1569</v>
      </c>
      <c r="B425" s="2" t="s">
        <v>3019</v>
      </c>
      <c r="C425" s="2" t="s">
        <v>3020</v>
      </c>
      <c r="D425" s="2" t="s">
        <v>3021</v>
      </c>
      <c r="E425" s="2" t="str">
        <f>HYPERLINK("http://twitter.com/peterlblanchard")</f>
        <v>http://twitter.com/peterlblanchard</v>
      </c>
      <c r="F425" s="2" t="str">
        <f>HYPERLINK("https://muckrack.com/peterblanchard")</f>
        <v>https://muckrack.com/peterblanchard</v>
      </c>
      <c r="G425" s="2">
        <v>1926</v>
      </c>
      <c r="H425" s="2" t="s">
        <v>1972</v>
      </c>
      <c r="I425" s="2" t="s">
        <v>3022</v>
      </c>
      <c r="J425" s="2" t="s">
        <v>3023</v>
      </c>
      <c r="K425" s="2" t="s">
        <v>132</v>
      </c>
      <c r="L425" s="2" t="s">
        <v>3024</v>
      </c>
      <c r="M425" s="5">
        <v>45455.4919212963</v>
      </c>
      <c r="N425" s="2" t="str">
        <f>HYPERLINK("http://twitter.com/peterlblanchard/status/1800918072490065988")</f>
        <v>http://twitter.com/peterlblanchard/status/1800918072490065988</v>
      </c>
      <c r="O425" s="2" t="str">
        <f>HYPERLINK("https://www.youarecurrent.com/2024/06/11/opinion-just-because-they-can/")</f>
        <v>https://www.youarecurrent.com/2024/06/11/opinion-just-because-they-can/</v>
      </c>
    </row>
    <row r="426" spans="1:15" ht="105.6" x14ac:dyDescent="0.3">
      <c r="A426" s="2" t="s">
        <v>1651</v>
      </c>
      <c r="B426" s="2" t="s">
        <v>2619</v>
      </c>
      <c r="C426" s="2" t="s">
        <v>2620</v>
      </c>
      <c r="D426" s="2" t="s">
        <v>2621</v>
      </c>
      <c r="E426" s="2" t="str">
        <f>HYPERLINK("http://twitter.com/worldsoccertalk")</f>
        <v>http://twitter.com/worldsoccertalk</v>
      </c>
      <c r="F426" s="2" t="str">
        <f>HYPERLINK("https://muckrack.com/christophermharris")</f>
        <v>https://muckrack.com/christophermharris</v>
      </c>
      <c r="G426" s="2">
        <v>81386</v>
      </c>
      <c r="H426" s="2" t="s">
        <v>2622</v>
      </c>
      <c r="I426" s="2" t="s">
        <v>2623</v>
      </c>
      <c r="J426" s="2" t="s">
        <v>2624</v>
      </c>
      <c r="K426" s="2" t="s">
        <v>2625</v>
      </c>
      <c r="L426" s="2" t="s">
        <v>3025</v>
      </c>
      <c r="M426" s="5">
        <v>45455.533587962957</v>
      </c>
      <c r="N426" s="2" t="str">
        <f>HYPERLINK("http://twitter.com/worldsoccertalk/status/1800933172609241110")</f>
        <v>http://twitter.com/worldsoccertalk/status/1800933172609241110</v>
      </c>
      <c r="O426" s="2" t="str">
        <f>HYPERLINK("https://shows.acast.com/world-soccer-talk-premier-league-mls-champions-league-efl-and-more/episodes/inside-euro-2024-preview-with-nick-webster")</f>
        <v>https://shows.acast.com/world-soccer-talk-premier-league-mls-champions-league-efl-and-more/episodes/inside-euro-2024-preview-with-nick-webster</v>
      </c>
    </row>
    <row r="427" spans="1:15" ht="39.6" x14ac:dyDescent="0.3">
      <c r="A427" s="2" t="s">
        <v>2102</v>
      </c>
      <c r="B427" s="2" t="s">
        <v>2103</v>
      </c>
      <c r="C427" s="2" t="s">
        <v>2104</v>
      </c>
      <c r="D427" s="2" t="s">
        <v>2105</v>
      </c>
      <c r="E427" s="2" t="str">
        <f>HYPERLINK("http://twitter.com/HolyCitySinner")</f>
        <v>http://twitter.com/HolyCitySinner</v>
      </c>
      <c r="F427" s="2" t="str">
        <f>HYPERLINK("https://muckrack.com/christian-senger")</f>
        <v>https://muckrack.com/christian-senger</v>
      </c>
      <c r="G427" s="2">
        <v>61543</v>
      </c>
      <c r="H427" s="2" t="s">
        <v>2106</v>
      </c>
      <c r="I427" s="2" t="s">
        <v>2107</v>
      </c>
      <c r="J427" s="2" t="s">
        <v>2108</v>
      </c>
      <c r="K427" s="2" t="s">
        <v>2109</v>
      </c>
      <c r="L427" s="2" t="s">
        <v>3026</v>
      </c>
      <c r="M427" s="5">
        <v>45451.656944444447</v>
      </c>
      <c r="N427" s="2" t="str">
        <f>HYPERLINK("http://twitter.com/HolyCitySinner/status/1799528321753006256")</f>
        <v>http://twitter.com/HolyCitySinner/status/1799528321753006256</v>
      </c>
      <c r="O427" s="2" t="str">
        <f>HYPERLINK("http://holycitysinner.com/sports/battery-host-pittsburgh-in-clash-of-90s-clubs-on-saturday/")</f>
        <v>http://holycitysinner.com/sports/battery-host-pittsburgh-in-clash-of-90s-clubs-on-saturday/</v>
      </c>
    </row>
    <row r="428" spans="1:15" ht="39.6" x14ac:dyDescent="0.3">
      <c r="A428" s="2" t="s">
        <v>2102</v>
      </c>
      <c r="B428" s="2" t="s">
        <v>2103</v>
      </c>
      <c r="C428" s="2" t="s">
        <v>2104</v>
      </c>
      <c r="D428" s="2" t="s">
        <v>2105</v>
      </c>
      <c r="E428" s="2" t="str">
        <f>HYPERLINK("http://twitter.com/HolyCitySinner")</f>
        <v>http://twitter.com/HolyCitySinner</v>
      </c>
      <c r="F428" s="2" t="str">
        <f>HYPERLINK("https://muckrack.com/christian-senger")</f>
        <v>https://muckrack.com/christian-senger</v>
      </c>
      <c r="G428" s="2">
        <v>61543</v>
      </c>
      <c r="H428" s="2" t="s">
        <v>2106</v>
      </c>
      <c r="I428" s="2" t="s">
        <v>2107</v>
      </c>
      <c r="J428" s="2" t="s">
        <v>2108</v>
      </c>
      <c r="K428" s="2" t="s">
        <v>2109</v>
      </c>
      <c r="L428" s="2" t="s">
        <v>3027</v>
      </c>
      <c r="M428" s="5">
        <v>45451.8</v>
      </c>
      <c r="N428" s="2" t="str">
        <f>HYPERLINK("http://twitter.com/HolyCitySinner/status/1799580163665228265")</f>
        <v>http://twitter.com/HolyCitySinner/status/1799580163665228265</v>
      </c>
      <c r="O428" s="2" t="str">
        <f>HYPERLINK("http://holycitysinner.com/sports/battery-host-pittsburgh-in-clash-of-90s-clubs-on-saturday/")</f>
        <v>http://holycitysinner.com/sports/battery-host-pittsburgh-in-clash-of-90s-clubs-on-saturday/</v>
      </c>
    </row>
    <row r="429" spans="1:15" ht="66" x14ac:dyDescent="0.3">
      <c r="A429" s="2" t="s">
        <v>3028</v>
      </c>
      <c r="B429" s="2" t="s">
        <v>2178</v>
      </c>
      <c r="C429" s="2" t="s">
        <v>3029</v>
      </c>
      <c r="D429" s="2" t="s">
        <v>3030</v>
      </c>
      <c r="E429" s="2" t="str">
        <f>HYPERLINK("http://twitter.com/FromtheJeff")</f>
        <v>http://twitter.com/FromtheJeff</v>
      </c>
      <c r="F429" s="2" t="str">
        <f>HYPERLINK("https://muckrack.com/jeff_fromthepc")</f>
        <v>https://muckrack.com/jeff_fromthepc</v>
      </c>
      <c r="G429" s="2">
        <v>7137</v>
      </c>
      <c r="H429" s="2" t="s">
        <v>2106</v>
      </c>
      <c r="I429" s="2"/>
      <c r="J429" s="2" t="s">
        <v>1929</v>
      </c>
      <c r="K429" s="2" t="s">
        <v>1063</v>
      </c>
      <c r="L429" s="2" t="s">
        <v>3031</v>
      </c>
      <c r="M429" s="5">
        <v>45451.373055555552</v>
      </c>
      <c r="N429" s="2" t="str">
        <f>HYPERLINK("http://twitter.com/FromtheJeff/status/1799425445361746014")</f>
        <v>http://twitter.com/FromtheJeff/status/1799425445361746014</v>
      </c>
      <c r="O429" s="2" t="str">
        <f>HYPERLINK("https://www.postandcourier.com/sports/minor_leagues/charleston-battery-usl-championship-national-tv/article_9adf04a6-2452-11ef-9853-0758c5538888.html")</f>
        <v>https://www.postandcourier.com/sports/minor_leagues/charleston-battery-usl-championship-national-tv/article_9adf04a6-2452-11ef-9853-0758c5538888.html</v>
      </c>
    </row>
    <row r="430" spans="1:15" ht="66" x14ac:dyDescent="0.3">
      <c r="A430" s="2" t="s">
        <v>3032</v>
      </c>
      <c r="B430" s="2" t="s">
        <v>2289</v>
      </c>
      <c r="C430" s="2" t="s">
        <v>3033</v>
      </c>
      <c r="D430" s="2" t="s">
        <v>3034</v>
      </c>
      <c r="E430" s="2" t="str">
        <f>HYPERLINK("http://twitter.com/GanttRob")</f>
        <v>http://twitter.com/GanttRob</v>
      </c>
      <c r="F430" s="2" t="str">
        <f>HYPERLINK("https://muckrack.com/rob-gantt")</f>
        <v>https://muckrack.com/rob-gantt</v>
      </c>
      <c r="G430" s="2">
        <v>2153</v>
      </c>
      <c r="H430" s="2"/>
      <c r="I430" s="2"/>
      <c r="J430" s="2" t="s">
        <v>2529</v>
      </c>
      <c r="K430" s="2" t="s">
        <v>1063</v>
      </c>
      <c r="L430" s="2" t="s">
        <v>3035</v>
      </c>
      <c r="M430" s="5">
        <v>45451.41033564815</v>
      </c>
      <c r="N430" s="2" t="str">
        <f>HYPERLINK("http://twitter.com/GanttRob/status/1799438956213502045")</f>
        <v>http://twitter.com/GanttRob/status/1799438956213502045</v>
      </c>
      <c r="O430" s="2" t="str">
        <f>HYPERLINK("https://www.postandcourier.com/sports/minor_leagues/charleston-battery-usl-championship-national-tv/article_9adf04a6-2452-11ef-9853-0758c5538888.html")</f>
        <v>https://www.postandcourier.com/sports/minor_leagues/charleston-battery-usl-championship-national-tv/article_9adf04a6-2452-11ef-9853-0758c5538888.html</v>
      </c>
    </row>
    <row r="431" spans="1:15" ht="66" x14ac:dyDescent="0.3">
      <c r="A431" s="2" t="s">
        <v>1062</v>
      </c>
      <c r="B431" s="2" t="s">
        <v>1910</v>
      </c>
      <c r="C431" s="2" t="s">
        <v>3036</v>
      </c>
      <c r="D431" s="2" t="s">
        <v>3037</v>
      </c>
      <c r="E431" s="2" t="str">
        <f>HYPERLINK("http://twitter.com/APMILLER_PandC")</f>
        <v>http://twitter.com/APMILLER_PandC</v>
      </c>
      <c r="F431" s="2" t="str">
        <f>HYPERLINK("https://muckrack.com/andrew-miller")</f>
        <v>https://muckrack.com/andrew-miller</v>
      </c>
      <c r="G431" s="2">
        <v>2074</v>
      </c>
      <c r="H431" s="2" t="s">
        <v>3038</v>
      </c>
      <c r="I431" s="2" t="s">
        <v>3039</v>
      </c>
      <c r="J431" s="2" t="s">
        <v>3040</v>
      </c>
      <c r="K431" s="2" t="s">
        <v>1063</v>
      </c>
      <c r="L431" s="2" t="s">
        <v>3035</v>
      </c>
      <c r="M431" s="5">
        <v>45451.423356481479</v>
      </c>
      <c r="N431" s="2" t="str">
        <f>HYPERLINK("http://twitter.com/APMILLER_PandC/status/1799443674872664434")</f>
        <v>http://twitter.com/APMILLER_PandC/status/1799443674872664434</v>
      </c>
      <c r="O431" s="2" t="str">
        <f>HYPERLINK("https://www.postandcourier.com/sports/minor_leagues/charleston-battery-usl-championship-national-tv/article_9adf04a6-2452-11ef-9853-0758c5538888.html")</f>
        <v>https://www.postandcourier.com/sports/minor_leagues/charleston-battery-usl-championship-national-tv/article_9adf04a6-2452-11ef-9853-0758c5538888.html</v>
      </c>
    </row>
    <row r="432" spans="1:15" ht="66" x14ac:dyDescent="0.3">
      <c r="A432" s="2" t="s">
        <v>1062</v>
      </c>
      <c r="B432" s="2" t="s">
        <v>1910</v>
      </c>
      <c r="C432" s="2" t="s">
        <v>3036</v>
      </c>
      <c r="D432" s="2" t="s">
        <v>3037</v>
      </c>
      <c r="E432" s="2" t="str">
        <f>HYPERLINK("http://twitter.com/APMILLER_PandC")</f>
        <v>http://twitter.com/APMILLER_PandC</v>
      </c>
      <c r="F432" s="2" t="str">
        <f>HYPERLINK("https://muckrack.com/andrew-miller")</f>
        <v>https://muckrack.com/andrew-miller</v>
      </c>
      <c r="G432" s="2">
        <v>2074</v>
      </c>
      <c r="H432" s="2" t="s">
        <v>3038</v>
      </c>
      <c r="I432" s="2" t="s">
        <v>3039</v>
      </c>
      <c r="J432" s="2" t="s">
        <v>3040</v>
      </c>
      <c r="K432" s="2" t="s">
        <v>1063</v>
      </c>
      <c r="L432" s="2" t="s">
        <v>3041</v>
      </c>
      <c r="M432" s="5">
        <v>45451.565057870372</v>
      </c>
      <c r="N432" s="2" t="str">
        <f>HYPERLINK("http://twitter.com/APMILLER_PandC/status/1799495022456262774")</f>
        <v>http://twitter.com/APMILLER_PandC/status/1799495022456262774</v>
      </c>
      <c r="O432" s="2" t="str">
        <f>HYPERLINK("https://www.postandcourier.com/sports/minor_leagues/charleston-battery-usl-championship-national-tv/article_9adf04a6-2452-11ef-9853-0758c5538888.html")</f>
        <v>https://www.postandcourier.com/sports/minor_leagues/charleston-battery-usl-championship-national-tv/article_9adf04a6-2452-11ef-9853-0758c5538888.html</v>
      </c>
    </row>
    <row r="433" spans="1:15" ht="52.8" x14ac:dyDescent="0.3">
      <c r="A433" s="2" t="s">
        <v>993</v>
      </c>
      <c r="B433" s="2" t="s">
        <v>2289</v>
      </c>
      <c r="C433" s="2" t="s">
        <v>2981</v>
      </c>
      <c r="D433" s="2" t="s">
        <v>2982</v>
      </c>
      <c r="E433" s="2" t="str">
        <f>HYPERLINK("http://twitter.com/StephenWhit89")</f>
        <v>http://twitter.com/StephenWhit89</v>
      </c>
      <c r="F433" s="2" t="str">
        <f>HYPERLINK("https://muckrack.com/stephen-whitaker")</f>
        <v>https://muckrack.com/stephen-whitaker</v>
      </c>
      <c r="G433" s="2">
        <v>1127</v>
      </c>
      <c r="H433" s="2" t="s">
        <v>2983</v>
      </c>
      <c r="I433" s="2" t="s">
        <v>2984</v>
      </c>
      <c r="J433" s="2" t="s">
        <v>2033</v>
      </c>
      <c r="K433" s="2" t="s">
        <v>2985</v>
      </c>
      <c r="L433" s="2" t="s">
        <v>3042</v>
      </c>
      <c r="M433" s="5">
        <v>45450.711921296293</v>
      </c>
      <c r="N433" s="2" t="str">
        <f>HYPERLINK("http://twitter.com/StephenWhit89/status/1799185860023488928")</f>
        <v>http://twitter.com/StephenWhit89/status/1799185860023488928</v>
      </c>
      <c r="O433" s="2" t="str">
        <f>HYPERLINK("https://www.expressnews.com/sports/article/safc-concludes-stretch-3-games-8-days-trip-tulsa-19503489.php")</f>
        <v>https://www.expressnews.com/sports/article/safc-concludes-stretch-3-games-8-days-trip-tulsa-19503489.php</v>
      </c>
    </row>
    <row r="434" spans="1:15" ht="66" x14ac:dyDescent="0.3">
      <c r="A434" s="2" t="s">
        <v>3043</v>
      </c>
      <c r="B434" s="2" t="s">
        <v>3044</v>
      </c>
      <c r="C434" s="2" t="s">
        <v>3045</v>
      </c>
      <c r="D434" s="2" t="s">
        <v>3046</v>
      </c>
      <c r="E434" s="2" t="str">
        <f>HYPERLINK("http://twitter.com/DaminEsper")</f>
        <v>http://twitter.com/DaminEsper</v>
      </c>
      <c r="F434" s="2" t="str">
        <f>HYPERLINK("https://muckrack.com/damin-esper")</f>
        <v>https://muckrack.com/damin-esper</v>
      </c>
      <c r="G434" s="2">
        <v>826</v>
      </c>
      <c r="H434" s="2"/>
      <c r="I434" s="2" t="s">
        <v>3047</v>
      </c>
      <c r="J434" s="2" t="s">
        <v>3048</v>
      </c>
      <c r="K434" s="2" t="s">
        <v>3049</v>
      </c>
      <c r="L434" s="2" t="s">
        <v>3050</v>
      </c>
      <c r="M434" s="5">
        <v>45450.779594907413</v>
      </c>
      <c r="N434" s="2" t="str">
        <f>HYPERLINK("http://twitter.com/DaminEsper/status/1799210381254205790")</f>
        <v>http://twitter.com/DaminEsper/status/1799210381254205790</v>
      </c>
      <c r="O434" s="2" t="str">
        <f>HYPERLINK("https://www.fieldofschemes.com/2024/06/07/21530/friday-roundup-voters-hate-stadium-subsidies-business-leaders-love-em-the-truth-must-lie-somewhere-in-the-middle/")</f>
        <v>https://www.fieldofschemes.com/2024/06/07/21530/friday-roundup-voters-hate-stadium-subsidies-business-leaders-love-em-the-truth-must-lie-somewhere-in-the-middle/</v>
      </c>
    </row>
    <row r="435" spans="1:15" ht="39.6" x14ac:dyDescent="0.3">
      <c r="A435" s="2" t="s">
        <v>1430</v>
      </c>
      <c r="B435" s="2" t="s">
        <v>3051</v>
      </c>
      <c r="C435" s="2" t="s">
        <v>3052</v>
      </c>
      <c r="D435" s="2" t="s">
        <v>3053</v>
      </c>
      <c r="E435" s="2" t="str">
        <f>HYPERLINK("http://twitter.com/johnherrick10")</f>
        <v>http://twitter.com/johnherrick10</v>
      </c>
      <c r="F435" s="2" t="str">
        <f>HYPERLINK("https://muckrack.com/john-herrick-7")</f>
        <v>https://muckrack.com/john-herrick-7</v>
      </c>
      <c r="G435" s="2">
        <v>2086</v>
      </c>
      <c r="H435" s="2" t="s">
        <v>3054</v>
      </c>
      <c r="I435" s="2" t="s">
        <v>3055</v>
      </c>
      <c r="J435" s="2" t="s">
        <v>1954</v>
      </c>
      <c r="K435" s="2" t="s">
        <v>322</v>
      </c>
      <c r="L435" s="2" t="s">
        <v>3056</v>
      </c>
      <c r="M435" s="5">
        <v>45451.435104166667</v>
      </c>
      <c r="N435" s="2" t="str">
        <f>HYPERLINK("http://twitter.com/johnherrick10/status/1799447929796673694")</f>
        <v>http://twitter.com/johnherrick10/status/1799447929796673694</v>
      </c>
      <c r="O435" s="2" t="str">
        <f>HYPERLINK("https://omny.fm/shows/indiana-sports-talk-podcast/9-30-10-00pm-greg-rakestraw-6-7-24")</f>
        <v>https://omny.fm/shows/indiana-sports-talk-podcast/9-30-10-00pm-greg-rakestraw-6-7-24</v>
      </c>
    </row>
    <row r="436" spans="1:15" ht="52.8" x14ac:dyDescent="0.3">
      <c r="A436" s="2" t="s">
        <v>3057</v>
      </c>
      <c r="B436" s="2" t="s">
        <v>3058</v>
      </c>
      <c r="C436" s="2" t="s">
        <v>3059</v>
      </c>
      <c r="D436" s="2" t="s">
        <v>3060</v>
      </c>
      <c r="E436" s="2" t="str">
        <f>HYPERLINK("http://twitter.com/ThompsonFoto12")</f>
        <v>http://twitter.com/ThompsonFoto12</v>
      </c>
      <c r="F436" s="2" t="str">
        <f>HYPERLINK("https://muckrack.com/ed-thompson")</f>
        <v>https://muckrack.com/ed-thompson</v>
      </c>
      <c r="G436" s="2">
        <v>9230</v>
      </c>
      <c r="H436" s="2" t="s">
        <v>2187</v>
      </c>
      <c r="I436" s="2" t="s">
        <v>3061</v>
      </c>
      <c r="J436" s="2" t="s">
        <v>3062</v>
      </c>
      <c r="K436" s="2" t="s">
        <v>3063</v>
      </c>
      <c r="L436" s="2" t="s">
        <v>3064</v>
      </c>
      <c r="M436" s="5">
        <v>45450.128657407397</v>
      </c>
      <c r="N436" s="2" t="str">
        <f>HYPERLINK("http://twitter.com/ThompsonFoto12/status/1798974490388365747")</f>
        <v>http://twitter.com/ThompsonFoto12/status/1798974490388365747</v>
      </c>
      <c r="O436" s="2" t="str">
        <f>HYPERLINK("https://pittsburghsoccernow.com/2024/06/06/riverhounds-notebook-flumping-hounds-sit-in-very-unfamiliar-spot-below-playoff-line/")</f>
        <v>https://pittsburghsoccernow.com/2024/06/06/riverhounds-notebook-flumping-hounds-sit-in-very-unfamiliar-spot-below-playoff-line/</v>
      </c>
    </row>
    <row r="437" spans="1:15" ht="39.6" x14ac:dyDescent="0.3">
      <c r="A437" s="2" t="s">
        <v>608</v>
      </c>
      <c r="B437" s="2" t="s">
        <v>2892</v>
      </c>
      <c r="C437" s="2" t="s">
        <v>2893</v>
      </c>
      <c r="D437" s="2" t="s">
        <v>2894</v>
      </c>
      <c r="E437" s="2" t="str">
        <f>HYPERLINK("http://twitter.com/JillASheridan")</f>
        <v>http://twitter.com/JillASheridan</v>
      </c>
      <c r="F437" s="2" t="str">
        <f>HYPERLINK("https://muckrack.com/jill-sheridan")</f>
        <v>https://muckrack.com/jill-sheridan</v>
      </c>
      <c r="G437" s="2">
        <v>1289</v>
      </c>
      <c r="H437" s="2" t="s">
        <v>2132</v>
      </c>
      <c r="I437" s="2" t="s">
        <v>2895</v>
      </c>
      <c r="J437" s="2" t="s">
        <v>2008</v>
      </c>
      <c r="K437" s="2" t="s">
        <v>609</v>
      </c>
      <c r="L437" s="2" t="s">
        <v>3065</v>
      </c>
      <c r="M437" s="5">
        <v>45450.856099537043</v>
      </c>
      <c r="N437" s="2" t="str">
        <f>HYPERLINK("http://twitter.com/JillASheridan/status/1799238105641476331")</f>
        <v>http://twitter.com/JillASheridan/status/1799238105641476331</v>
      </c>
      <c r="O437" s="2" t="str">
        <f>HYPERLINK("https://www.wfyi.org/news/articles/city-seeks-input-for-greenlawn-cemetery-research")</f>
        <v>https://www.wfyi.org/news/articles/city-seeks-input-for-greenlawn-cemetery-research</v>
      </c>
    </row>
    <row r="438" spans="1:15" ht="52.8" x14ac:dyDescent="0.3">
      <c r="A438" s="2" t="s">
        <v>3066</v>
      </c>
      <c r="B438" s="2" t="s">
        <v>2570</v>
      </c>
      <c r="C438" s="2" t="s">
        <v>3067</v>
      </c>
      <c r="D438" s="2" t="s">
        <v>3068</v>
      </c>
      <c r="E438" s="2" t="str">
        <f>HYPERLINK("http://twitter.com/johnvarlas")</f>
        <v>http://twitter.com/johnvarlas</v>
      </c>
      <c r="F438" s="2" t="str">
        <f>HYPERLINK("https://muckrack.com/johnvarlas")</f>
        <v>https://muckrack.com/johnvarlas</v>
      </c>
      <c r="G438" s="2">
        <v>31395</v>
      </c>
      <c r="H438" s="2" t="s">
        <v>3069</v>
      </c>
      <c r="I438" s="2" t="s">
        <v>3070</v>
      </c>
      <c r="J438" s="2" t="s">
        <v>2000</v>
      </c>
      <c r="K438" s="2" t="s">
        <v>3071</v>
      </c>
      <c r="L438" s="2" t="s">
        <v>3072</v>
      </c>
      <c r="M438" s="5">
        <v>45449.629687499997</v>
      </c>
      <c r="N438" s="2" t="str">
        <f>HYPERLINK("http://twitter.com/johnvarlas/status/1798793669623115937")</f>
        <v>http://twitter.com/johnvarlas/status/1798793669623115937</v>
      </c>
      <c r="O438" s="2" t="str">
        <f>HYPERLINK("https://shorturl.at/n8FCz")</f>
        <v>https://shorturl.at/n8FCz</v>
      </c>
    </row>
    <row r="439" spans="1:15" ht="66" x14ac:dyDescent="0.3">
      <c r="A439" s="2" t="s">
        <v>1102</v>
      </c>
      <c r="B439" s="2" t="s">
        <v>2311</v>
      </c>
      <c r="C439" s="2" t="s">
        <v>3073</v>
      </c>
      <c r="D439" s="2" t="s">
        <v>3074</v>
      </c>
      <c r="E439" s="2" t="str">
        <f>HYPERLINK("http://twitter.com/KBarnes_PG")</f>
        <v>http://twitter.com/KBarnes_PG</v>
      </c>
      <c r="F439" s="2" t="str">
        <f>HYPERLINK("https://muckrack.com/keith-barnes")</f>
        <v>https://muckrack.com/keith-barnes</v>
      </c>
      <c r="G439" s="2">
        <v>1453</v>
      </c>
      <c r="H439" s="2" t="s">
        <v>2187</v>
      </c>
      <c r="I439" s="2" t="s">
        <v>3075</v>
      </c>
      <c r="J439" s="2" t="s">
        <v>3076</v>
      </c>
      <c r="K439" s="2" t="s">
        <v>2034</v>
      </c>
      <c r="L439" s="2" t="s">
        <v>3077</v>
      </c>
      <c r="M439" s="5">
        <v>45448.700439814813</v>
      </c>
      <c r="N439" s="2" t="str">
        <f>HYPERLINK("http://twitter.com/KBarnes_PG/status/1798456922427027810")</f>
        <v>http://twitter.com/KBarnes_PG/status/1798456922427027810</v>
      </c>
      <c r="O439" s="2" t="str">
        <f>HYPERLINK("https://www.post-gazette.com/sports/riverhounds/2024/06/05/wpial-high-school-soccer-usl-championship-pablo-linzoain/stories/202406040091")</f>
        <v>https://www.post-gazette.com/sports/riverhounds/2024/06/05/wpial-high-school-soccer-usl-championship-pablo-linzoain/stories/202406040091</v>
      </c>
    </row>
    <row r="440" spans="1:15" ht="52.8" x14ac:dyDescent="0.3">
      <c r="A440" s="2" t="s">
        <v>713</v>
      </c>
      <c r="B440" s="2" t="s">
        <v>3012</v>
      </c>
      <c r="C440" s="2" t="s">
        <v>3013</v>
      </c>
      <c r="D440" s="2" t="s">
        <v>3014</v>
      </c>
      <c r="E440" s="2" t="str">
        <f>HYPERLINK("http://twitter.com/KurtDarling_PBP")</f>
        <v>http://twitter.com/KurtDarling_PBP</v>
      </c>
      <c r="F440" s="2" t="str">
        <f>HYPERLINK("https://muckrack.com/kurt-darling")</f>
        <v>https://muckrack.com/kurt-darling</v>
      </c>
      <c r="G440" s="2">
        <v>1451</v>
      </c>
      <c r="H440" s="2" t="s">
        <v>3015</v>
      </c>
      <c r="I440" s="2" t="s">
        <v>3016</v>
      </c>
      <c r="J440" s="2" t="s">
        <v>1954</v>
      </c>
      <c r="K440" s="2" t="s">
        <v>322</v>
      </c>
      <c r="L440" s="2" t="s">
        <v>3078</v>
      </c>
      <c r="M440" s="5">
        <v>45448.45553240741</v>
      </c>
      <c r="N440" s="2" t="str">
        <f>HYPERLINK("http://twitter.com/KurtDarling_PBP/status/1798368169096273939")</f>
        <v>http://twitter.com/KurtDarling_PBP/status/1798368169096273939</v>
      </c>
      <c r="O440" s="2" t="str">
        <f>HYPERLINK("https://wibc.com/359940/rokita-indys-mls-stadium-district-may-violate-spirit-of-state-law/")</f>
        <v>https://wibc.com/359940/rokita-indys-mls-stadium-district-may-violate-spirit-of-state-law/</v>
      </c>
    </row>
    <row r="441" spans="1:15" ht="66" x14ac:dyDescent="0.3">
      <c r="A441" s="2" t="s">
        <v>2119</v>
      </c>
      <c r="B441" s="2" t="s">
        <v>2120</v>
      </c>
      <c r="C441" s="2" t="s">
        <v>2121</v>
      </c>
      <c r="D441" s="2" t="s">
        <v>2122</v>
      </c>
      <c r="E441" s="2" t="str">
        <f>HYPERLINK("http://twitter.com/starwatchtim")</f>
        <v>http://twitter.com/starwatchtim</v>
      </c>
      <c r="F441" s="2" t="str">
        <f>HYPERLINK("https://muckrack.com/starwatchtim")</f>
        <v>https://muckrack.com/starwatchtim</v>
      </c>
      <c r="G441" s="2">
        <v>7285</v>
      </c>
      <c r="H441" s="2" t="s">
        <v>2123</v>
      </c>
      <c r="I441" s="2" t="s">
        <v>2124</v>
      </c>
      <c r="J441" s="2" t="s">
        <v>2125</v>
      </c>
      <c r="K441" s="2" t="s">
        <v>321</v>
      </c>
      <c r="L441" s="2" t="s">
        <v>3079</v>
      </c>
      <c r="M441" s="5">
        <v>45448.305405092593</v>
      </c>
      <c r="N441" s="2" t="str">
        <f>HYPERLINK("http://twitter.com/starwatchtim/status/1798313767526437336")</f>
        <v>http://twitter.com/starwatchtim/status/1798313767526437336</v>
      </c>
      <c r="O441" s="2" t="str">
        <f>HYPERLINK("https://www.indystar.com/story/opinion/columnists/james-briggs/2024/06/05/indy-eleven-won-indiana-soccer-messaging-war-but-mls-is-more-popular/73970245007/")</f>
        <v>https://www.indystar.com/story/opinion/columnists/james-briggs/2024/06/05/indy-eleven-won-indiana-soccer-messaging-war-but-mls-is-more-popular/73970245007/</v>
      </c>
    </row>
    <row r="442" spans="1:15" ht="52.8" x14ac:dyDescent="0.3">
      <c r="A442" s="2" t="s">
        <v>993</v>
      </c>
      <c r="B442" s="2" t="s">
        <v>2289</v>
      </c>
      <c r="C442" s="2" t="s">
        <v>2981</v>
      </c>
      <c r="D442" s="2" t="s">
        <v>2982</v>
      </c>
      <c r="E442" s="2" t="str">
        <f>HYPERLINK("http://twitter.com/StephenWhit89")</f>
        <v>http://twitter.com/StephenWhit89</v>
      </c>
      <c r="F442" s="2" t="str">
        <f>HYPERLINK("https://muckrack.com/stephen-whitaker")</f>
        <v>https://muckrack.com/stephen-whitaker</v>
      </c>
      <c r="G442" s="2">
        <v>1127</v>
      </c>
      <c r="H442" s="2" t="s">
        <v>2983</v>
      </c>
      <c r="I442" s="2" t="s">
        <v>2984</v>
      </c>
      <c r="J442" s="2" t="s">
        <v>2033</v>
      </c>
      <c r="K442" s="2" t="s">
        <v>2985</v>
      </c>
      <c r="L442" s="2" t="s">
        <v>3080</v>
      </c>
      <c r="M442" s="5">
        <v>45447.728298611109</v>
      </c>
      <c r="N442" s="2" t="str">
        <f>HYPERLINK("http://twitter.com/StephenWhit89/status/1798104628917117424")</f>
        <v>http://twitter.com/StephenWhit89/status/1798104628917117424</v>
      </c>
      <c r="O442" s="2" t="str">
        <f>HYPERLINK("https://www.expressnews.com/sports/article/safc-hosts-el-paso-locomotive-nationally-19494974.php")</f>
        <v>https://www.expressnews.com/sports/article/safc-hosts-el-paso-locomotive-nationally-19494974.php</v>
      </c>
    </row>
    <row r="443" spans="1:15" ht="39.6" x14ac:dyDescent="0.3">
      <c r="A443" s="2" t="s">
        <v>1569</v>
      </c>
      <c r="B443" s="2" t="s">
        <v>3019</v>
      </c>
      <c r="C443" s="2" t="s">
        <v>3020</v>
      </c>
      <c r="D443" s="2" t="s">
        <v>3021</v>
      </c>
      <c r="E443" s="2" t="str">
        <f>HYPERLINK("http://twitter.com/peterlblanchard")</f>
        <v>http://twitter.com/peterlblanchard</v>
      </c>
      <c r="F443" s="2" t="str">
        <f>HYPERLINK("https://muckrack.com/peterblanchard")</f>
        <v>https://muckrack.com/peterblanchard</v>
      </c>
      <c r="G443" s="2">
        <v>1926</v>
      </c>
      <c r="H443" s="2" t="s">
        <v>1972</v>
      </c>
      <c r="I443" s="2" t="s">
        <v>3022</v>
      </c>
      <c r="J443" s="2" t="s">
        <v>3023</v>
      </c>
      <c r="K443" s="2" t="s">
        <v>132</v>
      </c>
      <c r="L443" s="2" t="s">
        <v>3081</v>
      </c>
      <c r="M443" s="5">
        <v>45447.504027777781</v>
      </c>
      <c r="N443" s="2" t="str">
        <f>HYPERLINK("http://twitter.com/peterlblanchard/status/1798023354928242945")</f>
        <v>http://twitter.com/peterlblanchard/status/1798023354928242945</v>
      </c>
      <c r="O443" s="2" t="str">
        <f>HYPERLINK("https://mirrorindy.org/indianapolis-major-league-soccer-stadium-joe-hogsett-plan-indy-eleven-park/")</f>
        <v>https://mirrorindy.org/indianapolis-major-league-soccer-stadium-joe-hogsett-plan-indy-eleven-park/</v>
      </c>
    </row>
    <row r="444" spans="1:15" ht="39.6" x14ac:dyDescent="0.3">
      <c r="A444" s="2" t="s">
        <v>107</v>
      </c>
      <c r="B444" s="2" t="s">
        <v>1969</v>
      </c>
      <c r="C444" s="2" t="s">
        <v>1970</v>
      </c>
      <c r="D444" s="2" t="s">
        <v>1971</v>
      </c>
      <c r="E444" s="2" t="str">
        <f>HYPERLINK("http://twitter.com/indyemapolis")</f>
        <v>http://twitter.com/indyemapolis</v>
      </c>
      <c r="F444" s="2" t="str">
        <f>HYPERLINK("https://muckrack.com/emily-hopkins-2")</f>
        <v>https://muckrack.com/emily-hopkins-2</v>
      </c>
      <c r="G444" s="2">
        <v>3414</v>
      </c>
      <c r="H444" s="2" t="s">
        <v>1972</v>
      </c>
      <c r="I444" s="2" t="s">
        <v>1973</v>
      </c>
      <c r="J444" s="2" t="s">
        <v>1954</v>
      </c>
      <c r="K444" s="2" t="s">
        <v>1974</v>
      </c>
      <c r="L444" s="2" t="s">
        <v>3081</v>
      </c>
      <c r="M444" s="5">
        <v>45447.543263888889</v>
      </c>
      <c r="N444" s="2" t="str">
        <f>HYPERLINK("http://twitter.com/indyemapolis/status/1798037577146200551")</f>
        <v>http://twitter.com/indyemapolis/status/1798037577146200551</v>
      </c>
      <c r="O444" s="2" t="str">
        <f>HYPERLINK("https://mirrorindy.org/indianapolis-major-league-soccer-stadium-joe-hogsett-plan-indy-eleven-park/")</f>
        <v>https://mirrorindy.org/indianapolis-major-league-soccer-stadium-joe-hogsett-plan-indy-eleven-park/</v>
      </c>
    </row>
    <row r="445" spans="1:15" ht="66" x14ac:dyDescent="0.3">
      <c r="A445" s="2" t="s">
        <v>2119</v>
      </c>
      <c r="B445" s="2" t="s">
        <v>2120</v>
      </c>
      <c r="C445" s="2" t="s">
        <v>2121</v>
      </c>
      <c r="D445" s="2" t="s">
        <v>2122</v>
      </c>
      <c r="E445" s="2" t="str">
        <f>HYPERLINK("http://twitter.com/starwatchtim")</f>
        <v>http://twitter.com/starwatchtim</v>
      </c>
      <c r="F445" s="2" t="str">
        <f>HYPERLINK("https://muckrack.com/starwatchtim")</f>
        <v>https://muckrack.com/starwatchtim</v>
      </c>
      <c r="G445" s="2">
        <v>7285</v>
      </c>
      <c r="H445" s="2" t="s">
        <v>2123</v>
      </c>
      <c r="I445" s="2" t="s">
        <v>2124</v>
      </c>
      <c r="J445" s="2" t="s">
        <v>2125</v>
      </c>
      <c r="K445" s="2" t="s">
        <v>321</v>
      </c>
      <c r="L445" s="2" t="s">
        <v>3082</v>
      </c>
      <c r="M445" s="5">
        <v>45447.352037037039</v>
      </c>
      <c r="N445" s="2" t="str">
        <f>HYPERLINK("http://twitter.com/starwatchtim/status/1797968277781844439")</f>
        <v>http://twitter.com/starwatchtim/status/1797968277781844439</v>
      </c>
      <c r="O445" s="2" t="str">
        <f>HYPERLINK("https://www.indystar.com/story/opinion/columnists/james-briggs/2024/06/04/mayor-joe-hogsett-gets-his-mls-stadium-plan-passed-by-indy-council/73967970007/")</f>
        <v>https://www.indystar.com/story/opinion/columnists/james-briggs/2024/06/04/mayor-joe-hogsett-gets-his-mls-stadium-plan-passed-by-indy-council/73967970007/</v>
      </c>
    </row>
    <row r="446" spans="1:15" ht="66" x14ac:dyDescent="0.3">
      <c r="A446" s="2" t="s">
        <v>2390</v>
      </c>
      <c r="B446" s="2" t="s">
        <v>2036</v>
      </c>
      <c r="C446" s="2" t="s">
        <v>2391</v>
      </c>
      <c r="D446" s="2" t="s">
        <v>2392</v>
      </c>
      <c r="E446" s="2" t="str">
        <f>HYPERLINK("http://twitter.com/GreggDoyelStar")</f>
        <v>http://twitter.com/GreggDoyelStar</v>
      </c>
      <c r="F446" s="2" t="str">
        <f>HYPERLINK("https://muckrack.com/greggdoyelstar")</f>
        <v>https://muckrack.com/greggdoyelstar</v>
      </c>
      <c r="G446" s="2">
        <v>92219</v>
      </c>
      <c r="H446" s="2" t="s">
        <v>1972</v>
      </c>
      <c r="I446" s="2" t="s">
        <v>2393</v>
      </c>
      <c r="J446" s="2" t="s">
        <v>2000</v>
      </c>
      <c r="K446" s="2" t="s">
        <v>321</v>
      </c>
      <c r="L446" s="2" t="s">
        <v>3083</v>
      </c>
      <c r="M446" s="5">
        <v>45447.918611111112</v>
      </c>
      <c r="N446" s="2" t="str">
        <f>HYPERLINK("http://twitter.com/GreggDoyelStar/status/1798173597279588800")</f>
        <v>http://twitter.com/GreggDoyelStar/status/1798173597279588800</v>
      </c>
      <c r="O446" s="2" t="str">
        <f>HYPERLINK("https://www.indystar.com/story/opinion/columnists/james-briggs/2024/06/04/mayor-joe-hogsett-gets-his-mls-stadium-plan-passed-by-indy-council/73967970007/")</f>
        <v>https://www.indystar.com/story/opinion/columnists/james-briggs/2024/06/04/mayor-joe-hogsett-gets-his-mls-stadium-plan-passed-by-indy-council/73967970007/</v>
      </c>
    </row>
    <row r="447" spans="1:15" ht="66" x14ac:dyDescent="0.3">
      <c r="A447" s="2" t="s">
        <v>2436</v>
      </c>
      <c r="B447" s="2" t="s">
        <v>2437</v>
      </c>
      <c r="C447" s="2" t="s">
        <v>2438</v>
      </c>
      <c r="D447" s="2" t="s">
        <v>2439</v>
      </c>
      <c r="E447" s="2" t="str">
        <f>HYPERLINK("http://twitter.com/MattGlenesk")</f>
        <v>http://twitter.com/MattGlenesk</v>
      </c>
      <c r="F447" s="2" t="str">
        <f>HYPERLINK("https://muckrack.com/matthew-glenesk")</f>
        <v>https://muckrack.com/matthew-glenesk</v>
      </c>
      <c r="G447" s="2">
        <v>8773</v>
      </c>
      <c r="H447" s="2" t="s">
        <v>2440</v>
      </c>
      <c r="I447" s="2" t="s">
        <v>2441</v>
      </c>
      <c r="J447" s="2" t="s">
        <v>2000</v>
      </c>
      <c r="K447" s="2" t="s">
        <v>321</v>
      </c>
      <c r="L447" s="2" t="s">
        <v>3083</v>
      </c>
      <c r="M447" s="5">
        <v>45447.924259259264</v>
      </c>
      <c r="N447" s="2" t="str">
        <f>HYPERLINK("http://twitter.com/MattGlenesk/status/1798175643634659593")</f>
        <v>http://twitter.com/MattGlenesk/status/1798175643634659593</v>
      </c>
      <c r="O447" s="2" t="str">
        <f>HYPERLINK("https://www.indystar.com/story/opinion/columnists/james-briggs/2024/06/04/mayor-joe-hogsett-gets-his-mls-stadium-plan-passed-by-indy-council/73967970007/")</f>
        <v>https://www.indystar.com/story/opinion/columnists/james-briggs/2024/06/04/mayor-joe-hogsett-gets-his-mls-stadium-plan-passed-by-indy-council/73967970007/</v>
      </c>
    </row>
    <row r="448" spans="1:15" ht="52.8" x14ac:dyDescent="0.3">
      <c r="A448" s="2" t="s">
        <v>2119</v>
      </c>
      <c r="B448" s="2" t="s">
        <v>2120</v>
      </c>
      <c r="C448" s="2" t="s">
        <v>2121</v>
      </c>
      <c r="D448" s="2" t="s">
        <v>2122</v>
      </c>
      <c r="E448" s="2" t="str">
        <f>HYPERLINK("http://twitter.com/starwatchtim")</f>
        <v>http://twitter.com/starwatchtim</v>
      </c>
      <c r="F448" s="2" t="str">
        <f>HYPERLINK("https://muckrack.com/starwatchtim")</f>
        <v>https://muckrack.com/starwatchtim</v>
      </c>
      <c r="G448" s="2">
        <v>7285</v>
      </c>
      <c r="H448" s="2" t="s">
        <v>2123</v>
      </c>
      <c r="I448" s="2" t="s">
        <v>2124</v>
      </c>
      <c r="J448" s="2" t="s">
        <v>2125</v>
      </c>
      <c r="K448" s="2" t="s">
        <v>321</v>
      </c>
      <c r="L448" s="2" t="s">
        <v>3084</v>
      </c>
      <c r="M448" s="5">
        <v>45447.346296296288</v>
      </c>
      <c r="N448" s="2" t="str">
        <f>HYPERLINK("http://twitter.com/starwatchtim/status/1797966198547853485")</f>
        <v>http://twitter.com/starwatchtim/status/1797966198547853485</v>
      </c>
      <c r="O448" s="2" t="str">
        <f>HYPERLINK("https://www.indystar.com/story/news/local/2024/06/04/lawmaker-soccer-stadium-funding-bill-not-tied-specific-group-or-site/73924156007/")</f>
        <v>https://www.indystar.com/story/news/local/2024/06/04/lawmaker-soccer-stadium-funding-bill-not-tied-specific-group-or-site/73924156007/</v>
      </c>
    </row>
    <row r="449" spans="1:15" ht="52.8" x14ac:dyDescent="0.3">
      <c r="A449" s="2" t="s">
        <v>1023</v>
      </c>
      <c r="B449" s="2" t="s">
        <v>2544</v>
      </c>
      <c r="C449" s="2" t="s">
        <v>2545</v>
      </c>
      <c r="D449" s="2" t="s">
        <v>2546</v>
      </c>
      <c r="E449" s="2" t="str">
        <f>HYPERLINK("http://twitter.com/AllyBurris")</f>
        <v>http://twitter.com/AllyBurris</v>
      </c>
      <c r="F449" s="2" t="str">
        <f>HYPERLINK("https://muckrack.com/allyburris")</f>
        <v>https://muckrack.com/allyburris</v>
      </c>
      <c r="G449" s="2">
        <v>1524</v>
      </c>
      <c r="H449" s="2" t="s">
        <v>1972</v>
      </c>
      <c r="I449" s="2" t="s">
        <v>2547</v>
      </c>
      <c r="J449" s="2" t="s">
        <v>2141</v>
      </c>
      <c r="K449" s="2" t="s">
        <v>321</v>
      </c>
      <c r="L449" s="2" t="s">
        <v>3085</v>
      </c>
      <c r="M449" s="5">
        <v>45447.451608796298</v>
      </c>
      <c r="N449" s="2" t="str">
        <f>HYPERLINK("http://twitter.com/AllyBurris/status/1798004360133394550")</f>
        <v>http://twitter.com/AllyBurris/status/1798004360133394550</v>
      </c>
      <c r="O449" s="2" t="str">
        <f>HYPERLINK("https://www.indystar.com/story/news/local/2024/06/04/lawmaker-soccer-stadium-funding-bill-not-tied-specific-group-or-site/73924156007/")</f>
        <v>https://www.indystar.com/story/news/local/2024/06/04/lawmaker-soccer-stadium-funding-bill-not-tied-specific-group-or-site/73924156007/</v>
      </c>
    </row>
    <row r="450" spans="1:15" ht="52.8" x14ac:dyDescent="0.3">
      <c r="A450" s="2" t="s">
        <v>3086</v>
      </c>
      <c r="B450" s="2" t="s">
        <v>3087</v>
      </c>
      <c r="C450" s="2" t="s">
        <v>3088</v>
      </c>
      <c r="D450" s="2" t="s">
        <v>3089</v>
      </c>
      <c r="E450" s="2" t="str">
        <f>HYPERLINK("http://twitter.com/RobMKendall")</f>
        <v>http://twitter.com/RobMKendall</v>
      </c>
      <c r="F450" s="2" t="str">
        <f>HYPERLINK("https://muckrack.com/rob-kendall")</f>
        <v>https://muckrack.com/rob-kendall</v>
      </c>
      <c r="G450" s="2">
        <v>18697</v>
      </c>
      <c r="H450" s="2" t="s">
        <v>1972</v>
      </c>
      <c r="I450" s="2" t="s">
        <v>3090</v>
      </c>
      <c r="J450" s="2" t="s">
        <v>1929</v>
      </c>
      <c r="K450" s="2" t="s">
        <v>322</v>
      </c>
      <c r="L450" s="2" t="s">
        <v>3091</v>
      </c>
      <c r="M450" s="5">
        <v>45447.628750000003</v>
      </c>
      <c r="N450" s="2" t="str">
        <f>HYPERLINK("http://twitter.com/RobMKendall/status/1798068556053299258")</f>
        <v>http://twitter.com/RobMKendall/status/1798068556053299258</v>
      </c>
      <c r="O450" s="2" t="str">
        <f>HYPERLINK("https://www.indystar.com/story/news/local/2024/06/04/lawmaker-soccer-stadium-funding-bill-not-tied-specific-group-or-site/73924156007/")</f>
        <v>https://www.indystar.com/story/news/local/2024/06/04/lawmaker-soccer-stadium-funding-bill-not-tied-specific-group-or-site/73924156007/</v>
      </c>
    </row>
    <row r="451" spans="1:15" ht="79.2" x14ac:dyDescent="0.3">
      <c r="A451" s="2" t="s">
        <v>3092</v>
      </c>
      <c r="B451" s="2" t="s">
        <v>1910</v>
      </c>
      <c r="C451" s="2" t="s">
        <v>3093</v>
      </c>
      <c r="D451" s="2" t="s">
        <v>3094</v>
      </c>
      <c r="E451" s="2" t="str">
        <f>HYPERLINK("http://twitter.com/RichNye13")</f>
        <v>http://twitter.com/RichNye13</v>
      </c>
      <c r="F451" s="2" t="str">
        <f>HYPERLINK("https://muckrack.com/rich-nye")</f>
        <v>https://muckrack.com/rich-nye</v>
      </c>
      <c r="G451" s="2">
        <v>15206</v>
      </c>
      <c r="H451" s="2" t="s">
        <v>2123</v>
      </c>
      <c r="I451" s="2" t="s">
        <v>3095</v>
      </c>
      <c r="J451" s="2" t="s">
        <v>2033</v>
      </c>
      <c r="K451" s="2" t="s">
        <v>130</v>
      </c>
      <c r="L451" s="2" t="s">
        <v>3096</v>
      </c>
      <c r="M451" s="5">
        <v>45447.024317129632</v>
      </c>
      <c r="N451" s="2" t="str">
        <f>HYPERLINK("http://twitter.com/RichNye13/status/1797849513253904869")</f>
        <v>http://twitter.com/RichNye13/status/1797849513253904869</v>
      </c>
      <c r="O451" s="2" t="str">
        <f>HYPERLINK("https://www.wthr.com/article/news/local/city-county-council-approves-mayor-joe-hogsett-mls-stadium-plan-instead-of-indy-eleven-park-indianapolis-indiana/531-6f84b328-4553-4270-a382-e737405632b8")</f>
        <v>https://www.wthr.com/article/news/local/city-county-council-approves-mayor-joe-hogsett-mls-stadium-plan-instead-of-indy-eleven-park-indianapolis-indiana/531-6f84b328-4553-4270-a382-e737405632b8</v>
      </c>
    </row>
    <row r="452" spans="1:15" ht="79.2" x14ac:dyDescent="0.3">
      <c r="A452" s="2" t="s">
        <v>3097</v>
      </c>
      <c r="B452" s="2" t="s">
        <v>2544</v>
      </c>
      <c r="C452" s="2" t="s">
        <v>3098</v>
      </c>
      <c r="D452" s="2" t="s">
        <v>3099</v>
      </c>
      <c r="E452" s="2" t="str">
        <f>HYPERLINK("http://twitter.com/CierraReporter")</f>
        <v>http://twitter.com/CierraReporter</v>
      </c>
      <c r="F452" s="2" t="str">
        <f>HYPERLINK("https://muckrack.com/cierrareporter")</f>
        <v>https://muckrack.com/cierrareporter</v>
      </c>
      <c r="G452" s="2">
        <v>2211</v>
      </c>
      <c r="H452" s="2" t="s">
        <v>1972</v>
      </c>
      <c r="I452" s="2" t="s">
        <v>3100</v>
      </c>
      <c r="J452" s="2" t="s">
        <v>3101</v>
      </c>
      <c r="K452" s="2" t="s">
        <v>130</v>
      </c>
      <c r="L452" s="2" t="s">
        <v>3096</v>
      </c>
      <c r="M452" s="5">
        <v>45447.36991898148</v>
      </c>
      <c r="N452" s="2" t="str">
        <f>HYPERLINK("http://twitter.com/CierraReporter/status/1797974757654311163")</f>
        <v>http://twitter.com/CierraReporter/status/1797974757654311163</v>
      </c>
      <c r="O452" s="2" t="str">
        <f>HYPERLINK("https://www.wthr.com/article/news/local/city-county-council-approves-mayor-joe-hogsett-mls-stadium-plan-instead-of-indy-eleven-park-indianapolis-indiana/531-6f84b328-4553-4270-a382-e737405632b8")</f>
        <v>https://www.wthr.com/article/news/local/city-county-council-approves-mayor-joe-hogsett-mls-stadium-plan-instead-of-indy-eleven-park-indianapolis-indiana/531-6f84b328-4553-4270-a382-e737405632b8</v>
      </c>
    </row>
    <row r="453" spans="1:15" ht="52.8" x14ac:dyDescent="0.3">
      <c r="A453" s="2" t="s">
        <v>1089</v>
      </c>
      <c r="B453" s="2" t="s">
        <v>2061</v>
      </c>
      <c r="C453" s="2" t="s">
        <v>3102</v>
      </c>
      <c r="D453" s="2" t="s">
        <v>3103</v>
      </c>
      <c r="E453" s="2" t="str">
        <f>HYPERLINK("http://twitter.com/DZulkosky")</f>
        <v>http://twitter.com/DZulkosky</v>
      </c>
      <c r="F453" s="2" t="str">
        <f>HYPERLINK("https://muckrack.com/danielle-zulkosky")</f>
        <v>https://muckrack.com/danielle-zulkosky</v>
      </c>
      <c r="G453" s="2">
        <v>1461</v>
      </c>
      <c r="H453" s="2" t="s">
        <v>1972</v>
      </c>
      <c r="I453" s="2" t="s">
        <v>3104</v>
      </c>
      <c r="J453" s="2" t="s">
        <v>2361</v>
      </c>
      <c r="K453" s="2" t="s">
        <v>2283</v>
      </c>
      <c r="L453" s="2" t="s">
        <v>3105</v>
      </c>
      <c r="M453" s="5">
        <v>45446.985995370371</v>
      </c>
      <c r="N453" s="2" t="str">
        <f>HYPERLINK("http://twitter.com/DZulkosky/status/1797835627356127677")</f>
        <v>http://twitter.com/DZulkosky/status/1797835627356127677</v>
      </c>
      <c r="O453" s="2" t="str">
        <f>HYPERLINK("https://www.wishtv.com/news/politics/city-county-council-advances-tax-district-for-mls-stadium-more-steps-ahead/")</f>
        <v>https://www.wishtv.com/news/politics/city-county-council-advances-tax-district-for-mls-stadium-more-steps-ahead/</v>
      </c>
    </row>
    <row r="454" spans="1:15" ht="52.8" x14ac:dyDescent="0.3">
      <c r="A454" s="2" t="s">
        <v>3106</v>
      </c>
      <c r="B454" s="2" t="s">
        <v>3107</v>
      </c>
      <c r="C454" s="2" t="s">
        <v>3108</v>
      </c>
      <c r="D454" s="2" t="s">
        <v>3109</v>
      </c>
      <c r="E454" s="2" t="str">
        <f>HYPERLINK("http://twitter.com/SydneySimone1")</f>
        <v>http://twitter.com/SydneySimone1</v>
      </c>
      <c r="F454" s="2" t="str">
        <f>HYPERLINK("https://muckrack.com/sydneysimone1")</f>
        <v>https://muckrack.com/sydneysimone1</v>
      </c>
      <c r="G454" s="2">
        <v>5407</v>
      </c>
      <c r="H454" s="2" t="s">
        <v>3110</v>
      </c>
      <c r="I454" s="2" t="s">
        <v>3111</v>
      </c>
      <c r="J454" s="2" t="s">
        <v>2811</v>
      </c>
      <c r="K454" s="2" t="s">
        <v>3112</v>
      </c>
      <c r="L454" s="2" t="s">
        <v>3105</v>
      </c>
      <c r="M454" s="5">
        <v>45446.986226851863</v>
      </c>
      <c r="N454" s="2" t="str">
        <f>HYPERLINK("http://twitter.com/SydneySimone1/status/1797835713708503208")</f>
        <v>http://twitter.com/SydneySimone1/status/1797835713708503208</v>
      </c>
      <c r="O454" s="2" t="str">
        <f>HYPERLINK("https://www.wishtv.com/news/politics/city-county-council-advances-tax-district-for-mls-stadium-more-steps-ahead/")</f>
        <v>https://www.wishtv.com/news/politics/city-county-council-advances-tax-district-for-mls-stadium-more-steps-ahead/</v>
      </c>
    </row>
    <row r="455" spans="1:15" ht="52.8" x14ac:dyDescent="0.3">
      <c r="A455" s="2" t="s">
        <v>3113</v>
      </c>
      <c r="B455" s="2" t="s">
        <v>3114</v>
      </c>
      <c r="C455" s="2" t="s">
        <v>3115</v>
      </c>
      <c r="D455" s="2" t="s">
        <v>3116</v>
      </c>
      <c r="E455" s="2" t="str">
        <f>HYPERLINK("http://twitter.com/mchappell51")</f>
        <v>http://twitter.com/mchappell51</v>
      </c>
      <c r="F455" s="2" t="str">
        <f>HYPERLINK("https://muckrack.com/mchappell51")</f>
        <v>https://muckrack.com/mchappell51</v>
      </c>
      <c r="G455" s="2">
        <v>57936</v>
      </c>
      <c r="H455" s="2"/>
      <c r="I455" s="2" t="s">
        <v>3117</v>
      </c>
      <c r="J455" s="2" t="s">
        <v>2000</v>
      </c>
      <c r="K455" s="2" t="s">
        <v>3118</v>
      </c>
      <c r="L455" s="2" t="s">
        <v>3119</v>
      </c>
      <c r="M455" s="5">
        <v>45446.942673611113</v>
      </c>
      <c r="N455" s="2" t="str">
        <f>HYPERLINK("http://twitter.com/mchappell51/status/1797819927598162275")</f>
        <v>http://twitter.com/mchappell51/status/1797819927598162275</v>
      </c>
      <c r="O455" s="2" t="str">
        <f>HYPERLINK("https://fox59.com/news/city-county-council-approves-special-tax-district-for-mls-stadium/")</f>
        <v>https://fox59.com/news/city-county-council-approves-special-tax-district-for-mls-stadium/</v>
      </c>
    </row>
    <row r="456" spans="1:15" ht="39.6" x14ac:dyDescent="0.3">
      <c r="A456" s="2" t="s">
        <v>3120</v>
      </c>
      <c r="B456" s="2" t="s">
        <v>3121</v>
      </c>
      <c r="C456" s="2" t="s">
        <v>3122</v>
      </c>
      <c r="D456" s="2" t="s">
        <v>3123</v>
      </c>
      <c r="E456" s="2" t="str">
        <f>HYPERLINK("http://twitter.com/justin_powell24")</f>
        <v>http://twitter.com/justin_powell24</v>
      </c>
      <c r="F456" s="2" t="str">
        <f>HYPERLINK("https://muckrack.com/justin-powell-7")</f>
        <v>https://muckrack.com/justin-powell-7</v>
      </c>
      <c r="G456" s="2">
        <v>536</v>
      </c>
      <c r="H456" s="2"/>
      <c r="I456" s="2" t="s">
        <v>3124</v>
      </c>
      <c r="J456" s="2" t="s">
        <v>2361</v>
      </c>
      <c r="K456" s="2" t="s">
        <v>147</v>
      </c>
      <c r="L456" s="2" t="s">
        <v>3125</v>
      </c>
      <c r="M456" s="5">
        <v>45447.212939814817</v>
      </c>
      <c r="N456" s="2" t="str">
        <f>HYPERLINK("http://twitter.com/justin_powell24/status/1797917870384636263")</f>
        <v>http://twitter.com/justin_powell24/status/1797917870384636263</v>
      </c>
      <c r="O456" s="2" t="str">
        <f>HYPERLINK("https://fox59.com/news/city-county-council-approves-special-tax-district-for-mls-stadium/")</f>
        <v>https://fox59.com/news/city-county-council-approves-special-tax-district-for-mls-stadium/</v>
      </c>
    </row>
    <row r="457" spans="1:15" ht="52.8" x14ac:dyDescent="0.3">
      <c r="A457" s="2" t="s">
        <v>3126</v>
      </c>
      <c r="B457" s="2" t="s">
        <v>3127</v>
      </c>
      <c r="C457" s="2" t="s">
        <v>3128</v>
      </c>
      <c r="D457" s="2" t="s">
        <v>3129</v>
      </c>
      <c r="E457" s="2" t="str">
        <f>HYPERLINK("http://twitter.com/DanSpehler")</f>
        <v>http://twitter.com/DanSpehler</v>
      </c>
      <c r="F457" s="2" t="str">
        <f>HYPERLINK("https://muckrack.com/danspehler")</f>
        <v>https://muckrack.com/danspehler</v>
      </c>
      <c r="G457" s="2">
        <v>5233</v>
      </c>
      <c r="H457" s="2" t="s">
        <v>1972</v>
      </c>
      <c r="I457" s="2" t="s">
        <v>3130</v>
      </c>
      <c r="J457" s="2" t="s">
        <v>2008</v>
      </c>
      <c r="K457" s="2" t="s">
        <v>147</v>
      </c>
      <c r="L457" s="2" t="s">
        <v>3119</v>
      </c>
      <c r="M457" s="5">
        <v>45447.371770833342</v>
      </c>
      <c r="N457" s="2" t="str">
        <f>HYPERLINK("http://twitter.com/DanSpehler/status/1797975429703471577")</f>
        <v>http://twitter.com/DanSpehler/status/1797975429703471577</v>
      </c>
      <c r="O457" s="2" t="str">
        <f>HYPERLINK("https://fox59.com/news/city-county-council-approves-special-tax-district-for-mls-stadium/")</f>
        <v>https://fox59.com/news/city-county-council-approves-special-tax-district-for-mls-stadium/</v>
      </c>
    </row>
    <row r="458" spans="1:15" ht="39.6" x14ac:dyDescent="0.3">
      <c r="A458" s="2" t="s">
        <v>3131</v>
      </c>
      <c r="B458" s="2" t="s">
        <v>3132</v>
      </c>
      <c r="C458" s="2" t="s">
        <v>3133</v>
      </c>
      <c r="D458" s="2" t="s">
        <v>3134</v>
      </c>
      <c r="E458" s="2" t="str">
        <f>HYPERLINK("http://twitter.com/lerdody")</f>
        <v>http://twitter.com/lerdody</v>
      </c>
      <c r="F458" s="2" t="str">
        <f>HYPERLINK("https://muckrack.com/lindsey-erdody")</f>
        <v>https://muckrack.com/lindsey-erdody</v>
      </c>
      <c r="G458" s="2">
        <v>4358</v>
      </c>
      <c r="H458" s="2" t="s">
        <v>1972</v>
      </c>
      <c r="I458" s="2" t="s">
        <v>3135</v>
      </c>
      <c r="J458" s="2" t="s">
        <v>3136</v>
      </c>
      <c r="K458" s="2" t="s">
        <v>1485</v>
      </c>
      <c r="L458" s="2" t="s">
        <v>3137</v>
      </c>
      <c r="M458" s="5">
        <v>45446.884594907409</v>
      </c>
      <c r="N458" s="2" t="str">
        <f>HYPERLINK("http://twitter.com/lerdody/status/1797798883252408353")</f>
        <v>http://twitter.com/lerdody/status/1797798883252408353</v>
      </c>
      <c r="O458" s="2" t="str">
        <f>HYPERLINK("https://www.axios.com/local/indianapolis/2024/06/04/city-county-council-hogsett-soccer-stadium-mls")</f>
        <v>https://www.axios.com/local/indianapolis/2024/06/04/city-county-council-hogsett-soccer-stadium-mls</v>
      </c>
    </row>
    <row r="459" spans="1:15" ht="39.6" x14ac:dyDescent="0.3">
      <c r="A459" s="2" t="s">
        <v>349</v>
      </c>
      <c r="B459" s="2" t="s">
        <v>2524</v>
      </c>
      <c r="C459" s="2" t="s">
        <v>2525</v>
      </c>
      <c r="D459" s="2" t="s">
        <v>2526</v>
      </c>
      <c r="E459" s="2" t="str">
        <f>HYPERLINK("http://twitter.com/MikeWoitalla")</f>
        <v>http://twitter.com/MikeWoitalla</v>
      </c>
      <c r="F459" s="2" t="str">
        <f>HYPERLINK("https://muckrack.com/mike-woitalla")</f>
        <v>https://muckrack.com/mike-woitalla</v>
      </c>
      <c r="G459" s="2">
        <v>3965</v>
      </c>
      <c r="H459" s="2" t="s">
        <v>2527</v>
      </c>
      <c r="I459" s="2" t="s">
        <v>2528</v>
      </c>
      <c r="J459" s="2" t="s">
        <v>2529</v>
      </c>
      <c r="K459" s="2" t="s">
        <v>264</v>
      </c>
      <c r="L459" s="2" t="s">
        <v>3138</v>
      </c>
      <c r="M459" s="5">
        <v>45447.838101851848</v>
      </c>
      <c r="N459" s="2" t="str">
        <f>HYPERLINK("http://twitter.com/MikeWoitalla/status/1798144420442992889")</f>
        <v>http://twitter.com/MikeWoitalla/status/1798144420442992889</v>
      </c>
      <c r="O459" s="2" t="str">
        <f>HYPERLINK("https://www.socceramerica.com/rosters-u-s-under-14-womens-regional-teams/")</f>
        <v>https://www.socceramerica.com/rosters-u-s-under-14-womens-regional-teams/</v>
      </c>
    </row>
    <row r="460" spans="1:15" ht="39.6" x14ac:dyDescent="0.3">
      <c r="A460" s="2" t="s">
        <v>267</v>
      </c>
      <c r="B460" s="2" t="s">
        <v>2061</v>
      </c>
      <c r="C460" s="2" t="s">
        <v>2062</v>
      </c>
      <c r="D460" s="2" t="s">
        <v>2063</v>
      </c>
      <c r="E460" s="2" t="str">
        <f>HYPERLINK("http://twitter.com/MickeyShuey")</f>
        <v>http://twitter.com/MickeyShuey</v>
      </c>
      <c r="F460" s="2" t="str">
        <f>HYPERLINK("https://muckrack.com/mickeyshuey")</f>
        <v>https://muckrack.com/mickeyshuey</v>
      </c>
      <c r="G460" s="2">
        <v>1868</v>
      </c>
      <c r="H460" s="2" t="s">
        <v>1972</v>
      </c>
      <c r="I460" s="2" t="s">
        <v>2064</v>
      </c>
      <c r="J460" s="2" t="s">
        <v>2065</v>
      </c>
      <c r="K460" s="2" t="s">
        <v>268</v>
      </c>
      <c r="L460" s="2" t="s">
        <v>3139</v>
      </c>
      <c r="M460" s="5">
        <v>45446.714629629627</v>
      </c>
      <c r="N460" s="2" t="str">
        <f>HYPERLINK("http://twitter.com/MickeyShuey/status/1797737288547676412")</f>
        <v>http://twitter.com/MickeyShuey/status/1797737288547676412</v>
      </c>
      <c r="O460" s="2" t="str">
        <f>HYPERLINK("https://www.ibj.com/articles/rokita-city-should-have-submitted-first-tax-district-map-for-eleven-park")</f>
        <v>https://www.ibj.com/articles/rokita-city-should-have-submitted-first-tax-district-map-for-eleven-park</v>
      </c>
    </row>
    <row r="461" spans="1:15" ht="39.6" x14ac:dyDescent="0.3">
      <c r="A461" s="2" t="s">
        <v>267</v>
      </c>
      <c r="B461" s="2" t="s">
        <v>2061</v>
      </c>
      <c r="C461" s="2" t="s">
        <v>2062</v>
      </c>
      <c r="D461" s="2" t="s">
        <v>2063</v>
      </c>
      <c r="E461" s="2" t="str">
        <f>HYPERLINK("http://twitter.com/MickeyShuey")</f>
        <v>http://twitter.com/MickeyShuey</v>
      </c>
      <c r="F461" s="2" t="str">
        <f>HYPERLINK("https://muckrack.com/mickeyshuey")</f>
        <v>https://muckrack.com/mickeyshuey</v>
      </c>
      <c r="G461" s="2">
        <v>1868</v>
      </c>
      <c r="H461" s="2" t="s">
        <v>1972</v>
      </c>
      <c r="I461" s="2" t="s">
        <v>2064</v>
      </c>
      <c r="J461" s="2" t="s">
        <v>2065</v>
      </c>
      <c r="K461" s="2" t="s">
        <v>268</v>
      </c>
      <c r="L461" s="2" t="s">
        <v>3140</v>
      </c>
      <c r="M461" s="5">
        <v>45446.817337962973</v>
      </c>
      <c r="N461" s="2" t="str">
        <f>HYPERLINK("http://twitter.com/MickeyShuey/status/1797774509140771024")</f>
        <v>http://twitter.com/MickeyShuey/status/1797774509140771024</v>
      </c>
      <c r="O461" s="2" t="str">
        <f>HYPERLINK("https://www.ibj.com/articles/rokita-city-should-have-submitted-first-tax-district-map-for-eleven-park")</f>
        <v>https://www.ibj.com/articles/rokita-city-should-have-submitted-first-tax-district-map-for-eleven-park</v>
      </c>
    </row>
    <row r="462" spans="1:15" ht="39.6" x14ac:dyDescent="0.3">
      <c r="A462" s="2" t="s">
        <v>3141</v>
      </c>
      <c r="B462" s="2" t="s">
        <v>2061</v>
      </c>
      <c r="C462" s="2" t="s">
        <v>3142</v>
      </c>
      <c r="D462" s="2" t="s">
        <v>3143</v>
      </c>
      <c r="E462" s="2" t="str">
        <f>HYPERLINK("http://twitter.com/catecharron")</f>
        <v>http://twitter.com/catecharron</v>
      </c>
      <c r="F462" s="2" t="str">
        <f>HYPERLINK("https://muckrack.com/cate-charron")</f>
        <v>https://muckrack.com/cate-charron</v>
      </c>
      <c r="G462" s="2">
        <v>1415</v>
      </c>
      <c r="H462" s="2" t="s">
        <v>1972</v>
      </c>
      <c r="I462" s="2" t="s">
        <v>3144</v>
      </c>
      <c r="J462" s="2" t="s">
        <v>3145</v>
      </c>
      <c r="K462" s="2" t="s">
        <v>321</v>
      </c>
      <c r="L462" s="2" t="s">
        <v>3140</v>
      </c>
      <c r="M462" s="5">
        <v>45446.740011574067</v>
      </c>
      <c r="N462" s="2" t="str">
        <f>HYPERLINK("http://twitter.com/catecharron/status/1797746486807277645")</f>
        <v>http://twitter.com/catecharron/status/1797746486807277645</v>
      </c>
      <c r="O462" s="2" t="str">
        <f>HYPERLINK("https://www.ibj.com/articles/rokita-city-should-have-submitted-first-tax-district-map-for-eleven-park")</f>
        <v>https://www.ibj.com/articles/rokita-city-should-have-submitted-first-tax-district-map-for-eleven-park</v>
      </c>
    </row>
    <row r="463" spans="1:15" ht="39.6" x14ac:dyDescent="0.3">
      <c r="A463" s="2" t="s">
        <v>3146</v>
      </c>
      <c r="B463" s="2" t="s">
        <v>3147</v>
      </c>
      <c r="C463" s="2" t="s">
        <v>3148</v>
      </c>
      <c r="D463" s="2" t="s">
        <v>3149</v>
      </c>
      <c r="E463" s="2" t="str">
        <f>HYPERLINK("http://twitter.com/GerryDick")</f>
        <v>http://twitter.com/GerryDick</v>
      </c>
      <c r="F463" s="2" t="str">
        <f>HYPERLINK("https://muckrack.com/gerry-dick")</f>
        <v>https://muckrack.com/gerry-dick</v>
      </c>
      <c r="G463" s="2">
        <v>18516</v>
      </c>
      <c r="H463" s="2" t="s">
        <v>1972</v>
      </c>
      <c r="I463" s="2" t="s">
        <v>3150</v>
      </c>
      <c r="J463" s="2" t="s">
        <v>2141</v>
      </c>
      <c r="K463" s="2" t="s">
        <v>3151</v>
      </c>
      <c r="L463" s="2" t="s">
        <v>3140</v>
      </c>
      <c r="M463" s="5">
        <v>45446.801782407398</v>
      </c>
      <c r="N463" s="2" t="str">
        <f>HYPERLINK("http://twitter.com/GerryDick/status/1797768869920350354")</f>
        <v>http://twitter.com/GerryDick/status/1797768869920350354</v>
      </c>
      <c r="O463" s="2" t="str">
        <f>HYPERLINK("https://www.ibj.com/articles/rokita-city-should-have-submitted-first-tax-district-map-for-eleven-park")</f>
        <v>https://www.ibj.com/articles/rokita-city-should-have-submitted-first-tax-district-map-for-eleven-park</v>
      </c>
    </row>
    <row r="464" spans="1:15" ht="66" x14ac:dyDescent="0.3">
      <c r="A464" s="2" t="s">
        <v>3152</v>
      </c>
      <c r="B464" s="2" t="s">
        <v>3153</v>
      </c>
      <c r="C464" s="2" t="s">
        <v>3154</v>
      </c>
      <c r="D464" s="2" t="s">
        <v>3155</v>
      </c>
      <c r="E464" s="2" t="str">
        <f>HYPERLINK("http://twitter.com/ZachOsterman")</f>
        <v>http://twitter.com/ZachOsterman</v>
      </c>
      <c r="F464" s="2" t="str">
        <f>HYPERLINK("https://muckrack.com/zach-osterman")</f>
        <v>https://muckrack.com/zach-osterman</v>
      </c>
      <c r="G464" s="2">
        <v>39409</v>
      </c>
      <c r="H464" s="2" t="s">
        <v>3156</v>
      </c>
      <c r="I464" s="2" t="s">
        <v>3157</v>
      </c>
      <c r="J464" s="2" t="s">
        <v>2000</v>
      </c>
      <c r="K464" s="2" t="s">
        <v>321</v>
      </c>
      <c r="L464" s="2" t="s">
        <v>3158</v>
      </c>
      <c r="M464" s="5">
        <v>45446.316400462973</v>
      </c>
      <c r="N464" s="2" t="str">
        <f>HYPERLINK("http://twitter.com/ZachOsterman/status/1797592973888323771")</f>
        <v>http://twitter.com/ZachOsterman/status/1797592973888323771</v>
      </c>
      <c r="O464" s="2" t="str">
        <f t="shared" ref="O464:O470" si="16">HYPERLINK("https://www.indystar.com/story/opinion/columnists/james-briggs/2024/06/03/indianapolis-city-county-councils-vote-on-mls-defies-kristin-jones/73925933007/")</f>
        <v>https://www.indystar.com/story/opinion/columnists/james-briggs/2024/06/03/indianapolis-city-county-councils-vote-on-mls-defies-kristin-jones/73925933007/</v>
      </c>
    </row>
    <row r="465" spans="1:15" ht="66" x14ac:dyDescent="0.3">
      <c r="A465" s="2" t="s">
        <v>3152</v>
      </c>
      <c r="B465" s="2" t="s">
        <v>3153</v>
      </c>
      <c r="C465" s="2" t="s">
        <v>3154</v>
      </c>
      <c r="D465" s="2" t="s">
        <v>3155</v>
      </c>
      <c r="E465" s="2" t="str">
        <f>HYPERLINK("http://twitter.com/ZachOsterman")</f>
        <v>http://twitter.com/ZachOsterman</v>
      </c>
      <c r="F465" s="2" t="str">
        <f>HYPERLINK("https://muckrack.com/zach-osterman")</f>
        <v>https://muckrack.com/zach-osterman</v>
      </c>
      <c r="G465" s="2">
        <v>39409</v>
      </c>
      <c r="H465" s="2" t="s">
        <v>3156</v>
      </c>
      <c r="I465" s="2" t="s">
        <v>3157</v>
      </c>
      <c r="J465" s="2" t="s">
        <v>2000</v>
      </c>
      <c r="K465" s="2" t="s">
        <v>321</v>
      </c>
      <c r="L465" s="2" t="s">
        <v>3159</v>
      </c>
      <c r="M465" s="5">
        <v>45446.652673611112</v>
      </c>
      <c r="N465" s="2" t="str">
        <f>HYPERLINK("http://twitter.com/ZachOsterman/status/1797714835670733233")</f>
        <v>http://twitter.com/ZachOsterman/status/1797714835670733233</v>
      </c>
      <c r="O465" s="2" t="str">
        <f t="shared" si="16"/>
        <v>https://www.indystar.com/story/opinion/columnists/james-briggs/2024/06/03/indianapolis-city-county-councils-vote-on-mls-defies-kristin-jones/73925933007/</v>
      </c>
    </row>
    <row r="466" spans="1:15" ht="66" x14ac:dyDescent="0.3">
      <c r="A466" s="2" t="s">
        <v>3160</v>
      </c>
      <c r="B466" s="2" t="s">
        <v>3161</v>
      </c>
      <c r="C466" s="2" t="s">
        <v>3162</v>
      </c>
      <c r="D466" s="2" t="s">
        <v>3163</v>
      </c>
      <c r="E466" s="2" t="str">
        <f>HYPERLINK("http://twitter.com/JoelAErickson")</f>
        <v>http://twitter.com/JoelAErickson</v>
      </c>
      <c r="F466" s="2" t="str">
        <f>HYPERLINK("https://muckrack.com/joel-erickson")</f>
        <v>https://muckrack.com/joel-erickson</v>
      </c>
      <c r="G466" s="2">
        <v>23496</v>
      </c>
      <c r="H466" s="2" t="s">
        <v>1972</v>
      </c>
      <c r="I466" s="2" t="s">
        <v>3164</v>
      </c>
      <c r="J466" s="2" t="s">
        <v>2000</v>
      </c>
      <c r="K466" s="2" t="s">
        <v>3165</v>
      </c>
      <c r="L466" s="2" t="s">
        <v>3158</v>
      </c>
      <c r="M466" s="5">
        <v>45446.405416666668</v>
      </c>
      <c r="N466" s="2" t="str">
        <f>HYPERLINK("http://twitter.com/JoelAErickson/status/1797625234796978186")</f>
        <v>http://twitter.com/JoelAErickson/status/1797625234796978186</v>
      </c>
      <c r="O466" s="2" t="str">
        <f t="shared" si="16"/>
        <v>https://www.indystar.com/story/opinion/columnists/james-briggs/2024/06/03/indianapolis-city-county-councils-vote-on-mls-defies-kristin-jones/73925933007/</v>
      </c>
    </row>
    <row r="467" spans="1:15" ht="66" x14ac:dyDescent="0.3">
      <c r="A467" s="2" t="s">
        <v>2119</v>
      </c>
      <c r="B467" s="2" t="s">
        <v>2120</v>
      </c>
      <c r="C467" s="2" t="s">
        <v>2121</v>
      </c>
      <c r="D467" s="2" t="s">
        <v>2122</v>
      </c>
      <c r="E467" s="2" t="str">
        <f>HYPERLINK("http://twitter.com/starwatchtim")</f>
        <v>http://twitter.com/starwatchtim</v>
      </c>
      <c r="F467" s="2" t="str">
        <f>HYPERLINK("https://muckrack.com/starwatchtim")</f>
        <v>https://muckrack.com/starwatchtim</v>
      </c>
      <c r="G467" s="2">
        <v>7285</v>
      </c>
      <c r="H467" s="2" t="s">
        <v>2123</v>
      </c>
      <c r="I467" s="2" t="s">
        <v>2124</v>
      </c>
      <c r="J467" s="2" t="s">
        <v>2125</v>
      </c>
      <c r="K467" s="2" t="s">
        <v>321</v>
      </c>
      <c r="L467" s="2" t="s">
        <v>3166</v>
      </c>
      <c r="M467" s="5">
        <v>45446.432210648149</v>
      </c>
      <c r="N467" s="2" t="str">
        <f>HYPERLINK("http://twitter.com/starwatchtim/status/1797634943394427235")</f>
        <v>http://twitter.com/starwatchtim/status/1797634943394427235</v>
      </c>
      <c r="O467" s="2" t="str">
        <f t="shared" si="16"/>
        <v>https://www.indystar.com/story/opinion/columnists/james-briggs/2024/06/03/indianapolis-city-county-councils-vote-on-mls-defies-kristin-jones/73925933007/</v>
      </c>
    </row>
    <row r="468" spans="1:15" ht="66" x14ac:dyDescent="0.3">
      <c r="A468" s="2" t="s">
        <v>2119</v>
      </c>
      <c r="B468" s="2" t="s">
        <v>2120</v>
      </c>
      <c r="C468" s="2" t="s">
        <v>2121</v>
      </c>
      <c r="D468" s="2" t="s">
        <v>2122</v>
      </c>
      <c r="E468" s="2" t="str">
        <f>HYPERLINK("http://twitter.com/starwatchtim")</f>
        <v>http://twitter.com/starwatchtim</v>
      </c>
      <c r="F468" s="2" t="str">
        <f>HYPERLINK("https://muckrack.com/starwatchtim")</f>
        <v>https://muckrack.com/starwatchtim</v>
      </c>
      <c r="G468" s="2">
        <v>7285</v>
      </c>
      <c r="H468" s="2" t="s">
        <v>2123</v>
      </c>
      <c r="I468" s="2" t="s">
        <v>2124</v>
      </c>
      <c r="J468" s="2" t="s">
        <v>2125</v>
      </c>
      <c r="K468" s="2" t="s">
        <v>321</v>
      </c>
      <c r="L468" s="2" t="s">
        <v>3167</v>
      </c>
      <c r="M468" s="5">
        <v>45446.543275462973</v>
      </c>
      <c r="N468" s="2" t="str">
        <f>HYPERLINK("http://twitter.com/starwatchtim/status/1797675192321515656")</f>
        <v>http://twitter.com/starwatchtim/status/1797675192321515656</v>
      </c>
      <c r="O468" s="2" t="str">
        <f t="shared" si="16"/>
        <v>https://www.indystar.com/story/opinion/columnists/james-briggs/2024/06/03/indianapolis-city-county-councils-vote-on-mls-defies-kristin-jones/73925933007/</v>
      </c>
    </row>
    <row r="469" spans="1:15" ht="66" x14ac:dyDescent="0.3">
      <c r="A469" s="2" t="s">
        <v>2436</v>
      </c>
      <c r="B469" s="2" t="s">
        <v>2437</v>
      </c>
      <c r="C469" s="2" t="s">
        <v>2438</v>
      </c>
      <c r="D469" s="2" t="s">
        <v>2439</v>
      </c>
      <c r="E469" s="2" t="str">
        <f>HYPERLINK("http://twitter.com/MattGlenesk")</f>
        <v>http://twitter.com/MattGlenesk</v>
      </c>
      <c r="F469" s="2" t="str">
        <f>HYPERLINK("https://muckrack.com/matthew-glenesk")</f>
        <v>https://muckrack.com/matthew-glenesk</v>
      </c>
      <c r="G469" s="2">
        <v>8773</v>
      </c>
      <c r="H469" s="2" t="s">
        <v>2440</v>
      </c>
      <c r="I469" s="2" t="s">
        <v>2441</v>
      </c>
      <c r="J469" s="2" t="s">
        <v>2000</v>
      </c>
      <c r="K469" s="2" t="s">
        <v>321</v>
      </c>
      <c r="L469" s="2" t="s">
        <v>3159</v>
      </c>
      <c r="M469" s="5">
        <v>45446.643750000003</v>
      </c>
      <c r="N469" s="2" t="str">
        <f>HYPERLINK("http://twitter.com/MattGlenesk/status/1797711601061224536")</f>
        <v>http://twitter.com/MattGlenesk/status/1797711601061224536</v>
      </c>
      <c r="O469" s="2" t="str">
        <f t="shared" si="16"/>
        <v>https://www.indystar.com/story/opinion/columnists/james-briggs/2024/06/03/indianapolis-city-county-councils-vote-on-mls-defies-kristin-jones/73925933007/</v>
      </c>
    </row>
    <row r="470" spans="1:15" ht="66" x14ac:dyDescent="0.3">
      <c r="A470" s="2" t="s">
        <v>2390</v>
      </c>
      <c r="B470" s="2" t="s">
        <v>2036</v>
      </c>
      <c r="C470" s="2" t="s">
        <v>2391</v>
      </c>
      <c r="D470" s="2" t="s">
        <v>2392</v>
      </c>
      <c r="E470" s="2" t="str">
        <f>HYPERLINK("http://twitter.com/GreggDoyelStar")</f>
        <v>http://twitter.com/GreggDoyelStar</v>
      </c>
      <c r="F470" s="2" t="str">
        <f>HYPERLINK("https://muckrack.com/greggdoyelstar")</f>
        <v>https://muckrack.com/greggdoyelstar</v>
      </c>
      <c r="G470" s="2">
        <v>92219</v>
      </c>
      <c r="H470" s="2" t="s">
        <v>1972</v>
      </c>
      <c r="I470" s="2" t="s">
        <v>2393</v>
      </c>
      <c r="J470" s="2" t="s">
        <v>2000</v>
      </c>
      <c r="K470" s="2" t="s">
        <v>321</v>
      </c>
      <c r="L470" s="2" t="s">
        <v>3159</v>
      </c>
      <c r="M470" s="5">
        <v>45446.768726851849</v>
      </c>
      <c r="N470" s="2" t="str">
        <f>HYPERLINK("http://twitter.com/GreggDoyelStar/status/1797756890698658039")</f>
        <v>http://twitter.com/GreggDoyelStar/status/1797756890698658039</v>
      </c>
      <c r="O470" s="2" t="str">
        <f t="shared" si="16"/>
        <v>https://www.indystar.com/story/opinion/columnists/james-briggs/2024/06/03/indianapolis-city-county-councils-vote-on-mls-defies-kristin-jones/73925933007/</v>
      </c>
    </row>
    <row r="471" spans="1:15" ht="52.8" x14ac:dyDescent="0.3">
      <c r="A471" s="2" t="s">
        <v>3057</v>
      </c>
      <c r="B471" s="2" t="s">
        <v>3058</v>
      </c>
      <c r="C471" s="2" t="s">
        <v>3059</v>
      </c>
      <c r="D471" s="2" t="s">
        <v>3060</v>
      </c>
      <c r="E471" s="2" t="str">
        <f>HYPERLINK("http://twitter.com/ThompsonFoto12")</f>
        <v>http://twitter.com/ThompsonFoto12</v>
      </c>
      <c r="F471" s="2" t="str">
        <f>HYPERLINK("https://muckrack.com/ed-thompson")</f>
        <v>https://muckrack.com/ed-thompson</v>
      </c>
      <c r="G471" s="2">
        <v>9230</v>
      </c>
      <c r="H471" s="2" t="s">
        <v>2187</v>
      </c>
      <c r="I471" s="2" t="s">
        <v>3061</v>
      </c>
      <c r="J471" s="2" t="s">
        <v>3062</v>
      </c>
      <c r="K471" s="2" t="s">
        <v>3063</v>
      </c>
      <c r="L471" s="2" t="s">
        <v>3168</v>
      </c>
      <c r="M471" s="5">
        <v>45446.304224537038</v>
      </c>
      <c r="N471" s="2" t="str">
        <f>HYPERLINK("http://twitter.com/ThompsonFoto12/status/1797588563154141627")</f>
        <v>http://twitter.com/ThompsonFoto12/status/1797588563154141627</v>
      </c>
      <c r="O471" s="2" t="str">
        <f>HYPERLINK("https://steelersnow.com/daily-news-links-kwon-alexander-releases-rap-song-steelers-cb-justin-fields-photoshoot/")</f>
        <v>https://steelersnow.com/daily-news-links-kwon-alexander-releases-rap-song-steelers-cb-justin-fields-photoshoot/</v>
      </c>
    </row>
    <row r="472" spans="1:15" ht="52.8" x14ac:dyDescent="0.3">
      <c r="A472" s="2" t="s">
        <v>3169</v>
      </c>
      <c r="B472" s="2" t="s">
        <v>3170</v>
      </c>
      <c r="C472" s="2" t="s">
        <v>3171</v>
      </c>
      <c r="D472" s="2" t="s">
        <v>3172</v>
      </c>
      <c r="E472" s="2" t="str">
        <f>HYPERLINK("http://twitter.com/FarabaughFB")</f>
        <v>http://twitter.com/FarabaughFB</v>
      </c>
      <c r="F472" s="2" t="str">
        <f>HYPERLINK("https://muckrack.com/nick-farabaugh")</f>
        <v>https://muckrack.com/nick-farabaugh</v>
      </c>
      <c r="G472" s="2">
        <v>33857</v>
      </c>
      <c r="H472" s="2" t="s">
        <v>2187</v>
      </c>
      <c r="I472" s="2" t="s">
        <v>3173</v>
      </c>
      <c r="J472" s="2" t="s">
        <v>3076</v>
      </c>
      <c r="K472" s="2" t="s">
        <v>3174</v>
      </c>
      <c r="L472" s="2" t="s">
        <v>3168</v>
      </c>
      <c r="M472" s="5">
        <v>45446.421261574083</v>
      </c>
      <c r="N472" s="2" t="str">
        <f>HYPERLINK("http://twitter.com/FarabaughFB/status/1797630975645741331")</f>
        <v>http://twitter.com/FarabaughFB/status/1797630975645741331</v>
      </c>
      <c r="O472" s="2" t="str">
        <f>HYPERLINK("https://steelersnow.com/daily-news-links-kwon-alexander-releases-rap-song-steelers-cb-justin-fields-photoshoot/")</f>
        <v>https://steelersnow.com/daily-news-links-kwon-alexander-releases-rap-song-steelers-cb-justin-fields-photoshoot/</v>
      </c>
    </row>
    <row r="473" spans="1:15" ht="39.6" x14ac:dyDescent="0.3">
      <c r="A473" s="2" t="s">
        <v>3057</v>
      </c>
      <c r="B473" s="2" t="s">
        <v>3058</v>
      </c>
      <c r="C473" s="2" t="s">
        <v>3059</v>
      </c>
      <c r="D473" s="2" t="s">
        <v>3060</v>
      </c>
      <c r="E473" s="2" t="str">
        <f>HYPERLINK("http://twitter.com/ThompsonFoto12")</f>
        <v>http://twitter.com/ThompsonFoto12</v>
      </c>
      <c r="F473" s="2" t="str">
        <f>HYPERLINK("https://muckrack.com/ed-thompson")</f>
        <v>https://muckrack.com/ed-thompson</v>
      </c>
      <c r="G473" s="2">
        <v>9230</v>
      </c>
      <c r="H473" s="2" t="s">
        <v>2187</v>
      </c>
      <c r="I473" s="2" t="s">
        <v>3061</v>
      </c>
      <c r="J473" s="2" t="s">
        <v>3062</v>
      </c>
      <c r="K473" s="2" t="s">
        <v>3063</v>
      </c>
      <c r="L473" s="2" t="s">
        <v>3175</v>
      </c>
      <c r="M473" s="5">
        <v>45445.391886574071</v>
      </c>
      <c r="N473" s="2" t="str">
        <f>HYPERLINK("http://twitter.com/ThompsonFoto12/status/1797257943227809983")</f>
        <v>http://twitter.com/ThompsonFoto12/status/1797257943227809983</v>
      </c>
      <c r="O473" s="2" t="str">
        <f>HYPERLINK("https://steelersnow.com/daily-news-links-hines-ward-selling-house-steelers-defensive-triplets-ranking/")</f>
        <v>https://steelersnow.com/daily-news-links-hines-ward-selling-house-steelers-defensive-triplets-ranking/</v>
      </c>
    </row>
    <row r="474" spans="1:15" ht="39.6" x14ac:dyDescent="0.3">
      <c r="A474" s="2" t="s">
        <v>3169</v>
      </c>
      <c r="B474" s="2" t="s">
        <v>3170</v>
      </c>
      <c r="C474" s="2" t="s">
        <v>3171</v>
      </c>
      <c r="D474" s="2" t="s">
        <v>3172</v>
      </c>
      <c r="E474" s="2" t="str">
        <f>HYPERLINK("http://twitter.com/FarabaughFB")</f>
        <v>http://twitter.com/FarabaughFB</v>
      </c>
      <c r="F474" s="2" t="str">
        <f>HYPERLINK("https://muckrack.com/nick-farabaugh")</f>
        <v>https://muckrack.com/nick-farabaugh</v>
      </c>
      <c r="G474" s="2">
        <v>33857</v>
      </c>
      <c r="H474" s="2" t="s">
        <v>2187</v>
      </c>
      <c r="I474" s="2" t="s">
        <v>3173</v>
      </c>
      <c r="J474" s="2" t="s">
        <v>3076</v>
      </c>
      <c r="K474" s="2" t="s">
        <v>3174</v>
      </c>
      <c r="L474" s="2" t="s">
        <v>3175</v>
      </c>
      <c r="M474" s="5">
        <v>45445.507268518522</v>
      </c>
      <c r="N474" s="2" t="str">
        <f>HYPERLINK("http://twitter.com/FarabaughFB/status/1797299754029678901")</f>
        <v>http://twitter.com/FarabaughFB/status/1797299754029678901</v>
      </c>
      <c r="O474" s="2" t="str">
        <f>HYPERLINK("https://steelersnow.com/daily-news-links-hines-ward-selling-house-steelers-defensive-triplets-ranking/")</f>
        <v>https://steelersnow.com/daily-news-links-hines-ward-selling-house-steelers-defensive-triplets-ranking/</v>
      </c>
    </row>
    <row r="475" spans="1:15" ht="52.8" x14ac:dyDescent="0.3">
      <c r="A475" s="2" t="s">
        <v>993</v>
      </c>
      <c r="B475" s="2" t="s">
        <v>2289</v>
      </c>
      <c r="C475" s="2" t="s">
        <v>2981</v>
      </c>
      <c r="D475" s="2" t="s">
        <v>2982</v>
      </c>
      <c r="E475" s="2" t="str">
        <f>HYPERLINK("http://twitter.com/StephenWhit89")</f>
        <v>http://twitter.com/StephenWhit89</v>
      </c>
      <c r="F475" s="2" t="str">
        <f>HYPERLINK("https://muckrack.com/stephen-whitaker")</f>
        <v>https://muckrack.com/stephen-whitaker</v>
      </c>
      <c r="G475" s="2">
        <v>1127</v>
      </c>
      <c r="H475" s="2" t="s">
        <v>2983</v>
      </c>
      <c r="I475" s="2" t="s">
        <v>2984</v>
      </c>
      <c r="J475" s="2" t="s">
        <v>2033</v>
      </c>
      <c r="K475" s="2" t="s">
        <v>2985</v>
      </c>
      <c r="L475" s="2" t="s">
        <v>3176</v>
      </c>
      <c r="M475" s="5">
        <v>45445.072106481479</v>
      </c>
      <c r="N475" s="2" t="str">
        <f>HYPERLINK("http://twitter.com/StephenWhit89/status/1797142059117121710")</f>
        <v>http://twitter.com/StephenWhit89/status/1797142059117121710</v>
      </c>
      <c r="O475" s="2" t="str">
        <f>HYPERLINK("https://www.expressnews.com/sports/article/san-antonio-fc-memphis-soccer-score-19490744.php")</f>
        <v>https://www.expressnews.com/sports/article/san-antonio-fc-memphis-soccer-score-19490744.php</v>
      </c>
    </row>
    <row r="476" spans="1:15" ht="66" x14ac:dyDescent="0.3">
      <c r="A476" s="2" t="s">
        <v>1102</v>
      </c>
      <c r="B476" s="2" t="s">
        <v>2311</v>
      </c>
      <c r="C476" s="2" t="s">
        <v>3073</v>
      </c>
      <c r="D476" s="2" t="s">
        <v>3074</v>
      </c>
      <c r="E476" s="2" t="str">
        <f>HYPERLINK("http://twitter.com/KBarnes_PG")</f>
        <v>http://twitter.com/KBarnes_PG</v>
      </c>
      <c r="F476" s="2" t="str">
        <f>HYPERLINK("https://muckrack.com/keith-barnes")</f>
        <v>https://muckrack.com/keith-barnes</v>
      </c>
      <c r="G476" s="2">
        <v>1453</v>
      </c>
      <c r="H476" s="2" t="s">
        <v>2187</v>
      </c>
      <c r="I476" s="2" t="s">
        <v>3075</v>
      </c>
      <c r="J476" s="2" t="s">
        <v>3076</v>
      </c>
      <c r="K476" s="2" t="s">
        <v>2034</v>
      </c>
      <c r="L476" s="2" t="s">
        <v>3177</v>
      </c>
      <c r="M476" s="5">
        <v>45444.978981481479</v>
      </c>
      <c r="N476" s="2" t="str">
        <f>HYPERLINK("http://twitter.com/KBarnes_PG/status/1797108312023937204")</f>
        <v>http://twitter.com/KBarnes_PG/status/1797108312023937204</v>
      </c>
      <c r="O476" s="2" t="str">
        <f>HYPERLINK("https://www.post-gazette.com/sports/riverhounds/2024/06/01/riverhounds-bob-lilley-gabriel-perrotta-pablo-linzoain/stories/202405290087")</f>
        <v>https://www.post-gazette.com/sports/riverhounds/2024/06/01/riverhounds-bob-lilley-gabriel-perrotta-pablo-linzoain/stories/202405290087</v>
      </c>
    </row>
    <row r="477" spans="1:15" ht="105.6" x14ac:dyDescent="0.3">
      <c r="A477" s="2" t="s">
        <v>3057</v>
      </c>
      <c r="B477" s="2" t="s">
        <v>3058</v>
      </c>
      <c r="C477" s="2" t="s">
        <v>3059</v>
      </c>
      <c r="D477" s="2" t="s">
        <v>3060</v>
      </c>
      <c r="E477" s="2" t="str">
        <f>HYPERLINK("http://twitter.com/ThompsonFoto12")</f>
        <v>http://twitter.com/ThompsonFoto12</v>
      </c>
      <c r="F477" s="2" t="str">
        <f>HYPERLINK("https://muckrack.com/ed-thompson")</f>
        <v>https://muckrack.com/ed-thompson</v>
      </c>
      <c r="G477" s="2">
        <v>9230</v>
      </c>
      <c r="H477" s="2" t="s">
        <v>2187</v>
      </c>
      <c r="I477" s="2" t="s">
        <v>3061</v>
      </c>
      <c r="J477" s="2" t="s">
        <v>3062</v>
      </c>
      <c r="K477" s="2" t="s">
        <v>3063</v>
      </c>
      <c r="L477" s="2" t="s">
        <v>3178</v>
      </c>
      <c r="M477" s="5">
        <v>45445.393796296303</v>
      </c>
      <c r="N477" s="2" t="str">
        <f>HYPERLINK("http://twitter.com/ThompsonFoto12/status/1797258635787034734")</f>
        <v>http://twitter.com/ThompsonFoto12/status/1797258635787034734</v>
      </c>
      <c r="O477" s="2" t="str">
        <f>HYPERLINK("https://pittsburghsoccernow.com/2024/06/01/live-riverhounds-indy-eleven-6-1-24/")</f>
        <v>https://pittsburghsoccernow.com/2024/06/01/live-riverhounds-indy-eleven-6-1-24/</v>
      </c>
    </row>
    <row r="478" spans="1:15" ht="52.8" x14ac:dyDescent="0.3">
      <c r="A478" s="2" t="s">
        <v>3057</v>
      </c>
      <c r="B478" s="2" t="s">
        <v>3058</v>
      </c>
      <c r="C478" s="2" t="s">
        <v>3059</v>
      </c>
      <c r="D478" s="2" t="s">
        <v>3060</v>
      </c>
      <c r="E478" s="2" t="str">
        <f>HYPERLINK("http://twitter.com/ThompsonFoto12")</f>
        <v>http://twitter.com/ThompsonFoto12</v>
      </c>
      <c r="F478" s="2" t="str">
        <f>HYPERLINK("https://muckrack.com/ed-thompson")</f>
        <v>https://muckrack.com/ed-thompson</v>
      </c>
      <c r="G478" s="2">
        <v>9230</v>
      </c>
      <c r="H478" s="2" t="s">
        <v>2187</v>
      </c>
      <c r="I478" s="2" t="s">
        <v>3061</v>
      </c>
      <c r="J478" s="2" t="s">
        <v>3062</v>
      </c>
      <c r="K478" s="2" t="s">
        <v>3063</v>
      </c>
      <c r="L478" s="2" t="s">
        <v>3179</v>
      </c>
      <c r="M478" s="5">
        <v>45445.395949074067</v>
      </c>
      <c r="N478" s="2" t="str">
        <f>HYPERLINK("http://twitter.com/ThompsonFoto12/status/1797259412962160870")</f>
        <v>http://twitter.com/ThompsonFoto12/status/1797259412962160870</v>
      </c>
      <c r="O478" s="2" t="str">
        <f>HYPERLINK("https://pittsburghsoccernow.com/2024/06/01/live-riverhounds-indy-eleven-6-1-24/")</f>
        <v>https://pittsburghsoccernow.com/2024/06/01/live-riverhounds-indy-eleven-6-1-24/</v>
      </c>
    </row>
    <row r="479" spans="1:15" ht="52.8" x14ac:dyDescent="0.3">
      <c r="A479" s="2" t="s">
        <v>654</v>
      </c>
      <c r="B479" s="2" t="s">
        <v>2482</v>
      </c>
      <c r="C479" s="2"/>
      <c r="D479" s="2" t="s">
        <v>2483</v>
      </c>
      <c r="E479" s="2" t="str">
        <f>HYPERLINK("http://twitter.com/ldock93")</f>
        <v>http://twitter.com/ldock93</v>
      </c>
      <c r="F479" s="2" t="str">
        <f>HYPERLINK("https://muckrack.com/lawrence-dockery")</f>
        <v>https://muckrack.com/lawrence-dockery</v>
      </c>
      <c r="G479" s="2">
        <v>1147</v>
      </c>
      <c r="H479" s="2" t="s">
        <v>2484</v>
      </c>
      <c r="I479" s="2" t="s">
        <v>2485</v>
      </c>
      <c r="J479" s="2" t="s">
        <v>2033</v>
      </c>
      <c r="K479" s="2" t="s">
        <v>2486</v>
      </c>
      <c r="L479" s="2" t="s">
        <v>3180</v>
      </c>
      <c r="M479" s="5">
        <v>45444.423125000001</v>
      </c>
      <c r="N479" s="2" t="str">
        <f>HYPERLINK("http://twitter.com/ldock93/status/1796906873565638726")</f>
        <v>http://twitter.com/ldock93/status/1796906873565638726</v>
      </c>
      <c r="O479" s="2" t="str">
        <f>HYPERLINK("https://bluffcitymedia.co/memphis-901-fc-san-antonio-fc-preview/")</f>
        <v>https://bluffcitymedia.co/memphis-901-fc-san-antonio-fc-preview/</v>
      </c>
    </row>
    <row r="480" spans="1:15" ht="52.8" x14ac:dyDescent="0.3">
      <c r="A480" s="2" t="s">
        <v>654</v>
      </c>
      <c r="B480" s="2" t="s">
        <v>2482</v>
      </c>
      <c r="C480" s="2"/>
      <c r="D480" s="2" t="s">
        <v>2483</v>
      </c>
      <c r="E480" s="2" t="str">
        <f>HYPERLINK("http://twitter.com/ldock93")</f>
        <v>http://twitter.com/ldock93</v>
      </c>
      <c r="F480" s="2" t="str">
        <f>HYPERLINK("https://muckrack.com/lawrence-dockery")</f>
        <v>https://muckrack.com/lawrence-dockery</v>
      </c>
      <c r="G480" s="2">
        <v>1147</v>
      </c>
      <c r="H480" s="2" t="s">
        <v>2484</v>
      </c>
      <c r="I480" s="2" t="s">
        <v>2485</v>
      </c>
      <c r="J480" s="2" t="s">
        <v>2033</v>
      </c>
      <c r="K480" s="2" t="s">
        <v>2486</v>
      </c>
      <c r="L480" s="2" t="s">
        <v>3181</v>
      </c>
      <c r="M480" s="5">
        <v>45444.424629629633</v>
      </c>
      <c r="N480" s="2" t="str">
        <f>HYPERLINK("http://twitter.com/ldock93/status/1796907421081686268")</f>
        <v>http://twitter.com/ldock93/status/1796907421081686268</v>
      </c>
      <c r="O480" s="2" t="str">
        <f>HYPERLINK("https://bluffcitymedia.co/memphis-901-fc-san-antonio-fc-preview/")</f>
        <v>https://bluffcitymedia.co/memphis-901-fc-san-antonio-fc-preview/</v>
      </c>
    </row>
    <row r="481" spans="1:15" ht="39.6" x14ac:dyDescent="0.3">
      <c r="A481" s="2" t="s">
        <v>267</v>
      </c>
      <c r="B481" s="2" t="s">
        <v>2061</v>
      </c>
      <c r="C481" s="2" t="s">
        <v>2062</v>
      </c>
      <c r="D481" s="2" t="s">
        <v>2063</v>
      </c>
      <c r="E481" s="2" t="str">
        <f>HYPERLINK("http://twitter.com/MickeyShuey")</f>
        <v>http://twitter.com/MickeyShuey</v>
      </c>
      <c r="F481" s="2" t="str">
        <f>HYPERLINK("https://muckrack.com/mickeyshuey")</f>
        <v>https://muckrack.com/mickeyshuey</v>
      </c>
      <c r="G481" s="2">
        <v>1868</v>
      </c>
      <c r="H481" s="2" t="s">
        <v>1972</v>
      </c>
      <c r="I481" s="2" t="s">
        <v>2064</v>
      </c>
      <c r="J481" s="2" t="s">
        <v>2065</v>
      </c>
      <c r="K481" s="2" t="s">
        <v>268</v>
      </c>
      <c r="L481" s="2" t="s">
        <v>3182</v>
      </c>
      <c r="M481" s="5">
        <v>45443.510798611111</v>
      </c>
      <c r="N481" s="2" t="str">
        <f>HYPERLINK("http://twitter.com/MickeyShuey/status/1796576258014232701")</f>
        <v>http://twitter.com/MickeyShuey/status/1796576258014232701</v>
      </c>
      <c r="O481" s="2" t="str">
        <f>HYPERLINK("https://www.ibj.com/articles/airport-authority-moving-ahead-with-decommissioning-downtown-heliport")</f>
        <v>https://www.ibj.com/articles/airport-authority-moving-ahead-with-decommissioning-downtown-heliport</v>
      </c>
    </row>
    <row r="482" spans="1:15" ht="39.6" x14ac:dyDescent="0.3">
      <c r="A482" s="2" t="s">
        <v>616</v>
      </c>
      <c r="B482" s="2" t="s">
        <v>1976</v>
      </c>
      <c r="C482" s="2" t="s">
        <v>1977</v>
      </c>
      <c r="D482" s="2" t="s">
        <v>1978</v>
      </c>
      <c r="E482" s="2" t="str">
        <f>HYPERLINK("http://twitter.com/ryanmartin")</f>
        <v>http://twitter.com/ryanmartin</v>
      </c>
      <c r="F482" s="2" t="str">
        <f>HYPERLINK("https://muckrack.com/ryanmartin")</f>
        <v>https://muckrack.com/ryanmartin</v>
      </c>
      <c r="G482" s="2">
        <v>11135</v>
      </c>
      <c r="H482" s="2" t="s">
        <v>1972</v>
      </c>
      <c r="I482" s="2" t="s">
        <v>1979</v>
      </c>
      <c r="J482" s="2" t="s">
        <v>1954</v>
      </c>
      <c r="K482" s="2" t="s">
        <v>1974</v>
      </c>
      <c r="L482" s="2" t="s">
        <v>3183</v>
      </c>
      <c r="M482" s="5">
        <v>45443.559571759259</v>
      </c>
      <c r="N482" s="2" t="str">
        <f>HYPERLINK("http://twitter.com/ryanmartin/status/1796593931712593978")</f>
        <v>http://twitter.com/ryanmartin/status/1796593931712593978</v>
      </c>
      <c r="O482" s="2" t="str">
        <f>HYPERLINK("https://www.ibj.com/articles/airport-authority-moving-ahead-with-decommissioning-downtown-heliport")</f>
        <v>https://www.ibj.com/articles/airport-authority-moving-ahead-with-decommissioning-downtown-heliport</v>
      </c>
    </row>
    <row r="483" spans="1:15" ht="52.8" x14ac:dyDescent="0.3">
      <c r="A483" s="2" t="s">
        <v>3184</v>
      </c>
      <c r="B483" s="2" t="s">
        <v>3185</v>
      </c>
      <c r="C483" s="2" t="s">
        <v>3186</v>
      </c>
      <c r="D483" s="2" t="s">
        <v>3187</v>
      </c>
      <c r="E483" s="2" t="str">
        <f>HYPERLINK("http://twitter.com/317lindquist")</f>
        <v>http://twitter.com/317lindquist</v>
      </c>
      <c r="F483" s="2" t="str">
        <f>HYPERLINK("https://muckrack.com/317lindquist")</f>
        <v>https://muckrack.com/317lindquist</v>
      </c>
      <c r="G483" s="2">
        <v>23498</v>
      </c>
      <c r="H483" s="2" t="s">
        <v>2132</v>
      </c>
      <c r="I483" s="2" t="s">
        <v>3188</v>
      </c>
      <c r="J483" s="2" t="s">
        <v>3189</v>
      </c>
      <c r="K483" s="2" t="s">
        <v>3190</v>
      </c>
      <c r="L483" s="2" t="s">
        <v>3183</v>
      </c>
      <c r="M483" s="5">
        <v>45443.632696759261</v>
      </c>
      <c r="N483" s="2" t="str">
        <f>HYPERLINK("http://twitter.com/317lindquist/status/1796620433183105041")</f>
        <v>http://twitter.com/317lindquist/status/1796620433183105041</v>
      </c>
      <c r="O483" s="2" t="str">
        <f>HYPERLINK("https://www.ibj.com/articles/airport-authority-moving-ahead-with-decommissioning-downtown-heliport")</f>
        <v>https://www.ibj.com/articles/airport-authority-moving-ahead-with-decommissioning-downtown-heliport</v>
      </c>
    </row>
    <row r="484" spans="1:15" ht="52.8" x14ac:dyDescent="0.3">
      <c r="A484" s="2" t="s">
        <v>3191</v>
      </c>
      <c r="B484" s="2" t="s">
        <v>3192</v>
      </c>
      <c r="C484" s="2" t="s">
        <v>3193</v>
      </c>
      <c r="D484" s="2" t="s">
        <v>3194</v>
      </c>
      <c r="E484" s="2" t="str">
        <f>HYPERLINK("http://twitter.com/Schultz975")</f>
        <v>http://twitter.com/Schultz975</v>
      </c>
      <c r="F484" s="2" t="str">
        <f>HYPERLINK("https://muckrack.com/derek-schultz")</f>
        <v>https://muckrack.com/derek-schultz</v>
      </c>
      <c r="G484" s="2">
        <v>19979</v>
      </c>
      <c r="H484" s="2" t="s">
        <v>3195</v>
      </c>
      <c r="I484" s="2" t="s">
        <v>3196</v>
      </c>
      <c r="J484" s="2" t="s">
        <v>2327</v>
      </c>
      <c r="K484" s="2" t="s">
        <v>3197</v>
      </c>
      <c r="L484" s="2" t="s">
        <v>3183</v>
      </c>
      <c r="M484" s="5">
        <v>45443.650335648148</v>
      </c>
      <c r="N484" s="2" t="str">
        <f>HYPERLINK("http://twitter.com/Schultz975/status/1796626825889644690")</f>
        <v>http://twitter.com/Schultz975/status/1796626825889644690</v>
      </c>
      <c r="O484" s="2" t="str">
        <f>HYPERLINK("https://www.ibj.com/articles/airport-authority-moving-ahead-with-decommissioning-downtown-heliport")</f>
        <v>https://www.ibj.com/articles/airport-authority-moving-ahead-with-decommissioning-downtown-heliport</v>
      </c>
    </row>
    <row r="485" spans="1:15" ht="39.6" x14ac:dyDescent="0.3">
      <c r="A485" s="2" t="s">
        <v>2151</v>
      </c>
      <c r="B485" s="2" t="s">
        <v>1949</v>
      </c>
      <c r="C485" s="2" t="s">
        <v>2152</v>
      </c>
      <c r="D485" s="2" t="s">
        <v>2153</v>
      </c>
      <c r="E485" s="2" t="str">
        <f>HYPERLINK("http://twitter.com/tonykatz")</f>
        <v>http://twitter.com/tonykatz</v>
      </c>
      <c r="F485" s="2" t="str">
        <f>HYPERLINK("https://muckrack.com/tony-katz")</f>
        <v>https://muckrack.com/tony-katz</v>
      </c>
      <c r="G485" s="2">
        <v>41898</v>
      </c>
      <c r="H485" s="2" t="s">
        <v>2154</v>
      </c>
      <c r="I485" s="2" t="s">
        <v>2155</v>
      </c>
      <c r="J485" s="2" t="s">
        <v>1954</v>
      </c>
      <c r="K485" s="2" t="s">
        <v>2156</v>
      </c>
      <c r="L485" s="2" t="s">
        <v>3198</v>
      </c>
      <c r="M485" s="5">
        <v>45442.521469907413</v>
      </c>
      <c r="N485" s="2" t="str">
        <f>HYPERLINK("http://twitter.com/tonykatz/status/1796217736000880686")</f>
        <v>http://twitter.com/tonykatz/status/1796217736000880686</v>
      </c>
      <c r="O485" s="2" t="str">
        <f>HYPERLINK("https://wibc.com/352333/why-are-so-many-people-so-incurious-about-joe-hogsett-going-rogue/")</f>
        <v>https://wibc.com/352333/why-are-so-many-people-so-incurious-about-joe-hogsett-going-rogue/</v>
      </c>
    </row>
    <row r="486" spans="1:15" ht="52.8" x14ac:dyDescent="0.3">
      <c r="A486" s="2" t="s">
        <v>679</v>
      </c>
      <c r="B486" s="2" t="s">
        <v>2172</v>
      </c>
      <c r="C486" s="2" t="s">
        <v>2496</v>
      </c>
      <c r="D486" s="2" t="s">
        <v>2497</v>
      </c>
      <c r="E486" s="2" t="str">
        <f>HYPERLINK("http://twitter.com/DanaBenbow")</f>
        <v>http://twitter.com/DanaBenbow</v>
      </c>
      <c r="F486" s="2" t="str">
        <f>HYPERLINK("https://muckrack.com/danabenbow")</f>
        <v>https://muckrack.com/danabenbow</v>
      </c>
      <c r="G486" s="2">
        <v>6968</v>
      </c>
      <c r="H486" s="2" t="s">
        <v>2132</v>
      </c>
      <c r="I486" s="2" t="s">
        <v>2498</v>
      </c>
      <c r="J486" s="2" t="s">
        <v>2499</v>
      </c>
      <c r="K486" s="2" t="s">
        <v>321</v>
      </c>
      <c r="L486" s="2" t="s">
        <v>3199</v>
      </c>
      <c r="M486" s="5">
        <v>45442.388252314813</v>
      </c>
      <c r="N486" s="2" t="str">
        <f>HYPERLINK("http://twitter.com/DanaBenbow/status/1796169460786635106")</f>
        <v>http://twitter.com/DanaBenbow/status/1796169460786635106</v>
      </c>
      <c r="O486" s="2" t="str">
        <f>HYPERLINK("https://www.indystar.com/story/sports/2024/05/30/scott-alan-beloved-indy-sports-emcee-for-fuel-indians-eleven-dies/73902237007/")</f>
        <v>https://www.indystar.com/story/sports/2024/05/30/scott-alan-beloved-indy-sports-emcee-for-fuel-indians-eleven-dies/73902237007/</v>
      </c>
    </row>
    <row r="487" spans="1:15" ht="52.8" x14ac:dyDescent="0.3">
      <c r="A487" s="2" t="s">
        <v>3152</v>
      </c>
      <c r="B487" s="2" t="s">
        <v>3153</v>
      </c>
      <c r="C487" s="2" t="s">
        <v>3154</v>
      </c>
      <c r="D487" s="2" t="s">
        <v>3155</v>
      </c>
      <c r="E487" s="2" t="str">
        <f>HYPERLINK("http://twitter.com/ZachOsterman")</f>
        <v>http://twitter.com/ZachOsterman</v>
      </c>
      <c r="F487" s="2" t="str">
        <f>HYPERLINK("https://muckrack.com/zach-osterman")</f>
        <v>https://muckrack.com/zach-osterman</v>
      </c>
      <c r="G487" s="2">
        <v>39409</v>
      </c>
      <c r="H487" s="2" t="s">
        <v>3156</v>
      </c>
      <c r="I487" s="2" t="s">
        <v>3157</v>
      </c>
      <c r="J487" s="2" t="s">
        <v>2000</v>
      </c>
      <c r="K487" s="2" t="s">
        <v>321</v>
      </c>
      <c r="L487" s="2" t="s">
        <v>3200</v>
      </c>
      <c r="M487" s="5">
        <v>45442.39634259259</v>
      </c>
      <c r="N487" s="2" t="str">
        <f>HYPERLINK("http://twitter.com/ZachOsterman/status/1796172393334878435")</f>
        <v>http://twitter.com/ZachOsterman/status/1796172393334878435</v>
      </c>
      <c r="O487" s="2" t="str">
        <f>HYPERLINK("https://www.indystar.com/story/sports/2024/05/30/scott-alan-beloved-indy-sports-emcee-for-fuel-indians-eleven-dies/73902237007/")</f>
        <v>https://www.indystar.com/story/sports/2024/05/30/scott-alan-beloved-indy-sports-emcee-for-fuel-indians-eleven-dies/73902237007/</v>
      </c>
    </row>
    <row r="488" spans="1:15" ht="52.8" x14ac:dyDescent="0.3">
      <c r="A488" s="2" t="s">
        <v>966</v>
      </c>
      <c r="B488" s="2" t="s">
        <v>2311</v>
      </c>
      <c r="C488" s="2" t="s">
        <v>2908</v>
      </c>
      <c r="D488" s="2" t="s">
        <v>2909</v>
      </c>
      <c r="E488" s="2" t="str">
        <f>HYPERLINK("http://twitter.com/Ty_Fenwick")</f>
        <v>http://twitter.com/Ty_Fenwick</v>
      </c>
      <c r="F488" s="2" t="str">
        <f>HYPERLINK("https://muckrack.com/tyler-fenwick-1")</f>
        <v>https://muckrack.com/tyler-fenwick-1</v>
      </c>
      <c r="G488" s="2">
        <v>1519</v>
      </c>
      <c r="H488" s="2" t="s">
        <v>1972</v>
      </c>
      <c r="I488" s="2" t="s">
        <v>2910</v>
      </c>
      <c r="J488" s="2" t="s">
        <v>2911</v>
      </c>
      <c r="K488" s="2" t="s">
        <v>1974</v>
      </c>
      <c r="L488" s="2" t="s">
        <v>3201</v>
      </c>
      <c r="M488" s="5">
        <v>45441.623888888891</v>
      </c>
      <c r="N488" s="2" t="str">
        <f>HYPERLINK("http://twitter.com/Ty_Fenwick/status/1795892464449921044")</f>
        <v>http://twitter.com/Ty_Fenwick/status/1795892464449921044</v>
      </c>
      <c r="O488" s="2" t="str">
        <f>HYPERLINK("https://mirrorindy.org/mls-soccer-stadium-eleven-park-joe-hogsett-indy-eleven-keystone-group/")</f>
        <v>https://mirrorindy.org/mls-soccer-stadium-eleven-park-joe-hogsett-indy-eleven-keystone-group/</v>
      </c>
    </row>
    <row r="489" spans="1:15" ht="39.6" x14ac:dyDescent="0.3">
      <c r="A489" s="2" t="s">
        <v>1569</v>
      </c>
      <c r="B489" s="2" t="s">
        <v>3019</v>
      </c>
      <c r="C489" s="2" t="s">
        <v>3020</v>
      </c>
      <c r="D489" s="2" t="s">
        <v>3021</v>
      </c>
      <c r="E489" s="2" t="str">
        <f>HYPERLINK("http://twitter.com/peterlblanchard")</f>
        <v>http://twitter.com/peterlblanchard</v>
      </c>
      <c r="F489" s="2" t="str">
        <f>HYPERLINK("https://muckrack.com/peterblanchard")</f>
        <v>https://muckrack.com/peterblanchard</v>
      </c>
      <c r="G489" s="2">
        <v>1926</v>
      </c>
      <c r="H489" s="2" t="s">
        <v>1972</v>
      </c>
      <c r="I489" s="2" t="s">
        <v>3022</v>
      </c>
      <c r="J489" s="2" t="s">
        <v>3023</v>
      </c>
      <c r="K489" s="2" t="s">
        <v>132</v>
      </c>
      <c r="L489" s="2" t="s">
        <v>3202</v>
      </c>
      <c r="M489" s="5">
        <v>45441.624027777783</v>
      </c>
      <c r="N489" s="2" t="str">
        <f>HYPERLINK("http://twitter.com/peterlblanchard/status/1795892514651550068")</f>
        <v>http://twitter.com/peterlblanchard/status/1795892514651550068</v>
      </c>
      <c r="O489" s="2" t="str">
        <f>HYPERLINK("https://mirrorindy.org/mls-soccer-stadium-eleven-park-joe-hogsett-indy-eleven-keystone-group/")</f>
        <v>https://mirrorindy.org/mls-soccer-stadium-eleven-park-joe-hogsett-indy-eleven-keystone-group/</v>
      </c>
    </row>
    <row r="490" spans="1:15" ht="39.6" x14ac:dyDescent="0.3">
      <c r="A490" s="2" t="s">
        <v>107</v>
      </c>
      <c r="B490" s="2" t="s">
        <v>1969</v>
      </c>
      <c r="C490" s="2" t="s">
        <v>1970</v>
      </c>
      <c r="D490" s="2" t="s">
        <v>1971</v>
      </c>
      <c r="E490" s="2" t="str">
        <f>HYPERLINK("http://twitter.com/indyemapolis")</f>
        <v>http://twitter.com/indyemapolis</v>
      </c>
      <c r="F490" s="2" t="str">
        <f>HYPERLINK("https://muckrack.com/emily-hopkins-2")</f>
        <v>https://muckrack.com/emily-hopkins-2</v>
      </c>
      <c r="G490" s="2">
        <v>3414</v>
      </c>
      <c r="H490" s="2" t="s">
        <v>1972</v>
      </c>
      <c r="I490" s="2" t="s">
        <v>1973</v>
      </c>
      <c r="J490" s="2" t="s">
        <v>1954</v>
      </c>
      <c r="K490" s="2" t="s">
        <v>1974</v>
      </c>
      <c r="L490" s="2" t="s">
        <v>3202</v>
      </c>
      <c r="M490" s="5">
        <v>45441.624780092592</v>
      </c>
      <c r="N490" s="2" t="str">
        <f>HYPERLINK("http://twitter.com/indyemapolis/status/1795892788694810854")</f>
        <v>http://twitter.com/indyemapolis/status/1795892788694810854</v>
      </c>
      <c r="O490" s="2" t="str">
        <f>HYPERLINK("https://mirrorindy.org/mls-soccer-stadium-eleven-park-joe-hogsett-indy-eleven-keystone-group/")</f>
        <v>https://mirrorindy.org/mls-soccer-stadium-eleven-park-joe-hogsett-indy-eleven-keystone-group/</v>
      </c>
    </row>
    <row r="491" spans="1:15" ht="52.8" x14ac:dyDescent="0.3">
      <c r="A491" s="2" t="s">
        <v>618</v>
      </c>
      <c r="B491" s="2" t="s">
        <v>2061</v>
      </c>
      <c r="C491" s="2" t="s">
        <v>3203</v>
      </c>
      <c r="D491" s="2" t="s">
        <v>3204</v>
      </c>
      <c r="E491" s="2" t="str">
        <f>HYPERLINK("http://twitter.com/carleylanich")</f>
        <v>http://twitter.com/carleylanich</v>
      </c>
      <c r="F491" s="2" t="str">
        <f>HYPERLINK("https://muckrack.com/carley-lanich")</f>
        <v>https://muckrack.com/carley-lanich</v>
      </c>
      <c r="G491" s="2">
        <v>1722</v>
      </c>
      <c r="H491" s="2" t="s">
        <v>2132</v>
      </c>
      <c r="I491" s="2" t="s">
        <v>3205</v>
      </c>
      <c r="J491" s="2" t="s">
        <v>3206</v>
      </c>
      <c r="K491" s="2" t="s">
        <v>1974</v>
      </c>
      <c r="L491" s="2" t="s">
        <v>3202</v>
      </c>
      <c r="M491" s="5">
        <v>45441.630173611113</v>
      </c>
      <c r="N491" s="2" t="str">
        <f>HYPERLINK("http://twitter.com/carleylanich/status/1795894742825201859")</f>
        <v>http://twitter.com/carleylanich/status/1795894742825201859</v>
      </c>
      <c r="O491" s="2" t="str">
        <f>HYPERLINK("https://mirrorindy.org/mls-soccer-stadium-eleven-park-joe-hogsett-indy-eleven-keystone-group/")</f>
        <v>https://mirrorindy.org/mls-soccer-stadium-eleven-park-joe-hogsett-indy-eleven-keystone-group/</v>
      </c>
    </row>
    <row r="492" spans="1:15" ht="66" x14ac:dyDescent="0.3">
      <c r="A492" s="2" t="s">
        <v>2119</v>
      </c>
      <c r="B492" s="2" t="s">
        <v>2120</v>
      </c>
      <c r="C492" s="2" t="s">
        <v>2121</v>
      </c>
      <c r="D492" s="2" t="s">
        <v>2122</v>
      </c>
      <c r="E492" s="2" t="str">
        <f>HYPERLINK("http://twitter.com/starwatchtim")</f>
        <v>http://twitter.com/starwatchtim</v>
      </c>
      <c r="F492" s="2" t="str">
        <f>HYPERLINK("https://muckrack.com/starwatchtim")</f>
        <v>https://muckrack.com/starwatchtim</v>
      </c>
      <c r="G492" s="2">
        <v>7285</v>
      </c>
      <c r="H492" s="2" t="s">
        <v>2123</v>
      </c>
      <c r="I492" s="2" t="s">
        <v>2124</v>
      </c>
      <c r="J492" s="2" t="s">
        <v>2125</v>
      </c>
      <c r="K492" s="2" t="s">
        <v>321</v>
      </c>
      <c r="L492" s="2" t="s">
        <v>3207</v>
      </c>
      <c r="M492" s="5">
        <v>45441.559884259259</v>
      </c>
      <c r="N492" s="2" t="str">
        <f>HYPERLINK("http://twitter.com/starwatchtim/status/1795869269722304580")</f>
        <v>http://twitter.com/starwatchtim/status/1795869269722304580</v>
      </c>
      <c r="O492" s="2" t="str">
        <f>HYPERLINK("https://www.indystar.com/story/opinion/columnists/james-briggs/2024/05/29/indianapolis-council-vote-on-mls-plan-shows-the-city-wants-pro-soccer/73894269007/")</f>
        <v>https://www.indystar.com/story/opinion/columnists/james-briggs/2024/05/29/indianapolis-council-vote-on-mls-plan-shows-the-city-wants-pro-soccer/73894269007/</v>
      </c>
    </row>
    <row r="493" spans="1:15" ht="66" x14ac:dyDescent="0.3">
      <c r="A493" s="2" t="s">
        <v>3152</v>
      </c>
      <c r="B493" s="2" t="s">
        <v>3153</v>
      </c>
      <c r="C493" s="2" t="s">
        <v>3154</v>
      </c>
      <c r="D493" s="2" t="s">
        <v>3155</v>
      </c>
      <c r="E493" s="2" t="str">
        <f>HYPERLINK("http://twitter.com/ZachOsterman")</f>
        <v>http://twitter.com/ZachOsterman</v>
      </c>
      <c r="F493" s="2" t="str">
        <f>HYPERLINK("https://muckrack.com/zach-osterman")</f>
        <v>https://muckrack.com/zach-osterman</v>
      </c>
      <c r="G493" s="2">
        <v>39409</v>
      </c>
      <c r="H493" s="2" t="s">
        <v>3156</v>
      </c>
      <c r="I493" s="2" t="s">
        <v>3157</v>
      </c>
      <c r="J493" s="2" t="s">
        <v>2000</v>
      </c>
      <c r="K493" s="2" t="s">
        <v>321</v>
      </c>
      <c r="L493" s="2" t="s">
        <v>3208</v>
      </c>
      <c r="M493" s="5">
        <v>45441.561388888891</v>
      </c>
      <c r="N493" s="2" t="str">
        <f>HYPERLINK("http://twitter.com/ZachOsterman/status/1795869816277917910")</f>
        <v>http://twitter.com/ZachOsterman/status/1795869816277917910</v>
      </c>
      <c r="O493" s="2" t="str">
        <f>HYPERLINK("https://www.indystar.com/story/opinion/columnists/james-briggs/2024/05/29/indianapolis-council-vote-on-mls-plan-shows-the-city-wants-pro-soccer/73894269007/")</f>
        <v>https://www.indystar.com/story/opinion/columnists/james-briggs/2024/05/29/indianapolis-council-vote-on-mls-plan-shows-the-city-wants-pro-soccer/73894269007/</v>
      </c>
    </row>
    <row r="494" spans="1:15" ht="66" x14ac:dyDescent="0.3">
      <c r="A494" s="2" t="s">
        <v>2436</v>
      </c>
      <c r="B494" s="2" t="s">
        <v>2437</v>
      </c>
      <c r="C494" s="2" t="s">
        <v>2438</v>
      </c>
      <c r="D494" s="2" t="s">
        <v>2439</v>
      </c>
      <c r="E494" s="2" t="str">
        <f>HYPERLINK("http://twitter.com/MattGlenesk")</f>
        <v>http://twitter.com/MattGlenesk</v>
      </c>
      <c r="F494" s="2" t="str">
        <f>HYPERLINK("https://muckrack.com/matthew-glenesk")</f>
        <v>https://muckrack.com/matthew-glenesk</v>
      </c>
      <c r="G494" s="2">
        <v>8773</v>
      </c>
      <c r="H494" s="2" t="s">
        <v>2440</v>
      </c>
      <c r="I494" s="2" t="s">
        <v>2441</v>
      </c>
      <c r="J494" s="2" t="s">
        <v>2000</v>
      </c>
      <c r="K494" s="2" t="s">
        <v>321</v>
      </c>
      <c r="L494" s="2" t="s">
        <v>3209</v>
      </c>
      <c r="M494" s="5">
        <v>45441.91028935185</v>
      </c>
      <c r="N494" s="2" t="str">
        <f>HYPERLINK("http://twitter.com/MattGlenesk/status/1795996255044149526")</f>
        <v>http://twitter.com/MattGlenesk/status/1795996255044149526</v>
      </c>
      <c r="O494" s="2" t="str">
        <f>HYPERLINK("https://www.indystar.com/story/opinion/columnists/james-briggs/2024/05/29/indianapolis-council-vote-on-mls-plan-shows-the-city-wants-pro-soccer/73894269007/")</f>
        <v>https://www.indystar.com/story/opinion/columnists/james-briggs/2024/05/29/indianapolis-council-vote-on-mls-plan-shows-the-city-wants-pro-soccer/73894269007/</v>
      </c>
    </row>
    <row r="495" spans="1:15" ht="66" x14ac:dyDescent="0.3">
      <c r="A495" s="2" t="s">
        <v>2390</v>
      </c>
      <c r="B495" s="2" t="s">
        <v>2036</v>
      </c>
      <c r="C495" s="2" t="s">
        <v>2391</v>
      </c>
      <c r="D495" s="2" t="s">
        <v>2392</v>
      </c>
      <c r="E495" s="2" t="str">
        <f>HYPERLINK("http://twitter.com/GreggDoyelStar")</f>
        <v>http://twitter.com/GreggDoyelStar</v>
      </c>
      <c r="F495" s="2" t="str">
        <f>HYPERLINK("https://muckrack.com/greggdoyelstar")</f>
        <v>https://muckrack.com/greggdoyelstar</v>
      </c>
      <c r="G495" s="2">
        <v>92219</v>
      </c>
      <c r="H495" s="2" t="s">
        <v>1972</v>
      </c>
      <c r="I495" s="2" t="s">
        <v>2393</v>
      </c>
      <c r="J495" s="2" t="s">
        <v>2000</v>
      </c>
      <c r="K495" s="2" t="s">
        <v>321</v>
      </c>
      <c r="L495" s="2" t="s">
        <v>3210</v>
      </c>
      <c r="M495" s="5">
        <v>45443.632604166669</v>
      </c>
      <c r="N495" s="2" t="str">
        <f>HYPERLINK("http://twitter.com/GreggDoyelStar/status/1796620401130250624")</f>
        <v>http://twitter.com/GreggDoyelStar/status/1796620401130250624</v>
      </c>
      <c r="O495" s="2" t="str">
        <f>HYPERLINK("https://www.indystar.com/story/opinion/columnists/james-briggs/2024/05/29/indianapolis-council-vote-on-mls-plan-shows-the-city-wants-pro-soccer/73894269007/")</f>
        <v>https://www.indystar.com/story/opinion/columnists/james-briggs/2024/05/29/indianapolis-council-vote-on-mls-plan-shows-the-city-wants-pro-soccer/73894269007/</v>
      </c>
    </row>
    <row r="496" spans="1:15" ht="66" x14ac:dyDescent="0.3">
      <c r="A496" s="2" t="s">
        <v>3211</v>
      </c>
      <c r="B496" s="2" t="s">
        <v>3212</v>
      </c>
      <c r="C496" s="2" t="s">
        <v>3213</v>
      </c>
      <c r="D496" s="2" t="s">
        <v>3214</v>
      </c>
      <c r="E496" s="2" t="str">
        <f>HYPERLINK("http://twitter.com/DustinDopirak")</f>
        <v>http://twitter.com/DustinDopirak</v>
      </c>
      <c r="F496" s="2" t="str">
        <f>HYPERLINK("https://muckrack.com/dustin-dopirak")</f>
        <v>https://muckrack.com/dustin-dopirak</v>
      </c>
      <c r="G496" s="2">
        <v>16969</v>
      </c>
      <c r="H496" s="2" t="s">
        <v>1972</v>
      </c>
      <c r="I496" s="2" t="s">
        <v>3215</v>
      </c>
      <c r="J496" s="2" t="s">
        <v>2000</v>
      </c>
      <c r="K496" s="2" t="s">
        <v>321</v>
      </c>
      <c r="L496" s="2" t="s">
        <v>3210</v>
      </c>
      <c r="M496" s="5">
        <v>45443.632870370369</v>
      </c>
      <c r="N496" s="2" t="str">
        <f>HYPERLINK("http://twitter.com/DustinDopirak/status/1796620494629683471")</f>
        <v>http://twitter.com/DustinDopirak/status/1796620494629683471</v>
      </c>
      <c r="O496" s="2" t="str">
        <f>HYPERLINK("https://www.indystar.com/story/opinion/columnists/james-briggs/2024/05/29/indianapolis-council-vote-on-mls-plan-shows-the-city-wants-pro-soccer/73894269007/")</f>
        <v>https://www.indystar.com/story/opinion/columnists/james-briggs/2024/05/29/indianapolis-council-vote-on-mls-plan-shows-the-city-wants-pro-soccer/73894269007/</v>
      </c>
    </row>
    <row r="497" spans="1:15" ht="39.6" x14ac:dyDescent="0.3">
      <c r="A497" s="2" t="s">
        <v>2531</v>
      </c>
      <c r="B497" s="2" t="s">
        <v>2532</v>
      </c>
      <c r="C497" s="2"/>
      <c r="D497" s="2" t="s">
        <v>2533</v>
      </c>
      <c r="E497" s="2" t="str">
        <f>HYPERLINK("http://twitter.com/fangsbites")</f>
        <v>http://twitter.com/fangsbites</v>
      </c>
      <c r="F497" s="2" t="str">
        <f>HYPERLINK("https://muckrack.com/ken-fang")</f>
        <v>https://muckrack.com/ken-fang</v>
      </c>
      <c r="G497" s="2">
        <v>8124</v>
      </c>
      <c r="H497" s="2" t="s">
        <v>2534</v>
      </c>
      <c r="I497" s="2" t="s">
        <v>2535</v>
      </c>
      <c r="J497" s="2" t="s">
        <v>2033</v>
      </c>
      <c r="K497" s="2" t="s">
        <v>694</v>
      </c>
      <c r="L497" s="2" t="s">
        <v>3216</v>
      </c>
      <c r="M497" s="5">
        <v>45441.522604166668</v>
      </c>
      <c r="N497" s="2" t="str">
        <f>HYPERLINK("http://twitter.com/fangsbites/status/1795855761895207194")</f>
        <v>http://twitter.com/fangsbites/status/1795855761895207194</v>
      </c>
      <c r="O497" s="2" t="str">
        <f>HYPERLINK("https://awfulannouncing.com/hockey/scott-alan-indianapolis-pa-announcer-tributes.html")</f>
        <v>https://awfulannouncing.com/hockey/scott-alan-indianapolis-pa-announcer-tributes.html</v>
      </c>
    </row>
    <row r="498" spans="1:15" ht="39.6" x14ac:dyDescent="0.3">
      <c r="A498" s="2" t="s">
        <v>3217</v>
      </c>
      <c r="B498" s="2" t="s">
        <v>2297</v>
      </c>
      <c r="C498" s="2" t="s">
        <v>3218</v>
      </c>
      <c r="D498" s="2" t="s">
        <v>3219</v>
      </c>
      <c r="E498" s="2" t="str">
        <f>HYPERLINK("http://twitter.com/Sam_Neumann_")</f>
        <v>http://twitter.com/Sam_Neumann_</v>
      </c>
      <c r="F498" s="2" t="str">
        <f>HYPERLINK("https://muckrack.com/sam-neumann")</f>
        <v>https://muckrack.com/sam-neumann</v>
      </c>
      <c r="G498" s="2">
        <v>2644</v>
      </c>
      <c r="H498" s="2" t="s">
        <v>3220</v>
      </c>
      <c r="I498" s="2" t="s">
        <v>3221</v>
      </c>
      <c r="J498" s="2" t="s">
        <v>2033</v>
      </c>
      <c r="K498" s="2" t="s">
        <v>3222</v>
      </c>
      <c r="L498" s="2" t="s">
        <v>3223</v>
      </c>
      <c r="M498" s="5">
        <v>45441.527638888889</v>
      </c>
      <c r="N498" s="2" t="str">
        <f>HYPERLINK("http://twitter.com/Sam_Neumann_/status/1795857586350080438")</f>
        <v>http://twitter.com/Sam_Neumann_/status/1795857586350080438</v>
      </c>
      <c r="O498" s="2" t="str">
        <f>HYPERLINK("https://awfulannouncing.com/hockey/scott-alan-indianapolis-pa-announcer-tributes.html")</f>
        <v>https://awfulannouncing.com/hockey/scott-alan-indianapolis-pa-announcer-tributes.html</v>
      </c>
    </row>
    <row r="499" spans="1:15" ht="66" x14ac:dyDescent="0.3">
      <c r="A499" s="2" t="s">
        <v>3224</v>
      </c>
      <c r="B499" s="2" t="s">
        <v>3225</v>
      </c>
      <c r="C499" s="2" t="s">
        <v>3226</v>
      </c>
      <c r="D499" s="2" t="s">
        <v>3227</v>
      </c>
      <c r="E499" s="2" t="str">
        <f>HYPERLINK("http://twitter.com/JRbroadcaster")</f>
        <v>http://twitter.com/JRbroadcaster</v>
      </c>
      <c r="F499" s="2" t="str">
        <f>HYPERLINK("https://muckrack.com/john-rooke")</f>
        <v>https://muckrack.com/john-rooke</v>
      </c>
      <c r="G499" s="2">
        <v>6942</v>
      </c>
      <c r="H499" s="2" t="s">
        <v>3228</v>
      </c>
      <c r="I499" s="2" t="s">
        <v>3229</v>
      </c>
      <c r="J499" s="2" t="s">
        <v>1929</v>
      </c>
      <c r="K499" s="2" t="s">
        <v>3230</v>
      </c>
      <c r="L499" s="2" t="s">
        <v>3231</v>
      </c>
      <c r="M499" s="5">
        <v>45441.38789351852</v>
      </c>
      <c r="N499" s="2" t="str">
        <f>HYPERLINK("http://twitter.com/JRbroadcaster/status/1795806943547727895")</f>
        <v>http://twitter.com/JRbroadcaster/status/1795806943547727895</v>
      </c>
      <c r="O499" s="2" t="str">
        <f>HYPERLINK("https://www.rhodeislandfc.com/news/rhode-island-fc-match-at-detroit-city-fc-to-broadcast-on-cbs-television-network/")</f>
        <v>https://www.rhodeislandfc.com/news/rhode-island-fc-match-at-detroit-city-fc-to-broadcast-on-cbs-television-network/</v>
      </c>
    </row>
    <row r="500" spans="1:15" ht="52.8" x14ac:dyDescent="0.3">
      <c r="A500" s="2" t="s">
        <v>1152</v>
      </c>
      <c r="B500" s="2" t="s">
        <v>3232</v>
      </c>
      <c r="C500" s="2" t="s">
        <v>3233</v>
      </c>
      <c r="D500" s="2" t="s">
        <v>3234</v>
      </c>
      <c r="E500" s="2" t="str">
        <f>HYPERLINK("http://twitter.com/HannaMordoh")</f>
        <v>http://twitter.com/HannaMordoh</v>
      </c>
      <c r="F500" s="2" t="str">
        <f>HYPERLINK("https://muckrack.com/hanna-mordoh")</f>
        <v>https://muckrack.com/hanna-mordoh</v>
      </c>
      <c r="G500" s="2">
        <v>4688</v>
      </c>
      <c r="H500" s="2" t="s">
        <v>1972</v>
      </c>
      <c r="I500" s="2" t="s">
        <v>3235</v>
      </c>
      <c r="J500" s="2" t="s">
        <v>1954</v>
      </c>
      <c r="K500" s="2" t="s">
        <v>2283</v>
      </c>
      <c r="L500" s="2" t="s">
        <v>3236</v>
      </c>
      <c r="M500" s="5">
        <v>45441.222812499997</v>
      </c>
      <c r="N500" s="2" t="str">
        <f>HYPERLINK("http://twitter.com/HannaMordoh/status/1795747118684201134")</f>
        <v>http://twitter.com/HannaMordoh/status/1795747118684201134</v>
      </c>
      <c r="O500" s="2" t="str">
        <f>HYPERLINK("https://www.wishtv.com/news/local-news/scott-alan-announcer-for-indy-fuel-and-indy-eleven-dies-in-crash/")</f>
        <v>https://www.wishtv.com/news/local-news/scott-alan-announcer-for-indy-fuel-and-indy-eleven-dies-in-crash/</v>
      </c>
    </row>
    <row r="501" spans="1:15" ht="39.6" x14ac:dyDescent="0.3">
      <c r="A501" s="2" t="s">
        <v>3237</v>
      </c>
      <c r="B501" s="2" t="s">
        <v>3238</v>
      </c>
      <c r="C501" s="2" t="s">
        <v>3239</v>
      </c>
      <c r="D501" s="2" t="s">
        <v>3240</v>
      </c>
      <c r="E501" s="2" t="str">
        <f>HYPERLINK("http://twitter.com/NicoleGriffinTV")</f>
        <v>http://twitter.com/NicoleGriffinTV</v>
      </c>
      <c r="F501" s="2" t="str">
        <f>HYPERLINK("https://muckrack.com/nicole-griffin-2")</f>
        <v>https://muckrack.com/nicole-griffin-2</v>
      </c>
      <c r="G501" s="2">
        <v>2854</v>
      </c>
      <c r="H501" s="2" t="s">
        <v>1972</v>
      </c>
      <c r="I501" s="2" t="s">
        <v>3241</v>
      </c>
      <c r="J501" s="2" t="s">
        <v>1954</v>
      </c>
      <c r="K501" s="2" t="s">
        <v>725</v>
      </c>
      <c r="L501" s="2" t="s">
        <v>3242</v>
      </c>
      <c r="M501" s="5">
        <v>45440.991886574076</v>
      </c>
      <c r="N501" s="2" t="str">
        <f>HYPERLINK("http://twitter.com/NicoleGriffinTV/status/1795663434786410576")</f>
        <v>http://twitter.com/NicoleGriffinTV/status/1795663434786410576</v>
      </c>
      <c r="O501" s="2" t="str">
        <f>HYPERLINK("https://www.wrtv.com/sports/scott-alan-long-time-indianapolis-sports-emcee-dies")</f>
        <v>https://www.wrtv.com/sports/scott-alan-long-time-indianapolis-sports-emcee-dies</v>
      </c>
    </row>
    <row r="502" spans="1:15" ht="39.6" x14ac:dyDescent="0.3">
      <c r="A502" s="2" t="s">
        <v>3243</v>
      </c>
      <c r="B502" s="2" t="s">
        <v>3244</v>
      </c>
      <c r="C502" s="2" t="s">
        <v>3245</v>
      </c>
      <c r="D502" s="2" t="s">
        <v>3246</v>
      </c>
      <c r="E502" s="2" t="str">
        <f>HYPERLINK("http://twitter.com/TimBathKT")</f>
        <v>http://twitter.com/TimBathKT</v>
      </c>
      <c r="F502" s="2" t="str">
        <f>HYPERLINK("https://muckrack.com/tim-bath")</f>
        <v>https://muckrack.com/tim-bath</v>
      </c>
      <c r="G502" s="2">
        <v>774</v>
      </c>
      <c r="H502" s="2"/>
      <c r="I502" s="2"/>
      <c r="J502" s="2" t="s">
        <v>1954</v>
      </c>
      <c r="K502" s="2" t="s">
        <v>1137</v>
      </c>
      <c r="L502" s="2" t="s">
        <v>3242</v>
      </c>
      <c r="M502" s="5">
        <v>45441.003275462957</v>
      </c>
      <c r="N502" s="2" t="str">
        <f>HYPERLINK("http://twitter.com/TimBathKT/status/1795667564074307802")</f>
        <v>http://twitter.com/TimBathKT/status/1795667564074307802</v>
      </c>
      <c r="O502" s="2" t="str">
        <f>HYPERLINK("https://www.wrtv.com/sports/scott-alan-long-time-indianapolis-sports-emcee-dies")</f>
        <v>https://www.wrtv.com/sports/scott-alan-long-time-indianapolis-sports-emcee-dies</v>
      </c>
    </row>
    <row r="503" spans="1:15" ht="52.8" x14ac:dyDescent="0.3">
      <c r="A503" s="2" t="s">
        <v>2119</v>
      </c>
      <c r="B503" s="2" t="s">
        <v>2120</v>
      </c>
      <c r="C503" s="2" t="s">
        <v>2121</v>
      </c>
      <c r="D503" s="2" t="s">
        <v>2122</v>
      </c>
      <c r="E503" s="2" t="str">
        <f>HYPERLINK("http://twitter.com/starwatchtim")</f>
        <v>http://twitter.com/starwatchtim</v>
      </c>
      <c r="F503" s="2" t="str">
        <f>HYPERLINK("https://muckrack.com/starwatchtim")</f>
        <v>https://muckrack.com/starwatchtim</v>
      </c>
      <c r="G503" s="2">
        <v>7285</v>
      </c>
      <c r="H503" s="2" t="s">
        <v>2123</v>
      </c>
      <c r="I503" s="2" t="s">
        <v>2124</v>
      </c>
      <c r="J503" s="2" t="s">
        <v>2125</v>
      </c>
      <c r="K503" s="2" t="s">
        <v>321</v>
      </c>
      <c r="L503" s="2" t="s">
        <v>3247</v>
      </c>
      <c r="M503" s="5">
        <v>45441.299768518518</v>
      </c>
      <c r="N503" s="2" t="str">
        <f>HYPERLINK("http://twitter.com/starwatchtim/status/1795775006796042573")</f>
        <v>http://twitter.com/starwatchtim/status/1795775006796042573</v>
      </c>
      <c r="O503" s="2" t="str">
        <f>HYPERLINK("https://www.indystar.com/story/news/local/2024/05/28/council-committee-passes-indianapolis-stadium-proposal-with-6-4-vote/73878832007/")</f>
        <v>https://www.indystar.com/story/news/local/2024/05/28/council-committee-passes-indianapolis-stadium-proposal-with-6-4-vote/73878832007/</v>
      </c>
    </row>
    <row r="504" spans="1:15" ht="52.8" x14ac:dyDescent="0.3">
      <c r="A504" s="2" t="s">
        <v>2119</v>
      </c>
      <c r="B504" s="2" t="s">
        <v>2120</v>
      </c>
      <c r="C504" s="2" t="s">
        <v>2121</v>
      </c>
      <c r="D504" s="2" t="s">
        <v>2122</v>
      </c>
      <c r="E504" s="2" t="str">
        <f>HYPERLINK("http://twitter.com/starwatchtim")</f>
        <v>http://twitter.com/starwatchtim</v>
      </c>
      <c r="F504" s="2" t="str">
        <f>HYPERLINK("https://muckrack.com/starwatchtim")</f>
        <v>https://muckrack.com/starwatchtim</v>
      </c>
      <c r="G504" s="2">
        <v>7285</v>
      </c>
      <c r="H504" s="2" t="s">
        <v>2123</v>
      </c>
      <c r="I504" s="2" t="s">
        <v>2124</v>
      </c>
      <c r="J504" s="2" t="s">
        <v>2125</v>
      </c>
      <c r="K504" s="2" t="s">
        <v>321</v>
      </c>
      <c r="L504" s="2" t="s">
        <v>3248</v>
      </c>
      <c r="M504" s="5">
        <v>45441.377222222232</v>
      </c>
      <c r="N504" s="2" t="str">
        <f>HYPERLINK("http://twitter.com/starwatchtim/status/1795803078299402361")</f>
        <v>http://twitter.com/starwatchtim/status/1795803078299402361</v>
      </c>
      <c r="O504" s="2" t="str">
        <f>HYPERLINK("https://www.indystar.com/story/news/local/2024/05/28/council-committee-passes-indianapolis-stadium-proposal-with-6-4-vote/73878832007/")</f>
        <v>https://www.indystar.com/story/news/local/2024/05/28/council-committee-passes-indianapolis-stadium-proposal-with-6-4-vote/73878832007/</v>
      </c>
    </row>
    <row r="505" spans="1:15" ht="52.8" x14ac:dyDescent="0.3">
      <c r="A505" s="2" t="s">
        <v>2128</v>
      </c>
      <c r="B505" s="2" t="s">
        <v>2129</v>
      </c>
      <c r="C505" s="2" t="s">
        <v>2130</v>
      </c>
      <c r="D505" s="2" t="s">
        <v>2131</v>
      </c>
      <c r="E505" s="2" t="str">
        <f>HYPERLINK("http://twitter.com/srudavsky")</f>
        <v>http://twitter.com/srudavsky</v>
      </c>
      <c r="F505" s="2" t="str">
        <f>HYPERLINK("https://muckrack.com/srudavsky")</f>
        <v>https://muckrack.com/srudavsky</v>
      </c>
      <c r="G505" s="2">
        <v>6405</v>
      </c>
      <c r="H505" s="2" t="s">
        <v>2132</v>
      </c>
      <c r="I505" s="2" t="s">
        <v>2133</v>
      </c>
      <c r="J505" s="2" t="s">
        <v>2134</v>
      </c>
      <c r="K505" s="2" t="s">
        <v>321</v>
      </c>
      <c r="L505" s="2" t="s">
        <v>3249</v>
      </c>
      <c r="M505" s="5">
        <v>45441.355694444443</v>
      </c>
      <c r="N505" s="2" t="str">
        <f>HYPERLINK("http://twitter.com/srudavsky/status/1795795275480502776")</f>
        <v>http://twitter.com/srudavsky/status/1795795275480502776</v>
      </c>
      <c r="O505" s="2" t="str">
        <f>HYPERLINK("https://www.indystar.com/story/news/local/2024/05/28/council-committee-passes-indianapolis-stadium-proposal-with-6-4-vote/73878832007/")</f>
        <v>https://www.indystar.com/story/news/local/2024/05/28/council-committee-passes-indianapolis-stadium-proposal-with-6-4-vote/73878832007/</v>
      </c>
    </row>
    <row r="506" spans="1:15" ht="52.8" x14ac:dyDescent="0.3">
      <c r="A506" s="2" t="s">
        <v>3250</v>
      </c>
      <c r="B506" s="2" t="s">
        <v>3251</v>
      </c>
      <c r="C506" s="2" t="s">
        <v>3252</v>
      </c>
      <c r="D506" s="2" t="s">
        <v>3253</v>
      </c>
      <c r="E506" s="2" t="str">
        <f>HYPERLINK("http://twitter.com/DomenicaReports")</f>
        <v>http://twitter.com/DomenicaReports</v>
      </c>
      <c r="F506" s="2" t="str">
        <f>HYPERLINK("https://muckrack.com/domenica-bongiovanni")</f>
        <v>https://muckrack.com/domenica-bongiovanni</v>
      </c>
      <c r="G506" s="2">
        <v>1915</v>
      </c>
      <c r="H506" s="2"/>
      <c r="I506" s="2" t="s">
        <v>3254</v>
      </c>
      <c r="J506" s="2" t="s">
        <v>3255</v>
      </c>
      <c r="K506" s="2" t="s">
        <v>321</v>
      </c>
      <c r="L506" s="2" t="s">
        <v>3248</v>
      </c>
      <c r="M506" s="5">
        <v>45441.485000000001</v>
      </c>
      <c r="N506" s="2" t="str">
        <f>HYPERLINK("http://twitter.com/DomenicaReports/status/1795842134920335709")</f>
        <v>http://twitter.com/DomenicaReports/status/1795842134920335709</v>
      </c>
      <c r="O506" s="2" t="str">
        <f>HYPERLINK("https://www.indystar.com/story/news/local/2024/05/28/council-committee-passes-indianapolis-stadium-proposal-with-6-4-vote/73878832007/")</f>
        <v>https://www.indystar.com/story/news/local/2024/05/28/council-committee-passes-indianapolis-stadium-proposal-with-6-4-vote/73878832007/</v>
      </c>
    </row>
    <row r="507" spans="1:15" ht="52.8" x14ac:dyDescent="0.3">
      <c r="A507" s="2" t="s">
        <v>3126</v>
      </c>
      <c r="B507" s="2" t="s">
        <v>3127</v>
      </c>
      <c r="C507" s="2" t="s">
        <v>3128</v>
      </c>
      <c r="D507" s="2" t="s">
        <v>3129</v>
      </c>
      <c r="E507" s="2" t="str">
        <f>HYPERLINK("http://twitter.com/DanSpehler")</f>
        <v>http://twitter.com/DanSpehler</v>
      </c>
      <c r="F507" s="2" t="str">
        <f>HYPERLINK("https://muckrack.com/danspehler")</f>
        <v>https://muckrack.com/danspehler</v>
      </c>
      <c r="G507" s="2">
        <v>5233</v>
      </c>
      <c r="H507" s="2" t="s">
        <v>1972</v>
      </c>
      <c r="I507" s="2" t="s">
        <v>3130</v>
      </c>
      <c r="J507" s="2" t="s">
        <v>2008</v>
      </c>
      <c r="K507" s="2" t="s">
        <v>147</v>
      </c>
      <c r="L507" s="2" t="s">
        <v>3256</v>
      </c>
      <c r="M507" s="5">
        <v>45441.575277777767</v>
      </c>
      <c r="N507" s="2" t="str">
        <f>HYPERLINK("http://twitter.com/DanSpehler/status/1795874850797482100")</f>
        <v>http://twitter.com/DanSpehler/status/1795874850797482100</v>
      </c>
      <c r="O507" s="2" t="str">
        <f>HYPERLINK("https://fox59.com/news/indy-fuel-announce-sudden-passing-of-team-emcee-scott-alan/")</f>
        <v>https://fox59.com/news/indy-fuel-announce-sudden-passing-of-team-emcee-scott-alan/</v>
      </c>
    </row>
    <row r="508" spans="1:15" ht="52.8" x14ac:dyDescent="0.3">
      <c r="A508" s="2" t="s">
        <v>713</v>
      </c>
      <c r="B508" s="2" t="s">
        <v>3012</v>
      </c>
      <c r="C508" s="2" t="s">
        <v>3013</v>
      </c>
      <c r="D508" s="2" t="s">
        <v>3014</v>
      </c>
      <c r="E508" s="2" t="str">
        <f>HYPERLINK("http://twitter.com/KurtDarling_PBP")</f>
        <v>http://twitter.com/KurtDarling_PBP</v>
      </c>
      <c r="F508" s="2" t="str">
        <f>HYPERLINK("https://muckrack.com/kurt-darling")</f>
        <v>https://muckrack.com/kurt-darling</v>
      </c>
      <c r="G508" s="2">
        <v>1451</v>
      </c>
      <c r="H508" s="2" t="s">
        <v>3015</v>
      </c>
      <c r="I508" s="2" t="s">
        <v>3016</v>
      </c>
      <c r="J508" s="2" t="s">
        <v>1954</v>
      </c>
      <c r="K508" s="2" t="s">
        <v>322</v>
      </c>
      <c r="L508" s="2" t="s">
        <v>3257</v>
      </c>
      <c r="M508" s="5">
        <v>45440.90898148148</v>
      </c>
      <c r="N508" s="2" t="str">
        <f>HYPERLINK("http://twitter.com/KurtDarling_PBP/status/1795633391511261457")</f>
        <v>http://twitter.com/KurtDarling_PBP/status/1795633391511261457</v>
      </c>
      <c r="O508" s="2" t="str">
        <f>HYPERLINK("https://wibc.com/350628/city-county-council-committee-gives-initial-approval-to-mayors-mls-stadium-proposal/")</f>
        <v>https://wibc.com/350628/city-county-council-committee-gives-initial-approval-to-mayors-mls-stadium-proposal/</v>
      </c>
    </row>
    <row r="509" spans="1:15" ht="66" x14ac:dyDescent="0.3">
      <c r="A509" s="2" t="s">
        <v>1360</v>
      </c>
      <c r="B509" s="2" t="s">
        <v>2061</v>
      </c>
      <c r="C509" s="2" t="s">
        <v>3258</v>
      </c>
      <c r="D509" s="2" t="s">
        <v>3259</v>
      </c>
      <c r="E509" s="2" t="str">
        <f>HYPERLINK("http://twitter.com/grifgonzo")</f>
        <v>http://twitter.com/grifgonzo</v>
      </c>
      <c r="F509" s="2" t="str">
        <f>HYPERLINK("https://muckrack.com/griffin-gonzalez")</f>
        <v>https://muckrack.com/griffin-gonzalez</v>
      </c>
      <c r="G509" s="2">
        <v>2745</v>
      </c>
      <c r="H509" s="2" t="s">
        <v>1972</v>
      </c>
      <c r="I509" s="2" t="s">
        <v>3260</v>
      </c>
      <c r="J509" s="2" t="s">
        <v>2033</v>
      </c>
      <c r="K509" s="2" t="s">
        <v>725</v>
      </c>
      <c r="L509" s="2" t="s">
        <v>3261</v>
      </c>
      <c r="M509" s="5">
        <v>45440.883622685193</v>
      </c>
      <c r="N509" s="2" t="str">
        <f>HYPERLINK("http://twitter.com/grifgonzo/status/1795624202655191169")</f>
        <v>http://twitter.com/grifgonzo/status/1795624202655191169</v>
      </c>
      <c r="O509" s="2" t="str">
        <f>HYPERLINK("https://www.wrtv.com/news/local-news/proposal-for-professional-sports-development-area-in-downtown-indy-passes-rules-and-policy-committee")</f>
        <v>https://www.wrtv.com/news/local-news/proposal-for-professional-sports-development-area-in-downtown-indy-passes-rules-and-policy-committee</v>
      </c>
    </row>
    <row r="510" spans="1:15" ht="66" x14ac:dyDescent="0.3">
      <c r="A510" s="2" t="s">
        <v>3262</v>
      </c>
      <c r="B510" s="2" t="s">
        <v>3263</v>
      </c>
      <c r="C510" s="2" t="s">
        <v>3264</v>
      </c>
      <c r="D510" s="2" t="s">
        <v>3265</v>
      </c>
      <c r="E510" s="2" t="str">
        <f>HYPERLINK("http://twitter.com/SeanAshWX")</f>
        <v>http://twitter.com/SeanAshWX</v>
      </c>
      <c r="F510" s="2" t="str">
        <f>HYPERLINK("https://muckrack.com/sean-ash")</f>
        <v>https://muckrack.com/sean-ash</v>
      </c>
      <c r="G510" s="2">
        <v>28754</v>
      </c>
      <c r="H510" s="2" t="s">
        <v>3266</v>
      </c>
      <c r="I510" s="2" t="s">
        <v>3267</v>
      </c>
      <c r="J510" s="2" t="s">
        <v>3268</v>
      </c>
      <c r="K510" s="2" t="s">
        <v>130</v>
      </c>
      <c r="L510" s="2" t="s">
        <v>3269</v>
      </c>
      <c r="M510" s="5">
        <v>45440.94667824074</v>
      </c>
      <c r="N510" s="2" t="str">
        <f>HYPERLINK("http://twitter.com/SeanAshWX/status/1795647053097476220")</f>
        <v>http://twitter.com/SeanAshWX/status/1795647053097476220</v>
      </c>
      <c r="O510" s="2" t="str">
        <f>HYPERLINK("https://www.wthr.com/article/sports/nhl/indy-fuel/scott-alan-indy-fuel-indy-eleven-indianapolis-indians-emcee-announcer/531-4eb02386-5ff6-48a9-bbcf-e65c701b68d0")</f>
        <v>https://www.wthr.com/article/sports/nhl/indy-fuel/scott-alan-indy-fuel-indy-eleven-indianapolis-indians-emcee-announcer/531-4eb02386-5ff6-48a9-bbcf-e65c701b68d0</v>
      </c>
    </row>
    <row r="511" spans="1:15" ht="66" x14ac:dyDescent="0.3">
      <c r="A511" s="2" t="s">
        <v>3270</v>
      </c>
      <c r="B511" s="2" t="s">
        <v>3271</v>
      </c>
      <c r="C511" s="2" t="s">
        <v>3272</v>
      </c>
      <c r="D511" s="2" t="s">
        <v>3273</v>
      </c>
      <c r="E511" s="2" t="str">
        <f>HYPERLINK("http://twitter.com/DustinGroveTV")</f>
        <v>http://twitter.com/DustinGroveTV</v>
      </c>
      <c r="F511" s="2" t="str">
        <f>HYPERLINK("https://muckrack.com/dustin-grove")</f>
        <v>https://muckrack.com/dustin-grove</v>
      </c>
      <c r="G511" s="2">
        <v>3562</v>
      </c>
      <c r="H511" s="2" t="s">
        <v>3274</v>
      </c>
      <c r="I511" s="2" t="s">
        <v>3275</v>
      </c>
      <c r="J511" s="2" t="s">
        <v>1954</v>
      </c>
      <c r="K511" s="2" t="s">
        <v>130</v>
      </c>
      <c r="L511" s="2" t="s">
        <v>3269</v>
      </c>
      <c r="M511" s="5">
        <v>45441.42664351852</v>
      </c>
      <c r="N511" s="2" t="str">
        <f>HYPERLINK("http://twitter.com/DustinGroveTV/status/1795820984215474247")</f>
        <v>http://twitter.com/DustinGroveTV/status/1795820984215474247</v>
      </c>
      <c r="O511" s="2" t="str">
        <f>HYPERLINK("https://www.wthr.com/article/sports/nhl/indy-fuel/scott-alan-indy-fuel-indy-eleven-indianapolis-indians-emcee-announcer/531-4eb02386-5ff6-48a9-bbcf-e65c701b68d0")</f>
        <v>https://www.wthr.com/article/sports/nhl/indy-fuel/scott-alan-indy-fuel-indy-eleven-indianapolis-indians-emcee-announcer/531-4eb02386-5ff6-48a9-bbcf-e65c701b68d0</v>
      </c>
    </row>
    <row r="512" spans="1:15" ht="52.8" x14ac:dyDescent="0.3">
      <c r="A512" s="2" t="s">
        <v>3126</v>
      </c>
      <c r="B512" s="2" t="s">
        <v>3127</v>
      </c>
      <c r="C512" s="2" t="s">
        <v>3128</v>
      </c>
      <c r="D512" s="2" t="s">
        <v>3129</v>
      </c>
      <c r="E512" s="2" t="str">
        <f>HYPERLINK("http://twitter.com/DanSpehler")</f>
        <v>http://twitter.com/DanSpehler</v>
      </c>
      <c r="F512" s="2" t="str">
        <f>HYPERLINK("https://muckrack.com/danspehler")</f>
        <v>https://muckrack.com/danspehler</v>
      </c>
      <c r="G512" s="2">
        <v>5233</v>
      </c>
      <c r="H512" s="2" t="s">
        <v>1972</v>
      </c>
      <c r="I512" s="2" t="s">
        <v>3130</v>
      </c>
      <c r="J512" s="2" t="s">
        <v>2008</v>
      </c>
      <c r="K512" s="2" t="s">
        <v>147</v>
      </c>
      <c r="L512" s="2" t="s">
        <v>3276</v>
      </c>
      <c r="M512" s="5">
        <v>45440.591238425928</v>
      </c>
      <c r="N512" s="2" t="str">
        <f>HYPERLINK("http://twitter.com/DanSpehler/status/1795518245916852445")</f>
        <v>http://twitter.com/DanSpehler/status/1795518245916852445</v>
      </c>
      <c r="O512" s="2" t="str">
        <f>HYPERLINK("https://www.ibj.com/articles/council-set-to-consider-new-mls-stadium-taxing-district")</f>
        <v>https://www.ibj.com/articles/council-set-to-consider-new-mls-stadium-taxing-district</v>
      </c>
    </row>
    <row r="513" spans="1:15" ht="39.6" x14ac:dyDescent="0.3">
      <c r="A513" s="2" t="s">
        <v>267</v>
      </c>
      <c r="B513" s="2" t="s">
        <v>2061</v>
      </c>
      <c r="C513" s="2" t="s">
        <v>2062</v>
      </c>
      <c r="D513" s="2" t="s">
        <v>2063</v>
      </c>
      <c r="E513" s="2" t="str">
        <f>HYPERLINK("http://twitter.com/MickeyShuey")</f>
        <v>http://twitter.com/MickeyShuey</v>
      </c>
      <c r="F513" s="2" t="str">
        <f>HYPERLINK("https://muckrack.com/mickeyshuey")</f>
        <v>https://muckrack.com/mickeyshuey</v>
      </c>
      <c r="G513" s="2">
        <v>1868</v>
      </c>
      <c r="H513" s="2" t="s">
        <v>1972</v>
      </c>
      <c r="I513" s="2" t="s">
        <v>2064</v>
      </c>
      <c r="J513" s="2" t="s">
        <v>2065</v>
      </c>
      <c r="K513" s="2" t="s">
        <v>268</v>
      </c>
      <c r="L513" s="2" t="s">
        <v>3276</v>
      </c>
      <c r="M513" s="5">
        <v>45440.661203703698</v>
      </c>
      <c r="N513" s="2" t="str">
        <f>HYPERLINK("http://twitter.com/MickeyShuey/status/1795543599095975993")</f>
        <v>http://twitter.com/MickeyShuey/status/1795543599095975993</v>
      </c>
      <c r="O513" s="2" t="str">
        <f>HYPERLINK("https://www.ibj.com/articles/council-set-to-consider-new-mls-stadium-taxing-district")</f>
        <v>https://www.ibj.com/articles/council-set-to-consider-new-mls-stadium-taxing-district</v>
      </c>
    </row>
    <row r="514" spans="1:15" ht="52.8" x14ac:dyDescent="0.3">
      <c r="A514" s="2" t="s">
        <v>267</v>
      </c>
      <c r="B514" s="2" t="s">
        <v>2061</v>
      </c>
      <c r="C514" s="2" t="s">
        <v>2062</v>
      </c>
      <c r="D514" s="2" t="s">
        <v>2063</v>
      </c>
      <c r="E514" s="2" t="str">
        <f>HYPERLINK("http://twitter.com/MickeyShuey")</f>
        <v>http://twitter.com/MickeyShuey</v>
      </c>
      <c r="F514" s="2" t="str">
        <f>HYPERLINK("https://muckrack.com/mickeyshuey")</f>
        <v>https://muckrack.com/mickeyshuey</v>
      </c>
      <c r="G514" s="2">
        <v>1868</v>
      </c>
      <c r="H514" s="2" t="s">
        <v>1972</v>
      </c>
      <c r="I514" s="2" t="s">
        <v>2064</v>
      </c>
      <c r="J514" s="2" t="s">
        <v>2065</v>
      </c>
      <c r="K514" s="2" t="s">
        <v>268</v>
      </c>
      <c r="L514" s="2" t="s">
        <v>3277</v>
      </c>
      <c r="M514" s="5">
        <v>45440.420810185176</v>
      </c>
      <c r="N514" s="2" t="str">
        <f>HYPERLINK("http://twitter.com/MickeyShuey/status/1795456484706324723")</f>
        <v>http://twitter.com/MickeyShuey/status/1795456484706324723</v>
      </c>
      <c r="O514" s="2" t="str">
        <f>HYPERLINK("https://www.ibj.com/articles/ibj-podcast-downtown-soccer-battle-update-stadium-design-burial-sites-simon-family-land")</f>
        <v>https://www.ibj.com/articles/ibj-podcast-downtown-soccer-battle-update-stadium-design-burial-sites-simon-family-land</v>
      </c>
    </row>
    <row r="515" spans="1:15" ht="52.8" x14ac:dyDescent="0.3">
      <c r="A515" s="2" t="s">
        <v>3184</v>
      </c>
      <c r="B515" s="2" t="s">
        <v>3185</v>
      </c>
      <c r="C515" s="2" t="s">
        <v>3186</v>
      </c>
      <c r="D515" s="2" t="s">
        <v>3187</v>
      </c>
      <c r="E515" s="2" t="str">
        <f>HYPERLINK("http://twitter.com/317lindquist")</f>
        <v>http://twitter.com/317lindquist</v>
      </c>
      <c r="F515" s="2" t="str">
        <f>HYPERLINK("https://muckrack.com/317lindquist")</f>
        <v>https://muckrack.com/317lindquist</v>
      </c>
      <c r="G515" s="2">
        <v>23498</v>
      </c>
      <c r="H515" s="2" t="s">
        <v>2132</v>
      </c>
      <c r="I515" s="2" t="s">
        <v>3188</v>
      </c>
      <c r="J515" s="2" t="s">
        <v>3189</v>
      </c>
      <c r="K515" s="2" t="s">
        <v>3190</v>
      </c>
      <c r="L515" s="2" t="s">
        <v>3278</v>
      </c>
      <c r="M515" s="5">
        <v>45440.549907407411</v>
      </c>
      <c r="N515" s="2" t="str">
        <f>HYPERLINK("http://twitter.com/317lindquist/status/1795503268652634544")</f>
        <v>http://twitter.com/317lindquist/status/1795503268652634544</v>
      </c>
      <c r="O515" s="2" t="str">
        <f>HYPERLINK("https://www.ibj.com/articles/ibj-podcast-downtown-soccer-battle-update-stadium-design-burial-sites-simon-family-land")</f>
        <v>https://www.ibj.com/articles/ibj-podcast-downtown-soccer-battle-update-stadium-design-burial-sites-simon-family-land</v>
      </c>
    </row>
    <row r="516" spans="1:15" ht="66" x14ac:dyDescent="0.3">
      <c r="A516" s="2" t="s">
        <v>3279</v>
      </c>
      <c r="B516" s="2" t="s">
        <v>3280</v>
      </c>
      <c r="C516" s="2" t="s">
        <v>3281</v>
      </c>
      <c r="D516" s="2" t="s">
        <v>3282</v>
      </c>
      <c r="E516" s="2" t="str">
        <f>HYPERLINK("http://twitter.com/JeffreyCarlisle")</f>
        <v>http://twitter.com/JeffreyCarlisle</v>
      </c>
      <c r="F516" s="2" t="str">
        <f>HYPERLINK("https://muckrack.com/jeff-carlisle")</f>
        <v>https://muckrack.com/jeff-carlisle</v>
      </c>
      <c r="G516" s="2">
        <v>56780</v>
      </c>
      <c r="H516" s="2"/>
      <c r="I516" s="2" t="s">
        <v>3283</v>
      </c>
      <c r="J516" s="2" t="s">
        <v>2033</v>
      </c>
      <c r="K516" s="2" t="s">
        <v>209</v>
      </c>
      <c r="L516" s="2" t="s">
        <v>3284</v>
      </c>
      <c r="M516" s="5">
        <v>45440.615162037036</v>
      </c>
      <c r="N516" s="2" t="str">
        <f>HYPERLINK("http://twitter.com/JeffreyCarlisle/status/1795526915232796995")</f>
        <v>http://twitter.com/JeffreyCarlisle/status/1795526915232796995</v>
      </c>
      <c r="O516" s="2" t="str">
        <f>HYPERLINK("https://www.socceramerica.com/newsletter/tuesday-am-mlss-quiet-makeover-liga-mxs-american-bicampeone-new-uswnt-coaching-staff/")</f>
        <v>https://www.socceramerica.com/newsletter/tuesday-am-mlss-quiet-makeover-liga-mxs-american-bicampeone-new-uswnt-coaching-staff/</v>
      </c>
    </row>
    <row r="517" spans="1:15" ht="52.8" x14ac:dyDescent="0.3">
      <c r="A517" s="2" t="s">
        <v>3285</v>
      </c>
      <c r="B517" s="2" t="s">
        <v>3286</v>
      </c>
      <c r="C517" s="2"/>
      <c r="D517" s="2" t="s">
        <v>3287</v>
      </c>
      <c r="E517" s="2" t="str">
        <f>HYPERLINK("http://twitter.com/_BrittaniHowell")</f>
        <v>http://twitter.com/_BrittaniHowell</v>
      </c>
      <c r="F517" s="2" t="str">
        <f>HYPERLINK("https://muckrack.com/brittani-howell")</f>
        <v>https://muckrack.com/brittani-howell</v>
      </c>
      <c r="G517" s="2">
        <v>707</v>
      </c>
      <c r="H517" s="2" t="s">
        <v>1972</v>
      </c>
      <c r="I517" s="2" t="s">
        <v>3288</v>
      </c>
      <c r="J517" s="2" t="s">
        <v>1954</v>
      </c>
      <c r="K517" s="2" t="s">
        <v>3289</v>
      </c>
      <c r="L517" s="2" t="s">
        <v>3290</v>
      </c>
      <c r="M517" s="5">
        <v>45438.868715277778</v>
      </c>
      <c r="N517" s="2" t="str">
        <f>HYPERLINK("http://twitter.com/_BrittaniHowell/status/1794894025226698782")</f>
        <v>http://twitter.com/_BrittaniHowell/status/1794894025226698782</v>
      </c>
      <c r="O517" s="2" t="str">
        <f>HYPERLINK("https://www.wfyi.org/news/articles/newgarden-goes-back-to-back-at-indy-500-to-give-roger-penske-record-extending-20th-win")</f>
        <v>https://www.wfyi.org/news/articles/newgarden-goes-back-to-back-at-indy-500-to-give-roger-penske-record-extending-20th-win</v>
      </c>
    </row>
    <row r="518" spans="1:15" ht="79.2" x14ac:dyDescent="0.3">
      <c r="A518" s="2" t="s">
        <v>2865</v>
      </c>
      <c r="B518" s="2" t="s">
        <v>2866</v>
      </c>
      <c r="C518" s="2" t="s">
        <v>2867</v>
      </c>
      <c r="D518" s="2" t="s">
        <v>2868</v>
      </c>
      <c r="E518" s="2" t="str">
        <f>HYPERLINK("http://twitter.com/OSGNelson")</f>
        <v>http://twitter.com/OSGNelson</v>
      </c>
      <c r="F518" s="2" t="str">
        <f>HYPERLINK("https://muckrack.com/jon-nelson")</f>
        <v>https://muckrack.com/jon-nelson</v>
      </c>
      <c r="G518" s="2">
        <v>3176</v>
      </c>
      <c r="H518" s="2" t="s">
        <v>2728</v>
      </c>
      <c r="I518" s="2" t="s">
        <v>2869</v>
      </c>
      <c r="J518" s="2" t="s">
        <v>2148</v>
      </c>
      <c r="K518" s="2" t="s">
        <v>2870</v>
      </c>
      <c r="L518" s="2" t="s">
        <v>3291</v>
      </c>
      <c r="M518" s="5">
        <v>45437.586099537039</v>
      </c>
      <c r="N518" s="2" t="str">
        <f>HYPERLINK("http://twitter.com/OSGNelson/status/1794429218618495187")</f>
        <v>http://twitter.com/OSGNelson/status/1794429218618495187</v>
      </c>
      <c r="O518" s="2" t="str">
        <f>HYPERLINK("https://www.soccerdownhere.net/post/showdown-at-the-benz-with-lafc-for-the-5-stripes")</f>
        <v>https://www.soccerdownhere.net/post/showdown-at-the-benz-with-lafc-for-the-5-stripes</v>
      </c>
    </row>
    <row r="519" spans="1:15" ht="105.6" x14ac:dyDescent="0.3">
      <c r="A519" s="2" t="s">
        <v>1651</v>
      </c>
      <c r="B519" s="2" t="s">
        <v>2619</v>
      </c>
      <c r="C519" s="2" t="s">
        <v>2620</v>
      </c>
      <c r="D519" s="2" t="s">
        <v>2621</v>
      </c>
      <c r="E519" s="2" t="str">
        <f>HYPERLINK("http://twitter.com/worldsoccertalk")</f>
        <v>http://twitter.com/worldsoccertalk</v>
      </c>
      <c r="F519" s="2" t="str">
        <f>HYPERLINK("https://muckrack.com/christophermharris")</f>
        <v>https://muckrack.com/christophermharris</v>
      </c>
      <c r="G519" s="2">
        <v>81386</v>
      </c>
      <c r="H519" s="2" t="s">
        <v>2622</v>
      </c>
      <c r="I519" s="2" t="s">
        <v>2623</v>
      </c>
      <c r="J519" s="2" t="s">
        <v>2624</v>
      </c>
      <c r="K519" s="2" t="s">
        <v>2625</v>
      </c>
      <c r="L519" s="2" t="s">
        <v>3292</v>
      </c>
      <c r="M519" s="5">
        <v>45439.396493055552</v>
      </c>
      <c r="N519" s="2" t="str">
        <f>HYPERLINK("http://twitter.com/worldsoccertalk/status/1795085282821152836")</f>
        <v>http://twitter.com/worldsoccertalk/status/1795085282821152836</v>
      </c>
      <c r="O519" s="2" t="str">
        <f>HYPERLINK("https://worldsoccertalk.com/news/indianapolis-soccer-stadium-site-unearths-87-human-remains/")</f>
        <v>https://worldsoccertalk.com/news/indianapolis-soccer-stadium-site-unearths-87-human-remains/</v>
      </c>
    </row>
    <row r="520" spans="1:15" ht="39.6" x14ac:dyDescent="0.3">
      <c r="A520" s="2" t="s">
        <v>267</v>
      </c>
      <c r="B520" s="2" t="s">
        <v>2061</v>
      </c>
      <c r="C520" s="2" t="s">
        <v>2062</v>
      </c>
      <c r="D520" s="2" t="s">
        <v>2063</v>
      </c>
      <c r="E520" s="2" t="str">
        <f>HYPERLINK("http://twitter.com/MickeyShuey")</f>
        <v>http://twitter.com/MickeyShuey</v>
      </c>
      <c r="F520" s="2" t="str">
        <f>HYPERLINK("https://muckrack.com/mickeyshuey")</f>
        <v>https://muckrack.com/mickeyshuey</v>
      </c>
      <c r="G520" s="2">
        <v>1868</v>
      </c>
      <c r="H520" s="2" t="s">
        <v>1972</v>
      </c>
      <c r="I520" s="2" t="s">
        <v>2064</v>
      </c>
      <c r="J520" s="2" t="s">
        <v>2065</v>
      </c>
      <c r="K520" s="2" t="s">
        <v>268</v>
      </c>
      <c r="L520" s="2" t="s">
        <v>3293</v>
      </c>
      <c r="M520" s="5">
        <v>45436.749062499999</v>
      </c>
      <c r="N520" s="2" t="str">
        <f>HYPERLINK("http://twitter.com/MickeyShuey/status/1794125887413043217")</f>
        <v>http://twitter.com/MickeyShuey/status/1794125887413043217</v>
      </c>
      <c r="O520" s="2" t="str">
        <f>HYPERLINK("https://www.ibj.com/articles/holcomb-says-he-wont-get-involved-in-city-keystone-fight-over-mls")</f>
        <v>https://www.ibj.com/articles/holcomb-says-he-wont-get-involved-in-city-keystone-fight-over-mls</v>
      </c>
    </row>
    <row r="521" spans="1:15" ht="52.8" x14ac:dyDescent="0.3">
      <c r="A521" s="2" t="s">
        <v>3126</v>
      </c>
      <c r="B521" s="2" t="s">
        <v>3127</v>
      </c>
      <c r="C521" s="2" t="s">
        <v>3128</v>
      </c>
      <c r="D521" s="2" t="s">
        <v>3129</v>
      </c>
      <c r="E521" s="2" t="str">
        <f>HYPERLINK("http://twitter.com/DanSpehler")</f>
        <v>http://twitter.com/DanSpehler</v>
      </c>
      <c r="F521" s="2" t="str">
        <f>HYPERLINK("https://muckrack.com/danspehler")</f>
        <v>https://muckrack.com/danspehler</v>
      </c>
      <c r="G521" s="2">
        <v>5233</v>
      </c>
      <c r="H521" s="2" t="s">
        <v>1972</v>
      </c>
      <c r="I521" s="2" t="s">
        <v>3130</v>
      </c>
      <c r="J521" s="2" t="s">
        <v>2008</v>
      </c>
      <c r="K521" s="2" t="s">
        <v>147</v>
      </c>
      <c r="L521" s="2" t="s">
        <v>3293</v>
      </c>
      <c r="M521" s="5">
        <v>45436.754733796297</v>
      </c>
      <c r="N521" s="2" t="str">
        <f>HYPERLINK("http://twitter.com/DanSpehler/status/1794127941346943110")</f>
        <v>http://twitter.com/DanSpehler/status/1794127941346943110</v>
      </c>
      <c r="O521" s="2" t="str">
        <f>HYPERLINK("https://www.ibj.com/articles/holcomb-says-he-wont-get-involved-in-city-keystone-fight-over-mls")</f>
        <v>https://www.ibj.com/articles/holcomb-says-he-wont-get-involved-in-city-keystone-fight-over-mls</v>
      </c>
    </row>
    <row r="522" spans="1:15" ht="39.6" x14ac:dyDescent="0.3">
      <c r="A522" s="2" t="s">
        <v>267</v>
      </c>
      <c r="B522" s="2" t="s">
        <v>2061</v>
      </c>
      <c r="C522" s="2" t="s">
        <v>2062</v>
      </c>
      <c r="D522" s="2" t="s">
        <v>2063</v>
      </c>
      <c r="E522" s="2" t="str">
        <f>HYPERLINK("http://twitter.com/MickeyShuey")</f>
        <v>http://twitter.com/MickeyShuey</v>
      </c>
      <c r="F522" s="2" t="str">
        <f>HYPERLINK("https://muckrack.com/mickeyshuey")</f>
        <v>https://muckrack.com/mickeyshuey</v>
      </c>
      <c r="G522" s="2">
        <v>1868</v>
      </c>
      <c r="H522" s="2" t="s">
        <v>1972</v>
      </c>
      <c r="I522" s="2" t="s">
        <v>2064</v>
      </c>
      <c r="J522" s="2" t="s">
        <v>2065</v>
      </c>
      <c r="K522" s="2" t="s">
        <v>268</v>
      </c>
      <c r="L522" s="2" t="s">
        <v>3294</v>
      </c>
      <c r="M522" s="5">
        <v>45436.715324074074</v>
      </c>
      <c r="N522" s="2" t="str">
        <f>HYPERLINK("http://twitter.com/MickeyShuey/status/1794113662220681618")</f>
        <v>http://twitter.com/MickeyShuey/status/1794113662220681618</v>
      </c>
      <c r="O522" s="2" t="str">
        <f>HYPERLINK("https://www.ibj.com/articles/a-big-move")</f>
        <v>https://www.ibj.com/articles/a-big-move</v>
      </c>
    </row>
    <row r="523" spans="1:15" ht="39.6" x14ac:dyDescent="0.3">
      <c r="A523" s="2" t="s">
        <v>616</v>
      </c>
      <c r="B523" s="2" t="s">
        <v>1976</v>
      </c>
      <c r="C523" s="2" t="s">
        <v>1977</v>
      </c>
      <c r="D523" s="2" t="s">
        <v>1978</v>
      </c>
      <c r="E523" s="2" t="str">
        <f>HYPERLINK("http://twitter.com/ryanmartin")</f>
        <v>http://twitter.com/ryanmartin</v>
      </c>
      <c r="F523" s="2" t="str">
        <f>HYPERLINK("https://muckrack.com/ryanmartin")</f>
        <v>https://muckrack.com/ryanmartin</v>
      </c>
      <c r="G523" s="2">
        <v>11135</v>
      </c>
      <c r="H523" s="2" t="s">
        <v>1972</v>
      </c>
      <c r="I523" s="2" t="s">
        <v>1979</v>
      </c>
      <c r="J523" s="2" t="s">
        <v>1954</v>
      </c>
      <c r="K523" s="2" t="s">
        <v>1974</v>
      </c>
      <c r="L523" s="2" t="s">
        <v>3295</v>
      </c>
      <c r="M523" s="5">
        <v>45436.492222222223</v>
      </c>
      <c r="N523" s="2" t="str">
        <f>HYPERLINK("http://twitter.com/ryanmartin/status/1794032810707030365")</f>
        <v>http://twitter.com/ryanmartin/status/1794032810707030365</v>
      </c>
      <c r="O523" s="2" t="str">
        <f>HYPERLINK("https://mirrorindy.org/daily-newsletter-march-24-2024/")</f>
        <v>https://mirrorindy.org/daily-newsletter-march-24-2024/</v>
      </c>
    </row>
    <row r="524" spans="1:15" ht="66" x14ac:dyDescent="0.3">
      <c r="A524" s="2" t="s">
        <v>3092</v>
      </c>
      <c r="B524" s="2" t="s">
        <v>1910</v>
      </c>
      <c r="C524" s="2" t="s">
        <v>3093</v>
      </c>
      <c r="D524" s="2" t="s">
        <v>3094</v>
      </c>
      <c r="E524" s="2" t="str">
        <f>HYPERLINK("http://twitter.com/RichNye13")</f>
        <v>http://twitter.com/RichNye13</v>
      </c>
      <c r="F524" s="2" t="str">
        <f>HYPERLINK("https://muckrack.com/rich-nye")</f>
        <v>https://muckrack.com/rich-nye</v>
      </c>
      <c r="G524" s="2">
        <v>15206</v>
      </c>
      <c r="H524" s="2" t="s">
        <v>2123</v>
      </c>
      <c r="I524" s="2" t="s">
        <v>3095</v>
      </c>
      <c r="J524" s="2" t="s">
        <v>2033</v>
      </c>
      <c r="K524" s="2" t="s">
        <v>130</v>
      </c>
      <c r="L524" s="2" t="s">
        <v>3296</v>
      </c>
      <c r="M524" s="5">
        <v>45437.869097222218</v>
      </c>
      <c r="N524" s="2" t="str">
        <f>HYPERLINK("http://twitter.com/RichNye13/status/1794531775232061927")</f>
        <v>http://twitter.com/RichNye13/status/1794531775232061927</v>
      </c>
      <c r="O524" s="2" t="str">
        <f>HYPERLINK("https://www.wthr.com/article/sports/motor/indianapolis-500/33-things-to-know-about-the-2024-indy-indianapolis-500/531-017e2f9c-03f4-4225-89f2-d1d780225f42")</f>
        <v>https://www.wthr.com/article/sports/motor/indianapolis-500/33-things-to-know-about-the-2024-indy-indianapolis-500/531-017e2f9c-03f4-4225-89f2-d1d780225f42</v>
      </c>
    </row>
    <row r="525" spans="1:15" ht="66" x14ac:dyDescent="0.3">
      <c r="A525" s="2" t="s">
        <v>3262</v>
      </c>
      <c r="B525" s="2" t="s">
        <v>3263</v>
      </c>
      <c r="C525" s="2" t="s">
        <v>3264</v>
      </c>
      <c r="D525" s="2" t="s">
        <v>3265</v>
      </c>
      <c r="E525" s="2" t="str">
        <f>HYPERLINK("http://twitter.com/SeanAshWX")</f>
        <v>http://twitter.com/SeanAshWX</v>
      </c>
      <c r="F525" s="2" t="str">
        <f>HYPERLINK("https://muckrack.com/sean-ash")</f>
        <v>https://muckrack.com/sean-ash</v>
      </c>
      <c r="G525" s="2">
        <v>28754</v>
      </c>
      <c r="H525" s="2" t="s">
        <v>3266</v>
      </c>
      <c r="I525" s="2" t="s">
        <v>3267</v>
      </c>
      <c r="J525" s="2" t="s">
        <v>3268</v>
      </c>
      <c r="K525" s="2" t="s">
        <v>130</v>
      </c>
      <c r="L525" s="2" t="s">
        <v>3297</v>
      </c>
      <c r="M525" s="5">
        <v>45437.873402777783</v>
      </c>
      <c r="N525" s="2" t="str">
        <f>HYPERLINK("http://twitter.com/SeanAshWX/status/1794533333163983252")</f>
        <v>http://twitter.com/SeanAshWX/status/1794533333163983252</v>
      </c>
      <c r="O525" s="2" t="str">
        <f>HYPERLINK("https://www.wthr.com/article/sports/motor/indianapolis-500/33-things-to-know-about-the-2024-indy-indianapolis-500/531-017e2f9c-03f4-4225-89f2-d1d780225f42")</f>
        <v>https://www.wthr.com/article/sports/motor/indianapolis-500/33-things-to-know-about-the-2024-indy-indianapolis-500/531-017e2f9c-03f4-4225-89f2-d1d780225f42</v>
      </c>
    </row>
    <row r="526" spans="1:15" ht="52.8" x14ac:dyDescent="0.3">
      <c r="A526" s="2" t="s">
        <v>1858</v>
      </c>
      <c r="B526" s="2" t="s">
        <v>3298</v>
      </c>
      <c r="C526" s="2" t="s">
        <v>3299</v>
      </c>
      <c r="D526" s="2" t="s">
        <v>3300</v>
      </c>
      <c r="E526" s="2" t="str">
        <f>HYPERLINK("http://twitter.com/lhenry019")</f>
        <v>http://twitter.com/lhenry019</v>
      </c>
      <c r="F526" s="2" t="str">
        <f>HYPERLINK("https://muckrack.com/larry-henry-jr-1")</f>
        <v>https://muckrack.com/larry-henry-jr-1</v>
      </c>
      <c r="G526" s="2">
        <v>4262</v>
      </c>
      <c r="H526" s="2" t="s">
        <v>3301</v>
      </c>
      <c r="I526" s="2" t="s">
        <v>3302</v>
      </c>
      <c r="J526" s="2" t="s">
        <v>2000</v>
      </c>
      <c r="K526" s="2" t="s">
        <v>3303</v>
      </c>
      <c r="L526" s="2" t="s">
        <v>3304</v>
      </c>
      <c r="M526" s="5">
        <v>45435.755856481483</v>
      </c>
      <c r="N526" s="2" t="str">
        <f>HYPERLINK("http://twitter.com/lhenry019/status/1793765961415430161")</f>
        <v>http://twitter.com/lhenry019/status/1793765961415430161</v>
      </c>
      <c r="O526" s="2" t="str">
        <f>HYPERLINK("https://sbisoccer.com/2024/05/sporting-kc-fc-dallas-headline-u-s-open-cup-quarterfinal-draw")</f>
        <v>https://sbisoccer.com/2024/05/sporting-kc-fc-dallas-headline-u-s-open-cup-quarterfinal-draw</v>
      </c>
    </row>
    <row r="527" spans="1:15" ht="66" x14ac:dyDescent="0.3">
      <c r="A527" s="2" t="s">
        <v>29</v>
      </c>
      <c r="B527" s="2" t="s">
        <v>1910</v>
      </c>
      <c r="C527" s="2" t="s">
        <v>1911</v>
      </c>
      <c r="D527" s="2" t="s">
        <v>1912</v>
      </c>
      <c r="E527" s="2" t="str">
        <f>HYPERLINK("http://twitter.com/DougRobersonAJC")</f>
        <v>http://twitter.com/DougRobersonAJC</v>
      </c>
      <c r="F527" s="2" t="str">
        <f>HYPERLINK("https://muckrack.com/doug-roberson")</f>
        <v>https://muckrack.com/doug-roberson</v>
      </c>
      <c r="G527" s="2">
        <v>16740</v>
      </c>
      <c r="H527" s="2" t="s">
        <v>1913</v>
      </c>
      <c r="I527" s="2" t="s">
        <v>1914</v>
      </c>
      <c r="J527" s="2" t="s">
        <v>1915</v>
      </c>
      <c r="K527" s="2" t="s">
        <v>30</v>
      </c>
      <c r="L527" s="2" t="s">
        <v>3305</v>
      </c>
      <c r="M527" s="5">
        <v>45435.746655092589</v>
      </c>
      <c r="N527" s="2" t="str">
        <f>HYPERLINK("http://twitter.com/DougRobersonAJC/status/1793762626721255855")</f>
        <v>http://twitter.com/DougRobersonAJC/status/1793762626721255855</v>
      </c>
      <c r="O527" s="2" t="str">
        <f>HYPERLINK("https://www.ajc.com/sports/atlanta-united/atlanta-united-vs-indy-eleven-scheduled-for-july-9/S4MW5JTFM5F4HDGDNER2IMSR6A/")</f>
        <v>https://www.ajc.com/sports/atlanta-united/atlanta-united-vs-indy-eleven-scheduled-for-july-9/S4MW5JTFM5F4HDGDNER2IMSR6A/</v>
      </c>
    </row>
    <row r="528" spans="1:15" ht="39.6" x14ac:dyDescent="0.3">
      <c r="A528" s="2" t="s">
        <v>3306</v>
      </c>
      <c r="B528" s="2" t="s">
        <v>2467</v>
      </c>
      <c r="C528" s="2" t="s">
        <v>3307</v>
      </c>
      <c r="D528" s="2" t="s">
        <v>3308</v>
      </c>
      <c r="E528" s="2" t="str">
        <f>HYPERLINK("http://twitter.com/ChrisSikich")</f>
        <v>http://twitter.com/ChrisSikich</v>
      </c>
      <c r="F528" s="2" t="str">
        <f>HYPERLINK("https://muckrack.com/chrissikich")</f>
        <v>https://muckrack.com/chrissikich</v>
      </c>
      <c r="G528" s="2">
        <v>7531</v>
      </c>
      <c r="H528" s="2" t="s">
        <v>2132</v>
      </c>
      <c r="I528" s="2" t="s">
        <v>3309</v>
      </c>
      <c r="J528" s="2" t="s">
        <v>2008</v>
      </c>
      <c r="K528" s="2" t="s">
        <v>1974</v>
      </c>
      <c r="L528" s="2" t="s">
        <v>3310</v>
      </c>
      <c r="M528" s="5">
        <v>45435.734317129631</v>
      </c>
      <c r="N528" s="2" t="str">
        <f>HYPERLINK("http://twitter.com/ChrisSikich/status/1793758157816349024")</f>
        <v>http://twitter.com/ChrisSikich/status/1793758157816349024</v>
      </c>
      <c r="O528" s="2" t="str">
        <f t="shared" ref="O528:O535" si="17">HYPERLINK("https://mirrorindy.org/indianapolis-greenlawn-cemetery-joe-hogsett-mls-soccer-indy-eleven/")</f>
        <v>https://mirrorindy.org/indianapolis-greenlawn-cemetery-joe-hogsett-mls-soccer-indy-eleven/</v>
      </c>
    </row>
    <row r="529" spans="1:15" ht="52.8" x14ac:dyDescent="0.3">
      <c r="A529" s="2" t="s">
        <v>966</v>
      </c>
      <c r="B529" s="2" t="s">
        <v>2311</v>
      </c>
      <c r="C529" s="2" t="s">
        <v>2908</v>
      </c>
      <c r="D529" s="2" t="s">
        <v>2909</v>
      </c>
      <c r="E529" s="2" t="str">
        <f>HYPERLINK("http://twitter.com/Ty_Fenwick")</f>
        <v>http://twitter.com/Ty_Fenwick</v>
      </c>
      <c r="F529" s="2" t="str">
        <f>HYPERLINK("https://muckrack.com/tyler-fenwick-1")</f>
        <v>https://muckrack.com/tyler-fenwick-1</v>
      </c>
      <c r="G529" s="2">
        <v>1519</v>
      </c>
      <c r="H529" s="2" t="s">
        <v>1972</v>
      </c>
      <c r="I529" s="2" t="s">
        <v>2910</v>
      </c>
      <c r="J529" s="2" t="s">
        <v>2911</v>
      </c>
      <c r="K529" s="2" t="s">
        <v>1974</v>
      </c>
      <c r="L529" s="2" t="s">
        <v>3311</v>
      </c>
      <c r="M529" s="5">
        <v>45435.739212962973</v>
      </c>
      <c r="N529" s="2" t="str">
        <f>HYPERLINK("http://twitter.com/Ty_Fenwick/status/1793759928957726961")</f>
        <v>http://twitter.com/Ty_Fenwick/status/1793759928957726961</v>
      </c>
      <c r="O529" s="2" t="str">
        <f t="shared" si="17"/>
        <v>https://mirrorindy.org/indianapolis-greenlawn-cemetery-joe-hogsett-mls-soccer-indy-eleven/</v>
      </c>
    </row>
    <row r="530" spans="1:15" ht="39.6" x14ac:dyDescent="0.3">
      <c r="A530" s="2" t="s">
        <v>1569</v>
      </c>
      <c r="B530" s="2" t="s">
        <v>3019</v>
      </c>
      <c r="C530" s="2" t="s">
        <v>3020</v>
      </c>
      <c r="D530" s="2" t="s">
        <v>3021</v>
      </c>
      <c r="E530" s="2" t="str">
        <f>HYPERLINK("http://twitter.com/peterlblanchard")</f>
        <v>http://twitter.com/peterlblanchard</v>
      </c>
      <c r="F530" s="2" t="str">
        <f>HYPERLINK("https://muckrack.com/peterblanchard")</f>
        <v>https://muckrack.com/peterblanchard</v>
      </c>
      <c r="G530" s="2">
        <v>1926</v>
      </c>
      <c r="H530" s="2" t="s">
        <v>1972</v>
      </c>
      <c r="I530" s="2" t="s">
        <v>3022</v>
      </c>
      <c r="J530" s="2" t="s">
        <v>3023</v>
      </c>
      <c r="K530" s="2" t="s">
        <v>132</v>
      </c>
      <c r="L530" s="2" t="s">
        <v>3312</v>
      </c>
      <c r="M530" s="5">
        <v>45435.742974537039</v>
      </c>
      <c r="N530" s="2" t="str">
        <f>HYPERLINK("http://twitter.com/peterlblanchard/status/1793761293050183958")</f>
        <v>http://twitter.com/peterlblanchard/status/1793761293050183958</v>
      </c>
      <c r="O530" s="2" t="str">
        <f t="shared" si="17"/>
        <v>https://mirrorindy.org/indianapolis-greenlawn-cemetery-joe-hogsett-mls-soccer-indy-eleven/</v>
      </c>
    </row>
    <row r="531" spans="1:15" ht="52.8" x14ac:dyDescent="0.3">
      <c r="A531" s="2" t="s">
        <v>1981</v>
      </c>
      <c r="B531" s="2" t="s">
        <v>1982</v>
      </c>
      <c r="C531" s="2" t="s">
        <v>1983</v>
      </c>
      <c r="D531" s="2" t="s">
        <v>1984</v>
      </c>
      <c r="E531" s="2" t="str">
        <f>HYPERLINK("http://twitter.com/HelloImDarian")</f>
        <v>http://twitter.com/HelloImDarian</v>
      </c>
      <c r="F531" s="2" t="str">
        <f>HYPERLINK("https://muckrack.com/darian-benson-1")</f>
        <v>https://muckrack.com/darian-benson-1</v>
      </c>
      <c r="G531" s="2">
        <v>1367</v>
      </c>
      <c r="H531" s="2" t="s">
        <v>1972</v>
      </c>
      <c r="I531" s="2" t="s">
        <v>1985</v>
      </c>
      <c r="J531" s="2" t="s">
        <v>1954</v>
      </c>
      <c r="K531" s="2" t="s">
        <v>132</v>
      </c>
      <c r="L531" s="2" t="s">
        <v>3313</v>
      </c>
      <c r="M531" s="5">
        <v>45435.74759259259</v>
      </c>
      <c r="N531" s="2" t="str">
        <f>HYPERLINK("http://twitter.com/HelloImDarian/status/1793762967043117540")</f>
        <v>http://twitter.com/HelloImDarian/status/1793762967043117540</v>
      </c>
      <c r="O531" s="2" t="str">
        <f t="shared" si="17"/>
        <v>https://mirrorindy.org/indianapolis-greenlawn-cemetery-joe-hogsett-mls-soccer-indy-eleven/</v>
      </c>
    </row>
    <row r="532" spans="1:15" ht="39.6" x14ac:dyDescent="0.3">
      <c r="A532" s="2" t="s">
        <v>616</v>
      </c>
      <c r="B532" s="2" t="s">
        <v>1976</v>
      </c>
      <c r="C532" s="2" t="s">
        <v>1977</v>
      </c>
      <c r="D532" s="2" t="s">
        <v>1978</v>
      </c>
      <c r="E532" s="2" t="str">
        <f>HYPERLINK("http://twitter.com/ryanmartin")</f>
        <v>http://twitter.com/ryanmartin</v>
      </c>
      <c r="F532" s="2" t="str">
        <f>HYPERLINK("https://muckrack.com/ryanmartin")</f>
        <v>https://muckrack.com/ryanmartin</v>
      </c>
      <c r="G532" s="2">
        <v>11135</v>
      </c>
      <c r="H532" s="2" t="s">
        <v>1972</v>
      </c>
      <c r="I532" s="2" t="s">
        <v>1979</v>
      </c>
      <c r="J532" s="2" t="s">
        <v>1954</v>
      </c>
      <c r="K532" s="2" t="s">
        <v>1974</v>
      </c>
      <c r="L532" s="2" t="s">
        <v>3314</v>
      </c>
      <c r="M532" s="5">
        <v>45435.759918981479</v>
      </c>
      <c r="N532" s="2" t="str">
        <f>HYPERLINK("http://twitter.com/ryanmartin/status/1793767434660319351")</f>
        <v>http://twitter.com/ryanmartin/status/1793767434660319351</v>
      </c>
      <c r="O532" s="2" t="str">
        <f t="shared" si="17"/>
        <v>https://mirrorindy.org/indianapolis-greenlawn-cemetery-joe-hogsett-mls-soccer-indy-eleven/</v>
      </c>
    </row>
    <row r="533" spans="1:15" ht="39.6" x14ac:dyDescent="0.3">
      <c r="A533" s="2" t="s">
        <v>616</v>
      </c>
      <c r="B533" s="2" t="s">
        <v>1976</v>
      </c>
      <c r="C533" s="2" t="s">
        <v>1977</v>
      </c>
      <c r="D533" s="2" t="s">
        <v>1978</v>
      </c>
      <c r="E533" s="2" t="str">
        <f>HYPERLINK("http://twitter.com/ryanmartin")</f>
        <v>http://twitter.com/ryanmartin</v>
      </c>
      <c r="F533" s="2" t="str">
        <f>HYPERLINK("https://muckrack.com/ryanmartin")</f>
        <v>https://muckrack.com/ryanmartin</v>
      </c>
      <c r="G533" s="2">
        <v>11135</v>
      </c>
      <c r="H533" s="2" t="s">
        <v>1972</v>
      </c>
      <c r="I533" s="2" t="s">
        <v>1979</v>
      </c>
      <c r="J533" s="2" t="s">
        <v>1954</v>
      </c>
      <c r="K533" s="2" t="s">
        <v>1974</v>
      </c>
      <c r="L533" s="2" t="s">
        <v>3315</v>
      </c>
      <c r="M533" s="5">
        <v>45436.408634259264</v>
      </c>
      <c r="N533" s="2" t="str">
        <f>HYPERLINK("http://twitter.com/ryanmartin/status/1794002519972307143")</f>
        <v>http://twitter.com/ryanmartin/status/1794002519972307143</v>
      </c>
      <c r="O533" s="2" t="str">
        <f t="shared" si="17"/>
        <v>https://mirrorindy.org/indianapolis-greenlawn-cemetery-joe-hogsett-mls-soccer-indy-eleven/</v>
      </c>
    </row>
    <row r="534" spans="1:15" ht="39.6" x14ac:dyDescent="0.3">
      <c r="A534" s="2" t="s">
        <v>107</v>
      </c>
      <c r="B534" s="2" t="s">
        <v>1969</v>
      </c>
      <c r="C534" s="2" t="s">
        <v>1970</v>
      </c>
      <c r="D534" s="2" t="s">
        <v>1971</v>
      </c>
      <c r="E534" s="2" t="str">
        <f>HYPERLINK("http://twitter.com/indyemapolis")</f>
        <v>http://twitter.com/indyemapolis</v>
      </c>
      <c r="F534" s="2" t="str">
        <f>HYPERLINK("https://muckrack.com/emily-hopkins-2")</f>
        <v>https://muckrack.com/emily-hopkins-2</v>
      </c>
      <c r="G534" s="2">
        <v>3414</v>
      </c>
      <c r="H534" s="2" t="s">
        <v>1972</v>
      </c>
      <c r="I534" s="2" t="s">
        <v>1973</v>
      </c>
      <c r="J534" s="2" t="s">
        <v>1954</v>
      </c>
      <c r="K534" s="2" t="s">
        <v>1974</v>
      </c>
      <c r="L534" s="2" t="s">
        <v>3314</v>
      </c>
      <c r="M534" s="5">
        <v>45435.761076388888</v>
      </c>
      <c r="N534" s="2" t="str">
        <f>HYPERLINK("http://twitter.com/indyemapolis/status/1793767852622688389")</f>
        <v>http://twitter.com/indyemapolis/status/1793767852622688389</v>
      </c>
      <c r="O534" s="2" t="str">
        <f t="shared" si="17"/>
        <v>https://mirrorindy.org/indianapolis-greenlawn-cemetery-joe-hogsett-mls-soccer-indy-eleven/</v>
      </c>
    </row>
    <row r="535" spans="1:15" ht="39.6" x14ac:dyDescent="0.3">
      <c r="A535" s="2" t="s">
        <v>107</v>
      </c>
      <c r="B535" s="2" t="s">
        <v>1969</v>
      </c>
      <c r="C535" s="2" t="s">
        <v>1970</v>
      </c>
      <c r="D535" s="2" t="s">
        <v>1971</v>
      </c>
      <c r="E535" s="2" t="str">
        <f>HYPERLINK("http://twitter.com/indyemapolis")</f>
        <v>http://twitter.com/indyemapolis</v>
      </c>
      <c r="F535" s="2" t="str">
        <f>HYPERLINK("https://muckrack.com/emily-hopkins-2")</f>
        <v>https://muckrack.com/emily-hopkins-2</v>
      </c>
      <c r="G535" s="2">
        <v>3414</v>
      </c>
      <c r="H535" s="2" t="s">
        <v>1972</v>
      </c>
      <c r="I535" s="2" t="s">
        <v>1973</v>
      </c>
      <c r="J535" s="2" t="s">
        <v>1954</v>
      </c>
      <c r="K535" s="2" t="s">
        <v>1974</v>
      </c>
      <c r="L535" s="2" t="s">
        <v>3315</v>
      </c>
      <c r="M535" s="5">
        <v>45436.544409722221</v>
      </c>
      <c r="N535" s="2" t="str">
        <f>HYPERLINK("http://twitter.com/indyemapolis/status/1794051724912550201")</f>
        <v>http://twitter.com/indyemapolis/status/1794051724912550201</v>
      </c>
      <c r="O535" s="2" t="str">
        <f t="shared" si="17"/>
        <v>https://mirrorindy.org/indianapolis-greenlawn-cemetery-joe-hogsett-mls-soccer-indy-eleven/</v>
      </c>
    </row>
    <row r="536" spans="1:15" ht="52.8" x14ac:dyDescent="0.3">
      <c r="A536" s="2" t="s">
        <v>385</v>
      </c>
      <c r="B536" s="2" t="s">
        <v>2640</v>
      </c>
      <c r="C536" s="2" t="s">
        <v>2641</v>
      </c>
      <c r="D536" s="2" t="s">
        <v>2642</v>
      </c>
      <c r="E536" s="2" t="str">
        <f>HYPERLINK("http://twitter.com/joeclowery")</f>
        <v>http://twitter.com/joeclowery</v>
      </c>
      <c r="F536" s="2" t="str">
        <f>HYPERLINK("https://muckrack.com/joseph-lowery-1")</f>
        <v>https://muckrack.com/joseph-lowery-1</v>
      </c>
      <c r="G536" s="2">
        <v>12100</v>
      </c>
      <c r="H536" s="2" t="s">
        <v>2643</v>
      </c>
      <c r="I536" s="2" t="s">
        <v>2644</v>
      </c>
      <c r="J536" s="2" t="s">
        <v>2033</v>
      </c>
      <c r="K536" s="2" t="s">
        <v>2645</v>
      </c>
      <c r="L536" s="2" t="s">
        <v>3316</v>
      </c>
      <c r="M536" s="5">
        <v>45435.666307870371</v>
      </c>
      <c r="N536" s="2" t="str">
        <f>HYPERLINK("http://twitter.com/joeclowery/status/1793733511222001929")</f>
        <v>http://twitter.com/joeclowery/status/1793733511222001929</v>
      </c>
      <c r="O536" s="2" t="str">
        <f>HYPERLINK("https://www.ussoccer.com/stories/2024/05/2024-us-open-cup-quarterfinal-semifinal-final-broadcast-info-apple-tv")</f>
        <v>https://www.ussoccer.com/stories/2024/05/2024-us-open-cup-quarterfinal-semifinal-final-broadcast-info-apple-tv</v>
      </c>
    </row>
    <row r="537" spans="1:15" ht="39.6" x14ac:dyDescent="0.3">
      <c r="A537" s="2" t="s">
        <v>456</v>
      </c>
      <c r="B537" s="2" t="s">
        <v>2208</v>
      </c>
      <c r="C537" s="2"/>
      <c r="D537" s="2" t="s">
        <v>2209</v>
      </c>
      <c r="E537" s="2" t="str">
        <f>HYPERLINK("http://twitter.com/JeremiahOshan")</f>
        <v>http://twitter.com/JeremiahOshan</v>
      </c>
      <c r="F537" s="2" t="str">
        <f>HYPERLINK("https://muckrack.com/jeremiah-oshan")</f>
        <v>https://muckrack.com/jeremiah-oshan</v>
      </c>
      <c r="G537" s="2">
        <v>14367</v>
      </c>
      <c r="H537" s="2" t="s">
        <v>2210</v>
      </c>
      <c r="I537" s="2" t="s">
        <v>2211</v>
      </c>
      <c r="J537" s="2" t="s">
        <v>1929</v>
      </c>
      <c r="K537" s="2" t="s">
        <v>2212</v>
      </c>
      <c r="L537" s="2" t="s">
        <v>3317</v>
      </c>
      <c r="M537" s="5">
        <v>45435.808807870373</v>
      </c>
      <c r="N537" s="2" t="str">
        <f>HYPERLINK("http://twitter.com/JeremiahOshan/status/1793785151639667099")</f>
        <v>http://twitter.com/JeremiahOshan/status/1793785151639667099</v>
      </c>
      <c r="O537" s="2" t="str">
        <f>HYPERLINK("https://www.ussoccer.com/stories/2024/05/2024-us-open-cup-quarterfinal-semifinal-final-broadcast-info-apple-tv")</f>
        <v>https://www.ussoccer.com/stories/2024/05/2024-us-open-cup-quarterfinal-semifinal-final-broadcast-info-apple-tv</v>
      </c>
    </row>
    <row r="538" spans="1:15" ht="52.8" x14ac:dyDescent="0.3">
      <c r="A538" s="2" t="s">
        <v>3318</v>
      </c>
      <c r="B538" s="2" t="s">
        <v>3319</v>
      </c>
      <c r="C538" s="2"/>
      <c r="D538" s="2" t="s">
        <v>3320</v>
      </c>
      <c r="E538" s="2" t="str">
        <f>HYPERLINK("http://twitter.com/sadovnik1965")</f>
        <v>http://twitter.com/sadovnik1965</v>
      </c>
      <c r="F538" s="2" t="str">
        <f>HYPERLINK("https://muckrack.com/sammy-sadovnik")</f>
        <v>https://muckrack.com/sammy-sadovnik</v>
      </c>
      <c r="G538" s="2">
        <v>45052</v>
      </c>
      <c r="H538" s="2" t="s">
        <v>3321</v>
      </c>
      <c r="I538" s="2" t="s">
        <v>3322</v>
      </c>
      <c r="J538" s="2" t="s">
        <v>1929</v>
      </c>
      <c r="K538" s="2" t="s">
        <v>3323</v>
      </c>
      <c r="L538" s="2" t="s">
        <v>3316</v>
      </c>
      <c r="M538" s="5">
        <v>45435.994108796287</v>
      </c>
      <c r="N538" s="2" t="str">
        <f>HYPERLINK("http://twitter.com/sadovnik1965/status/1793852302027075834")</f>
        <v>http://twitter.com/sadovnik1965/status/1793852302027075834</v>
      </c>
      <c r="O538" s="2" t="str">
        <f>HYPERLINK("https://www.ussoccer.com/stories/2024/05/2024-us-open-cup-quarterfinal-semifinal-final-broadcast-info-apple-tv")</f>
        <v>https://www.ussoccer.com/stories/2024/05/2024-us-open-cup-quarterfinal-semifinal-final-broadcast-info-apple-tv</v>
      </c>
    </row>
    <row r="539" spans="1:15" ht="66" x14ac:dyDescent="0.3">
      <c r="A539" s="2" t="s">
        <v>2151</v>
      </c>
      <c r="B539" s="2" t="s">
        <v>1949</v>
      </c>
      <c r="C539" s="2" t="s">
        <v>2152</v>
      </c>
      <c r="D539" s="2" t="s">
        <v>2153</v>
      </c>
      <c r="E539" s="2" t="str">
        <f>HYPERLINK("http://twitter.com/tonykatz")</f>
        <v>http://twitter.com/tonykatz</v>
      </c>
      <c r="F539" s="2" t="str">
        <f>HYPERLINK("https://muckrack.com/tony-katz")</f>
        <v>https://muckrack.com/tony-katz</v>
      </c>
      <c r="G539" s="2">
        <v>41898</v>
      </c>
      <c r="H539" s="2" t="s">
        <v>2154</v>
      </c>
      <c r="I539" s="2" t="s">
        <v>2155</v>
      </c>
      <c r="J539" s="2" t="s">
        <v>1954</v>
      </c>
      <c r="K539" s="2" t="s">
        <v>2156</v>
      </c>
      <c r="L539" s="2" t="s">
        <v>3324</v>
      </c>
      <c r="M539" s="5">
        <v>45435.631666666668</v>
      </c>
      <c r="N539" s="2" t="str">
        <f>HYPERLINK("http://twitter.com/tonykatz/status/1793720958785925610")</f>
        <v>http://twitter.com/tonykatz/status/1793720958785925610</v>
      </c>
      <c r="O539" s="2" t="str">
        <f>HYPERLINK("https://www.indyeleven.com/news/2024/05/23/2024-lamar-hunt-u-s-open-cup-quarterfinals-to-stream-on-mls-season-pass-on-apple-tv/")</f>
        <v>https://www.indyeleven.com/news/2024/05/23/2024-lamar-hunt-u-s-open-cup-quarterfinals-to-stream-on-mls-season-pass-on-apple-tv/</v>
      </c>
    </row>
    <row r="540" spans="1:15" ht="66" x14ac:dyDescent="0.3">
      <c r="A540" s="2" t="s">
        <v>2436</v>
      </c>
      <c r="B540" s="2" t="s">
        <v>2437</v>
      </c>
      <c r="C540" s="2" t="s">
        <v>2438</v>
      </c>
      <c r="D540" s="2" t="s">
        <v>2439</v>
      </c>
      <c r="E540" s="2" t="str">
        <f>HYPERLINK("http://twitter.com/MattGlenesk")</f>
        <v>http://twitter.com/MattGlenesk</v>
      </c>
      <c r="F540" s="2" t="str">
        <f>HYPERLINK("https://muckrack.com/matthew-glenesk")</f>
        <v>https://muckrack.com/matthew-glenesk</v>
      </c>
      <c r="G540" s="2">
        <v>8773</v>
      </c>
      <c r="H540" s="2" t="s">
        <v>2440</v>
      </c>
      <c r="I540" s="2" t="s">
        <v>2441</v>
      </c>
      <c r="J540" s="2" t="s">
        <v>2000</v>
      </c>
      <c r="K540" s="2" t="s">
        <v>321</v>
      </c>
      <c r="L540" s="2" t="s">
        <v>3325</v>
      </c>
      <c r="M540" s="5">
        <v>45435.577488425923</v>
      </c>
      <c r="N540" s="2" t="str">
        <f>HYPERLINK("http://twitter.com/MattGlenesk/status/1793701321750856161")</f>
        <v>http://twitter.com/MattGlenesk/status/1793701321750856161</v>
      </c>
      <c r="O540" s="2" t="str">
        <f t="shared" ref="O540:O547" si="18">HYPERLINK("https://www.indystar.com/story/opinion/columnists/james-briggs/2024/05/23/indianapolis-insults-ersal-ozdemir-in-mls-soccer-quest/73818624007/")</f>
        <v>https://www.indystar.com/story/opinion/columnists/james-briggs/2024/05/23/indianapolis-insults-ersal-ozdemir-in-mls-soccer-quest/73818624007/</v>
      </c>
    </row>
    <row r="541" spans="1:15" ht="66" x14ac:dyDescent="0.3">
      <c r="A541" s="2" t="s">
        <v>2119</v>
      </c>
      <c r="B541" s="2" t="s">
        <v>2120</v>
      </c>
      <c r="C541" s="2" t="s">
        <v>2121</v>
      </c>
      <c r="D541" s="2" t="s">
        <v>2122</v>
      </c>
      <c r="E541" s="2" t="str">
        <f>HYPERLINK("http://twitter.com/starwatchtim")</f>
        <v>http://twitter.com/starwatchtim</v>
      </c>
      <c r="F541" s="2" t="str">
        <f>HYPERLINK("https://muckrack.com/starwatchtim")</f>
        <v>https://muckrack.com/starwatchtim</v>
      </c>
      <c r="G541" s="2">
        <v>7285</v>
      </c>
      <c r="H541" s="2" t="s">
        <v>2123</v>
      </c>
      <c r="I541" s="2" t="s">
        <v>2124</v>
      </c>
      <c r="J541" s="2" t="s">
        <v>2125</v>
      </c>
      <c r="K541" s="2" t="s">
        <v>321</v>
      </c>
      <c r="L541" s="2" t="s">
        <v>3325</v>
      </c>
      <c r="M541" s="5">
        <v>45435.887812499997</v>
      </c>
      <c r="N541" s="2" t="str">
        <f>HYPERLINK("http://twitter.com/starwatchtim/status/1793813779559391553")</f>
        <v>http://twitter.com/starwatchtim/status/1793813779559391553</v>
      </c>
      <c r="O541" s="2" t="str">
        <f t="shared" si="18"/>
        <v>https://www.indystar.com/story/opinion/columnists/james-briggs/2024/05/23/indianapolis-insults-ersal-ozdemir-in-mls-soccer-quest/73818624007/</v>
      </c>
    </row>
    <row r="542" spans="1:15" ht="66" x14ac:dyDescent="0.3">
      <c r="A542" s="2" t="s">
        <v>2119</v>
      </c>
      <c r="B542" s="2" t="s">
        <v>2120</v>
      </c>
      <c r="C542" s="2" t="s">
        <v>2121</v>
      </c>
      <c r="D542" s="2" t="s">
        <v>2122</v>
      </c>
      <c r="E542" s="2" t="str">
        <f>HYPERLINK("http://twitter.com/starwatchtim")</f>
        <v>http://twitter.com/starwatchtim</v>
      </c>
      <c r="F542" s="2" t="str">
        <f>HYPERLINK("https://muckrack.com/starwatchtim")</f>
        <v>https://muckrack.com/starwatchtim</v>
      </c>
      <c r="G542" s="2">
        <v>7285</v>
      </c>
      <c r="H542" s="2" t="s">
        <v>2123</v>
      </c>
      <c r="I542" s="2" t="s">
        <v>2124</v>
      </c>
      <c r="J542" s="2" t="s">
        <v>2125</v>
      </c>
      <c r="K542" s="2" t="s">
        <v>321</v>
      </c>
      <c r="L542" s="2" t="s">
        <v>3326</v>
      </c>
      <c r="M542" s="5">
        <v>45436.361076388886</v>
      </c>
      <c r="N542" s="2" t="str">
        <f>HYPERLINK("http://twitter.com/starwatchtim/status/1793985285598163296")</f>
        <v>http://twitter.com/starwatchtim/status/1793985285598163296</v>
      </c>
      <c r="O542" s="2" t="str">
        <f t="shared" si="18"/>
        <v>https://www.indystar.com/story/opinion/columnists/james-briggs/2024/05/23/indianapolis-insults-ersal-ozdemir-in-mls-soccer-quest/73818624007/</v>
      </c>
    </row>
    <row r="543" spans="1:15" ht="66" x14ac:dyDescent="0.3">
      <c r="A543" s="2" t="s">
        <v>2119</v>
      </c>
      <c r="B543" s="2" t="s">
        <v>2120</v>
      </c>
      <c r="C543" s="2" t="s">
        <v>2121</v>
      </c>
      <c r="D543" s="2" t="s">
        <v>2122</v>
      </c>
      <c r="E543" s="2" t="str">
        <f>HYPERLINK("http://twitter.com/starwatchtim")</f>
        <v>http://twitter.com/starwatchtim</v>
      </c>
      <c r="F543" s="2" t="str">
        <f>HYPERLINK("https://muckrack.com/starwatchtim")</f>
        <v>https://muckrack.com/starwatchtim</v>
      </c>
      <c r="G543" s="2">
        <v>7285</v>
      </c>
      <c r="H543" s="2" t="s">
        <v>2123</v>
      </c>
      <c r="I543" s="2" t="s">
        <v>2124</v>
      </c>
      <c r="J543" s="2" t="s">
        <v>2125</v>
      </c>
      <c r="K543" s="2" t="s">
        <v>321</v>
      </c>
      <c r="L543" s="2" t="s">
        <v>3327</v>
      </c>
      <c r="M543" s="5">
        <v>45436.571527777778</v>
      </c>
      <c r="N543" s="2" t="str">
        <f>HYPERLINK("http://twitter.com/starwatchtim/status/1794061550723936543")</f>
        <v>http://twitter.com/starwatchtim/status/1794061550723936543</v>
      </c>
      <c r="O543" s="2" t="str">
        <f t="shared" si="18"/>
        <v>https://www.indystar.com/story/opinion/columnists/james-briggs/2024/05/23/indianapolis-insults-ersal-ozdemir-in-mls-soccer-quest/73818624007/</v>
      </c>
    </row>
    <row r="544" spans="1:15" ht="66" x14ac:dyDescent="0.3">
      <c r="A544" s="2" t="s">
        <v>2390</v>
      </c>
      <c r="B544" s="2" t="s">
        <v>2036</v>
      </c>
      <c r="C544" s="2" t="s">
        <v>2391</v>
      </c>
      <c r="D544" s="2" t="s">
        <v>2392</v>
      </c>
      <c r="E544" s="2" t="str">
        <f>HYPERLINK("http://twitter.com/GreggDoyelStar")</f>
        <v>http://twitter.com/GreggDoyelStar</v>
      </c>
      <c r="F544" s="2" t="str">
        <f>HYPERLINK("https://muckrack.com/greggdoyelstar")</f>
        <v>https://muckrack.com/greggdoyelstar</v>
      </c>
      <c r="G544" s="2">
        <v>92219</v>
      </c>
      <c r="H544" s="2" t="s">
        <v>1972</v>
      </c>
      <c r="I544" s="2" t="s">
        <v>2393</v>
      </c>
      <c r="J544" s="2" t="s">
        <v>2000</v>
      </c>
      <c r="K544" s="2" t="s">
        <v>321</v>
      </c>
      <c r="L544" s="2" t="s">
        <v>3325</v>
      </c>
      <c r="M544" s="5">
        <v>45436.038252314807</v>
      </c>
      <c r="N544" s="2" t="str">
        <f>HYPERLINK("http://twitter.com/GreggDoyelStar/status/1793868296967578088")</f>
        <v>http://twitter.com/GreggDoyelStar/status/1793868296967578088</v>
      </c>
      <c r="O544" s="2" t="str">
        <f t="shared" si="18"/>
        <v>https://www.indystar.com/story/opinion/columnists/james-briggs/2024/05/23/indianapolis-insults-ersal-ozdemir-in-mls-soccer-quest/73818624007/</v>
      </c>
    </row>
    <row r="545" spans="1:15" ht="66" x14ac:dyDescent="0.3">
      <c r="A545" s="2" t="s">
        <v>2390</v>
      </c>
      <c r="B545" s="2" t="s">
        <v>2036</v>
      </c>
      <c r="C545" s="2" t="s">
        <v>2391</v>
      </c>
      <c r="D545" s="2" t="s">
        <v>2392</v>
      </c>
      <c r="E545" s="2" t="str">
        <f>HYPERLINK("http://twitter.com/GreggDoyelStar")</f>
        <v>http://twitter.com/GreggDoyelStar</v>
      </c>
      <c r="F545" s="2" t="str">
        <f>HYPERLINK("https://muckrack.com/greggdoyelstar")</f>
        <v>https://muckrack.com/greggdoyelstar</v>
      </c>
      <c r="G545" s="2">
        <v>92219</v>
      </c>
      <c r="H545" s="2" t="s">
        <v>1972</v>
      </c>
      <c r="I545" s="2" t="s">
        <v>2393</v>
      </c>
      <c r="J545" s="2" t="s">
        <v>2000</v>
      </c>
      <c r="K545" s="2" t="s">
        <v>321</v>
      </c>
      <c r="L545" s="2" t="s">
        <v>3328</v>
      </c>
      <c r="M545" s="5">
        <v>45437.405046296299</v>
      </c>
      <c r="N545" s="2" t="str">
        <f>HYPERLINK("http://twitter.com/GreggDoyelStar/status/1794363609629508084")</f>
        <v>http://twitter.com/GreggDoyelStar/status/1794363609629508084</v>
      </c>
      <c r="O545" s="2" t="str">
        <f t="shared" si="18"/>
        <v>https://www.indystar.com/story/opinion/columnists/james-briggs/2024/05/23/indianapolis-insults-ersal-ozdemir-in-mls-soccer-quest/73818624007/</v>
      </c>
    </row>
    <row r="546" spans="1:15" ht="66" x14ac:dyDescent="0.3">
      <c r="A546" s="2" t="s">
        <v>3329</v>
      </c>
      <c r="B546" s="2" t="s">
        <v>3330</v>
      </c>
      <c r="C546" s="2" t="s">
        <v>3331</v>
      </c>
      <c r="D546" s="2" t="s">
        <v>3332</v>
      </c>
      <c r="E546" s="2" t="str">
        <f>HYPERLINK("http://twitter.com/Pat_Garofalo")</f>
        <v>http://twitter.com/Pat_Garofalo</v>
      </c>
      <c r="F546" s="2" t="str">
        <f>HYPERLINK("https://muckrack.com/pat_garofalo")</f>
        <v>https://muckrack.com/pat_garofalo</v>
      </c>
      <c r="G546" s="2">
        <v>4739</v>
      </c>
      <c r="H546" s="2" t="s">
        <v>3333</v>
      </c>
      <c r="I546" s="2" t="s">
        <v>3334</v>
      </c>
      <c r="J546" s="2" t="s">
        <v>3335</v>
      </c>
      <c r="K546" s="2" t="s">
        <v>3336</v>
      </c>
      <c r="L546" s="2" t="s">
        <v>3337</v>
      </c>
      <c r="M546" s="5">
        <v>45436.420381944437</v>
      </c>
      <c r="N546" s="2" t="str">
        <f>HYPERLINK("http://twitter.com/Pat_Garofalo/status/1794006777127645575")</f>
        <v>http://twitter.com/Pat_Garofalo/status/1794006777127645575</v>
      </c>
      <c r="O546" s="2" t="str">
        <f t="shared" si="18"/>
        <v>https://www.indystar.com/story/opinion/columnists/james-briggs/2024/05/23/indianapolis-insults-ersal-ozdemir-in-mls-soccer-quest/73818624007/</v>
      </c>
    </row>
    <row r="547" spans="1:15" ht="66" x14ac:dyDescent="0.3">
      <c r="A547" s="2" t="s">
        <v>3306</v>
      </c>
      <c r="B547" s="2" t="s">
        <v>2467</v>
      </c>
      <c r="C547" s="2" t="s">
        <v>3307</v>
      </c>
      <c r="D547" s="2" t="s">
        <v>3308</v>
      </c>
      <c r="E547" s="2" t="str">
        <f>HYPERLINK("http://twitter.com/ChrisSikich")</f>
        <v>http://twitter.com/ChrisSikich</v>
      </c>
      <c r="F547" s="2" t="str">
        <f>HYPERLINK("https://muckrack.com/chrissikich")</f>
        <v>https://muckrack.com/chrissikich</v>
      </c>
      <c r="G547" s="2">
        <v>7531</v>
      </c>
      <c r="H547" s="2" t="s">
        <v>2132</v>
      </c>
      <c r="I547" s="2" t="s">
        <v>3309</v>
      </c>
      <c r="J547" s="2" t="s">
        <v>2008</v>
      </c>
      <c r="K547" s="2" t="s">
        <v>1974</v>
      </c>
      <c r="L547" s="2" t="s">
        <v>3328</v>
      </c>
      <c r="M547" s="5">
        <v>45436.573738425926</v>
      </c>
      <c r="N547" s="2" t="str">
        <f>HYPERLINK("http://twitter.com/ChrisSikich/status/1794062353962545214")</f>
        <v>http://twitter.com/ChrisSikich/status/1794062353962545214</v>
      </c>
      <c r="O547" s="2" t="str">
        <f t="shared" si="18"/>
        <v>https://www.indystar.com/story/opinion/columnists/james-briggs/2024/05/23/indianapolis-insults-ersal-ozdemir-in-mls-soccer-quest/73818624007/</v>
      </c>
    </row>
    <row r="548" spans="1:15" ht="52.8" x14ac:dyDescent="0.3">
      <c r="A548" s="2" t="s">
        <v>1252</v>
      </c>
      <c r="B548" s="2" t="s">
        <v>3338</v>
      </c>
      <c r="C548" s="2" t="s">
        <v>3339</v>
      </c>
      <c r="D548" s="2" t="s">
        <v>3340</v>
      </c>
      <c r="E548" s="2" t="str">
        <f>HYPERLINK("http://twitter.com/jared_ramsey22")</f>
        <v>http://twitter.com/jared_ramsey22</v>
      </c>
      <c r="F548" s="2" t="str">
        <f>HYPERLINK("https://muckrack.com/jared-ramsey-4")</f>
        <v>https://muckrack.com/jared-ramsey-4</v>
      </c>
      <c r="G548" s="2">
        <v>1237</v>
      </c>
      <c r="H548" s="2" t="s">
        <v>2039</v>
      </c>
      <c r="I548" s="2" t="s">
        <v>3341</v>
      </c>
      <c r="J548" s="2" t="s">
        <v>2706</v>
      </c>
      <c r="K548" s="2" t="s">
        <v>688</v>
      </c>
      <c r="L548" s="2" t="s">
        <v>3342</v>
      </c>
      <c r="M548" s="5">
        <v>45435.534629629627</v>
      </c>
      <c r="N548" s="2" t="str">
        <f>HYPERLINK("http://twitter.com/jared_ramsey22/status/1793685791001985146")</f>
        <v>http://twitter.com/jared_ramsey22/status/1793685791001985146</v>
      </c>
      <c r="O548" s="2" t="str">
        <f>HYPERLINK("https://www.freep.com/story/sports/2024/05/23/detroit-city-fc-knocked-out-of-u-s-open-cup-in-round-of-16/73817277007/")</f>
        <v>https://www.freep.com/story/sports/2024/05/23/detroit-city-fc-knocked-out-of-u-s-open-cup-in-round-of-16/73817277007/</v>
      </c>
    </row>
    <row r="549" spans="1:15" ht="66" x14ac:dyDescent="0.3">
      <c r="A549" s="2" t="s">
        <v>2151</v>
      </c>
      <c r="B549" s="2" t="s">
        <v>1949</v>
      </c>
      <c r="C549" s="2" t="s">
        <v>2152</v>
      </c>
      <c r="D549" s="2" t="s">
        <v>2153</v>
      </c>
      <c r="E549" s="2" t="str">
        <f>HYPERLINK("http://twitter.com/tonykatz")</f>
        <v>http://twitter.com/tonykatz</v>
      </c>
      <c r="F549" s="2" t="str">
        <f>HYPERLINK("https://muckrack.com/tony-katz")</f>
        <v>https://muckrack.com/tony-katz</v>
      </c>
      <c r="G549" s="2">
        <v>41898</v>
      </c>
      <c r="H549" s="2" t="s">
        <v>2154</v>
      </c>
      <c r="I549" s="2" t="s">
        <v>2155</v>
      </c>
      <c r="J549" s="2" t="s">
        <v>1954</v>
      </c>
      <c r="K549" s="2" t="s">
        <v>2156</v>
      </c>
      <c r="L549" s="2" t="s">
        <v>3343</v>
      </c>
      <c r="M549" s="5">
        <v>45435.602129629631</v>
      </c>
      <c r="N549" s="2" t="str">
        <f>HYPERLINK("http://twitter.com/tonykatz/status/1793710254850486471")</f>
        <v>http://twitter.com/tonykatz/status/1793710254850486471</v>
      </c>
      <c r="O549" s="2" t="str">
        <f>HYPERLINK("https://wibc.com/346892/hogsett-and-the-city-of-indianapolis-want-to-buy-former-diamond-chain-site-because-of-the-human-remains-being-found-there-no-thats-a-ruse/")</f>
        <v>https://wibc.com/346892/hogsett-and-the-city-of-indianapolis-want-to-buy-former-diamond-chain-site-because-of-the-human-remains-being-found-there-no-thats-a-ruse/</v>
      </c>
    </row>
    <row r="550" spans="1:15" ht="66" x14ac:dyDescent="0.3">
      <c r="A550" s="2" t="s">
        <v>2151</v>
      </c>
      <c r="B550" s="2" t="s">
        <v>1949</v>
      </c>
      <c r="C550" s="2" t="s">
        <v>2152</v>
      </c>
      <c r="D550" s="2" t="s">
        <v>2153</v>
      </c>
      <c r="E550" s="2" t="str">
        <f>HYPERLINK("http://twitter.com/tonykatz")</f>
        <v>http://twitter.com/tonykatz</v>
      </c>
      <c r="F550" s="2" t="str">
        <f>HYPERLINK("https://muckrack.com/tony-katz")</f>
        <v>https://muckrack.com/tony-katz</v>
      </c>
      <c r="G550" s="2">
        <v>41898</v>
      </c>
      <c r="H550" s="2" t="s">
        <v>2154</v>
      </c>
      <c r="I550" s="2" t="s">
        <v>2155</v>
      </c>
      <c r="J550" s="2" t="s">
        <v>1954</v>
      </c>
      <c r="K550" s="2" t="s">
        <v>2156</v>
      </c>
      <c r="L550" s="2" t="s">
        <v>3344</v>
      </c>
      <c r="M550" s="5">
        <v>45435.602175925917</v>
      </c>
      <c r="N550" s="2" t="str">
        <f>HYPERLINK("http://twitter.com/tonykatz/status/1793710271518904541")</f>
        <v>http://twitter.com/tonykatz/status/1793710271518904541</v>
      </c>
      <c r="O550" s="2" t="str">
        <f>HYPERLINK("https://wibc.com/346892/hogsett-and-the-city-of-indianapolis-want-to-buy-former-diamond-chain-site-because-of-the-human-remains-being-found-there-no-thats-a-ruse/")</f>
        <v>https://wibc.com/346892/hogsett-and-the-city-of-indianapolis-want-to-buy-former-diamond-chain-site-because-of-the-human-remains-being-found-there-no-thats-a-ruse/</v>
      </c>
    </row>
    <row r="551" spans="1:15" ht="66" x14ac:dyDescent="0.3">
      <c r="A551" s="2" t="s">
        <v>2151</v>
      </c>
      <c r="B551" s="2" t="s">
        <v>1949</v>
      </c>
      <c r="C551" s="2" t="s">
        <v>2152</v>
      </c>
      <c r="D551" s="2" t="s">
        <v>2153</v>
      </c>
      <c r="E551" s="2" t="str">
        <f>HYPERLINK("http://twitter.com/tonykatz")</f>
        <v>http://twitter.com/tonykatz</v>
      </c>
      <c r="F551" s="2" t="str">
        <f>HYPERLINK("https://muckrack.com/tony-katz")</f>
        <v>https://muckrack.com/tony-katz</v>
      </c>
      <c r="G551" s="2">
        <v>41898</v>
      </c>
      <c r="H551" s="2" t="s">
        <v>2154</v>
      </c>
      <c r="I551" s="2" t="s">
        <v>2155</v>
      </c>
      <c r="J551" s="2" t="s">
        <v>1954</v>
      </c>
      <c r="K551" s="2" t="s">
        <v>2156</v>
      </c>
      <c r="L551" s="2" t="s">
        <v>3345</v>
      </c>
      <c r="M551" s="5">
        <v>45440.810624999998</v>
      </c>
      <c r="N551" s="2" t="str">
        <f>HYPERLINK("http://twitter.com/tonykatz/status/1795597749661880444")</f>
        <v>http://twitter.com/tonykatz/status/1795597749661880444</v>
      </c>
      <c r="O551" s="2" t="str">
        <f>HYPERLINK("https://wibc.com/346892/hogsett-and-the-city-of-indianapolis-want-to-buy-former-diamond-chain-site-because-of-the-human-remains-being-found-there-no-thats-a-ruse/")</f>
        <v>https://wibc.com/346892/hogsett-and-the-city-of-indianapolis-want-to-buy-former-diamond-chain-site-because-of-the-human-remains-being-found-there-no-thats-a-ruse/</v>
      </c>
    </row>
    <row r="552" spans="1:15" ht="52.8" x14ac:dyDescent="0.3">
      <c r="A552" s="2" t="s">
        <v>608</v>
      </c>
      <c r="B552" s="2" t="s">
        <v>2892</v>
      </c>
      <c r="C552" s="2" t="s">
        <v>2893</v>
      </c>
      <c r="D552" s="2" t="s">
        <v>2894</v>
      </c>
      <c r="E552" s="2" t="str">
        <f>HYPERLINK("http://twitter.com/JillASheridan")</f>
        <v>http://twitter.com/JillASheridan</v>
      </c>
      <c r="F552" s="2" t="str">
        <f>HYPERLINK("https://muckrack.com/jill-sheridan")</f>
        <v>https://muckrack.com/jill-sheridan</v>
      </c>
      <c r="G552" s="2">
        <v>1289</v>
      </c>
      <c r="H552" s="2" t="s">
        <v>2132</v>
      </c>
      <c r="I552" s="2" t="s">
        <v>2895</v>
      </c>
      <c r="J552" s="2" t="s">
        <v>2008</v>
      </c>
      <c r="K552" s="2" t="s">
        <v>609</v>
      </c>
      <c r="L552" s="2" t="s">
        <v>3346</v>
      </c>
      <c r="M552" s="5">
        <v>45435.701666666668</v>
      </c>
      <c r="N552" s="2" t="str">
        <f>HYPERLINK("http://twitter.com/JillASheridan/status/1793746324182978904")</f>
        <v>http://twitter.com/JillASheridan/status/1793746324182978904</v>
      </c>
      <c r="O552" s="2" t="str">
        <f>HYPERLINK("https://www.wfyi.org/news/articles/city-offers-to-buy-eleven-park-site-citing-concerns-about-historical-cemetery")</f>
        <v>https://www.wfyi.org/news/articles/city-offers-to-buy-eleven-park-site-citing-concerns-about-historical-cemetery</v>
      </c>
    </row>
    <row r="553" spans="1:15" ht="39.6" x14ac:dyDescent="0.3">
      <c r="A553" s="2" t="s">
        <v>616</v>
      </c>
      <c r="B553" s="2" t="s">
        <v>1976</v>
      </c>
      <c r="C553" s="2" t="s">
        <v>1977</v>
      </c>
      <c r="D553" s="2" t="s">
        <v>1978</v>
      </c>
      <c r="E553" s="2" t="str">
        <f>HYPERLINK("http://twitter.com/ryanmartin")</f>
        <v>http://twitter.com/ryanmartin</v>
      </c>
      <c r="F553" s="2" t="str">
        <f>HYPERLINK("https://muckrack.com/ryanmartin")</f>
        <v>https://muckrack.com/ryanmartin</v>
      </c>
      <c r="G553" s="2">
        <v>11135</v>
      </c>
      <c r="H553" s="2" t="s">
        <v>1972</v>
      </c>
      <c r="I553" s="2" t="s">
        <v>1979</v>
      </c>
      <c r="J553" s="2" t="s">
        <v>1954</v>
      </c>
      <c r="K553" s="2" t="s">
        <v>1974</v>
      </c>
      <c r="L553" s="2" t="s">
        <v>3347</v>
      </c>
      <c r="M553" s="5">
        <v>45435.508310185192</v>
      </c>
      <c r="N553" s="2" t="str">
        <f>HYPERLINK("http://twitter.com/ryanmartin/status/1793676252999504161")</f>
        <v>http://twitter.com/ryanmartin/status/1793676252999504161</v>
      </c>
      <c r="O553" s="2" t="str">
        <f>HYPERLINK("https://mirrorindy.org/daily-newsletter-may-23-2024/")</f>
        <v>https://mirrorindy.org/daily-newsletter-may-23-2024/</v>
      </c>
    </row>
    <row r="554" spans="1:15" ht="39.6" x14ac:dyDescent="0.3">
      <c r="A554" s="2" t="s">
        <v>1569</v>
      </c>
      <c r="B554" s="2" t="s">
        <v>3019</v>
      </c>
      <c r="C554" s="2" t="s">
        <v>3020</v>
      </c>
      <c r="D554" s="2" t="s">
        <v>3021</v>
      </c>
      <c r="E554" s="2" t="str">
        <f>HYPERLINK("http://twitter.com/peterlblanchard")</f>
        <v>http://twitter.com/peterlblanchard</v>
      </c>
      <c r="F554" s="2" t="str">
        <f>HYPERLINK("https://muckrack.com/peterblanchard")</f>
        <v>https://muckrack.com/peterblanchard</v>
      </c>
      <c r="G554" s="2">
        <v>1926</v>
      </c>
      <c r="H554" s="2" t="s">
        <v>1972</v>
      </c>
      <c r="I554" s="2" t="s">
        <v>3022</v>
      </c>
      <c r="J554" s="2" t="s">
        <v>3023</v>
      </c>
      <c r="K554" s="2" t="s">
        <v>132</v>
      </c>
      <c r="L554" s="2" t="s">
        <v>3348</v>
      </c>
      <c r="M554" s="5">
        <v>45435.822858796288</v>
      </c>
      <c r="N554" s="2" t="str">
        <f>HYPERLINK("http://twitter.com/peterlblanchard/status/1793790243570688214")</f>
        <v>http://twitter.com/peterlblanchard/status/1793790243570688214</v>
      </c>
      <c r="O554" s="2" t="str">
        <f>HYPERLINK("https://mirrorindy.org/daily-newsletter-may-23-2024/")</f>
        <v>https://mirrorindy.org/daily-newsletter-may-23-2024/</v>
      </c>
    </row>
    <row r="555" spans="1:15" ht="52.8" x14ac:dyDescent="0.3">
      <c r="A555" s="2" t="s">
        <v>60</v>
      </c>
      <c r="B555" s="2" t="s">
        <v>1924</v>
      </c>
      <c r="C555" s="2" t="s">
        <v>1925</v>
      </c>
      <c r="D555" s="2" t="s">
        <v>1926</v>
      </c>
      <c r="E555" s="2" t="str">
        <f>HYPERLINK("http://twitter.com/Soccerwriter")</f>
        <v>http://twitter.com/Soccerwriter</v>
      </c>
      <c r="F555" s="2" t="str">
        <f>HYPERLINK("https://muckrack.com/michael-lewis-4")</f>
        <v>https://muckrack.com/michael-lewis-4</v>
      </c>
      <c r="G555" s="2">
        <v>9867</v>
      </c>
      <c r="H555" s="2" t="s">
        <v>1927</v>
      </c>
      <c r="I555" s="2" t="s">
        <v>1928</v>
      </c>
      <c r="J555" s="2" t="s">
        <v>1929</v>
      </c>
      <c r="K555" s="2" t="s">
        <v>1930</v>
      </c>
      <c r="L555" s="2" t="s">
        <v>3349</v>
      </c>
      <c r="M555" s="5">
        <v>45435.307673611111</v>
      </c>
      <c r="N555" s="2" t="str">
        <f>HYPERLINK("http://twitter.com/Soccerwriter/status/1793603544295072010")</f>
        <v>http://twitter.com/Soccerwriter/status/1793603544295072010</v>
      </c>
      <c r="O555" s="2" t="str">
        <f>HYPERLINK("https://www.frontrowsoccer.com/2024/05/23/into-the-quarterfinals-fc-dallas-sounders-indy-eleven-advance-in-open-cup/")</f>
        <v>https://www.frontrowsoccer.com/2024/05/23/into-the-quarterfinals-fc-dallas-sounders-indy-eleven-advance-in-open-cup/</v>
      </c>
    </row>
    <row r="556" spans="1:15" ht="52.8" x14ac:dyDescent="0.3">
      <c r="A556" s="2" t="s">
        <v>60</v>
      </c>
      <c r="B556" s="2" t="s">
        <v>1924</v>
      </c>
      <c r="C556" s="2" t="s">
        <v>1925</v>
      </c>
      <c r="D556" s="2" t="s">
        <v>1926</v>
      </c>
      <c r="E556" s="2" t="str">
        <f>HYPERLINK("http://twitter.com/Soccerwriter")</f>
        <v>http://twitter.com/Soccerwriter</v>
      </c>
      <c r="F556" s="2" t="str">
        <f>HYPERLINK("https://muckrack.com/michael-lewis-4")</f>
        <v>https://muckrack.com/michael-lewis-4</v>
      </c>
      <c r="G556" s="2">
        <v>9867</v>
      </c>
      <c r="H556" s="2" t="s">
        <v>1927</v>
      </c>
      <c r="I556" s="2" t="s">
        <v>1928</v>
      </c>
      <c r="J556" s="2" t="s">
        <v>1929</v>
      </c>
      <c r="K556" s="2" t="s">
        <v>1930</v>
      </c>
      <c r="L556" s="2" t="s">
        <v>3350</v>
      </c>
      <c r="M556" s="5">
        <v>45437.326631944437</v>
      </c>
      <c r="N556" s="2" t="str">
        <f>HYPERLINK("http://twitter.com/Soccerwriter/status/1794335193299579223")</f>
        <v>http://twitter.com/Soccerwriter/status/1794335193299579223</v>
      </c>
      <c r="O556" s="2" t="str">
        <f>HYPERLINK("https://www.frontrowsoccer.com/2024/05/23/into-the-quarterfinals-fc-dallas-sounders-indy-eleven-advance-in-open-cup/")</f>
        <v>https://www.frontrowsoccer.com/2024/05/23/into-the-quarterfinals-fc-dallas-sounders-indy-eleven-advance-in-open-cup/</v>
      </c>
    </row>
    <row r="557" spans="1:15" ht="52.8" x14ac:dyDescent="0.3">
      <c r="A557" s="2" t="s">
        <v>3351</v>
      </c>
      <c r="B557" s="2" t="s">
        <v>3352</v>
      </c>
      <c r="C557" s="2" t="s">
        <v>3353</v>
      </c>
      <c r="D557" s="2" t="s">
        <v>3354</v>
      </c>
      <c r="E557" s="2" t="str">
        <f>HYPERLINK("http://twitter.com/kbaxter11")</f>
        <v>http://twitter.com/kbaxter11</v>
      </c>
      <c r="F557" s="2" t="str">
        <f>HYPERLINK("https://muckrack.com/kevin-baxter")</f>
        <v>https://muckrack.com/kevin-baxter</v>
      </c>
      <c r="G557" s="2">
        <v>11295</v>
      </c>
      <c r="H557" s="2" t="s">
        <v>3355</v>
      </c>
      <c r="I557" s="2" t="s">
        <v>3356</v>
      </c>
      <c r="J557" s="2" t="s">
        <v>3357</v>
      </c>
      <c r="K557" s="2" t="s">
        <v>3358</v>
      </c>
      <c r="L557" s="2" t="s">
        <v>3359</v>
      </c>
      <c r="M557" s="5">
        <v>45435.532094907408</v>
      </c>
      <c r="N557" s="2" t="str">
        <f>HYPERLINK("http://twitter.com/kbaxter11/status/1793684871317188800")</f>
        <v>http://twitter.com/kbaxter11/status/1793684871317188800</v>
      </c>
      <c r="O557" s="2" t="str">
        <f>HYPERLINK("https://www.socceramerica.com/newsletter/thursday-am-more-late-open-cup-drama-top-nwsl-gm-resigns/")</f>
        <v>https://www.socceramerica.com/newsletter/thursday-am-more-late-open-cup-drama-top-nwsl-gm-resigns/</v>
      </c>
    </row>
    <row r="558" spans="1:15" ht="52.8" x14ac:dyDescent="0.3">
      <c r="A558" s="2" t="s">
        <v>1564</v>
      </c>
      <c r="B558" s="2" t="s">
        <v>2770</v>
      </c>
      <c r="C558" s="2" t="s">
        <v>3360</v>
      </c>
      <c r="D558" s="2" t="s">
        <v>3361</v>
      </c>
      <c r="E558" s="2" t="str">
        <f>HYPERLINK("http://twitter.com/FelipeCar")</f>
        <v>http://twitter.com/FelipeCar</v>
      </c>
      <c r="F558" s="2" t="str">
        <f>HYPERLINK("https://muckrack.com/felipe-cardenas")</f>
        <v>https://muckrack.com/felipe-cardenas</v>
      </c>
      <c r="G558" s="2">
        <v>19598</v>
      </c>
      <c r="H558" s="2" t="s">
        <v>2728</v>
      </c>
      <c r="I558" s="2" t="s">
        <v>3362</v>
      </c>
      <c r="J558" s="2" t="s">
        <v>2759</v>
      </c>
      <c r="K558" s="2" t="s">
        <v>1565</v>
      </c>
      <c r="L558" s="2" t="s">
        <v>3359</v>
      </c>
      <c r="M558" s="5">
        <v>45435.5624537037</v>
      </c>
      <c r="N558" s="2" t="str">
        <f>HYPERLINK("http://twitter.com/FelipeCar/status/1793695875346354680")</f>
        <v>http://twitter.com/FelipeCar/status/1793695875346354680</v>
      </c>
      <c r="O558" s="2" t="str">
        <f>HYPERLINK("https://www.socceramerica.com/newsletter/thursday-am-more-late-open-cup-drama-top-nwsl-gm-resigns/")</f>
        <v>https://www.socceramerica.com/newsletter/thursday-am-more-late-open-cup-drama-top-nwsl-gm-resigns/</v>
      </c>
    </row>
    <row r="559" spans="1:15" ht="39.6" x14ac:dyDescent="0.3">
      <c r="A559" s="2" t="s">
        <v>263</v>
      </c>
      <c r="B559" s="2" t="s">
        <v>2221</v>
      </c>
      <c r="C559" s="2" t="s">
        <v>2222</v>
      </c>
      <c r="D559" s="2" t="s">
        <v>2223</v>
      </c>
      <c r="E559" s="2" t="str">
        <f>HYPERLINK("http://twitter.com/pkedit")</f>
        <v>http://twitter.com/pkedit</v>
      </c>
      <c r="F559" s="2" t="str">
        <f>HYPERLINK("https://muckrack.com/paul-kennedy")</f>
        <v>https://muckrack.com/paul-kennedy</v>
      </c>
      <c r="G559" s="2">
        <v>10080</v>
      </c>
      <c r="H559" s="2"/>
      <c r="I559" s="2" t="s">
        <v>2224</v>
      </c>
      <c r="J559" s="2" t="s">
        <v>1929</v>
      </c>
      <c r="K559" s="2" t="s">
        <v>264</v>
      </c>
      <c r="L559" s="2" t="s">
        <v>3363</v>
      </c>
      <c r="M559" s="5">
        <v>45435.402083333327</v>
      </c>
      <c r="N559" s="2" t="str">
        <f>HYPERLINK("http://twitter.com/pkedit/status/1793637757602206024")</f>
        <v>http://twitter.com/pkedit/status/1793637757602206024</v>
      </c>
      <c r="O559" s="2" t="str">
        <f>HYPERLINK("https://www.socceramerica.com/u-s-open-cup-four-former-champions-from-mls-advance-to-quarterfinals/")</f>
        <v>https://www.socceramerica.com/u-s-open-cup-four-former-champions-from-mls-advance-to-quarterfinals/</v>
      </c>
    </row>
    <row r="560" spans="1:15" ht="39.6" x14ac:dyDescent="0.3">
      <c r="A560" s="2" t="s">
        <v>722</v>
      </c>
      <c r="B560" s="2" t="s">
        <v>2061</v>
      </c>
      <c r="C560" s="2" t="s">
        <v>3364</v>
      </c>
      <c r="D560" s="2" t="s">
        <v>3365</v>
      </c>
      <c r="E560" s="2" t="str">
        <f>HYPERLINK("http://twitter.com/AlexMSilverman")</f>
        <v>http://twitter.com/AlexMSilverman</v>
      </c>
      <c r="F560" s="2" t="str">
        <f>HYPERLINK("https://muckrack.com/alexmsilverman")</f>
        <v>https://muckrack.com/alexmsilverman</v>
      </c>
      <c r="G560" s="2">
        <v>3746</v>
      </c>
      <c r="H560" s="2" t="s">
        <v>3366</v>
      </c>
      <c r="I560" s="2" t="s">
        <v>3367</v>
      </c>
      <c r="J560" s="2" t="s">
        <v>2273</v>
      </c>
      <c r="K560" s="2" t="s">
        <v>723</v>
      </c>
      <c r="L560" s="2" t="s">
        <v>3368</v>
      </c>
      <c r="M560" s="5">
        <v>45435.630300925928</v>
      </c>
      <c r="N560" s="2" t="str">
        <f>HYPERLINK("http://twitter.com/AlexMSilverman/status/1793720463706968497")</f>
        <v>http://twitter.com/AlexMSilverman/status/1793720463706968497</v>
      </c>
      <c r="O560" s="2" t="str">
        <f>HYPERLINK("https://www.sportsbusinessjournal.com/Articles/2024/05/23/apple-us-open-cup-streaming-rights")</f>
        <v>https://www.sportsbusinessjournal.com/Articles/2024/05/23/apple-us-open-cup-streaming-rights</v>
      </c>
    </row>
    <row r="561" spans="1:15" ht="39.6" x14ac:dyDescent="0.3">
      <c r="A561" s="2" t="s">
        <v>272</v>
      </c>
      <c r="B561" s="2" t="s">
        <v>2068</v>
      </c>
      <c r="C561" s="2"/>
      <c r="D561" s="2" t="s">
        <v>2069</v>
      </c>
      <c r="E561" s="2" t="str">
        <f>HYPERLINK("http://twitter.com/jeffrueter")</f>
        <v>http://twitter.com/jeffrueter</v>
      </c>
      <c r="F561" s="2" t="str">
        <f>HYPERLINK("https://muckrack.com/jeffrueter")</f>
        <v>https://muckrack.com/jeffrueter</v>
      </c>
      <c r="G561" s="2">
        <v>16090</v>
      </c>
      <c r="H561" s="2" t="s">
        <v>2070</v>
      </c>
      <c r="I561" s="2" t="s">
        <v>2071</v>
      </c>
      <c r="J561" s="2" t="s">
        <v>2033</v>
      </c>
      <c r="K561" s="2" t="s">
        <v>1565</v>
      </c>
      <c r="L561" s="2" t="s">
        <v>3369</v>
      </c>
      <c r="M561" s="5">
        <v>45435.627083333333</v>
      </c>
      <c r="N561" s="2" t="str">
        <f>HYPERLINK("http://twitter.com/jeffrueter/status/1793719294871933050")</f>
        <v>http://twitter.com/jeffrueter/status/1793719294871933050</v>
      </c>
      <c r="O561" s="2" t="str">
        <f>HYPERLINK("https://www.nytimes.com/athletic/5515925/2024/05/23/us-open-cup-mls-season-pass-apple-tv/")</f>
        <v>https://www.nytimes.com/athletic/5515925/2024/05/23/us-open-cup-mls-season-pass-apple-tv/</v>
      </c>
    </row>
    <row r="562" spans="1:15" ht="66" x14ac:dyDescent="0.3">
      <c r="A562" s="2" t="s">
        <v>3370</v>
      </c>
      <c r="B562" s="2" t="s">
        <v>3371</v>
      </c>
      <c r="C562" s="2" t="s">
        <v>3372</v>
      </c>
      <c r="D562" s="2" t="s">
        <v>3373</v>
      </c>
      <c r="E562" s="2" t="str">
        <f>HYPERLINK("http://twitter.com/AnAbnos")</f>
        <v>http://twitter.com/AnAbnos</v>
      </c>
      <c r="F562" s="2" t="str">
        <f>HYPERLINK("https://muckrack.com/alexander-abnos")</f>
        <v>https://muckrack.com/alexander-abnos</v>
      </c>
      <c r="G562" s="2">
        <v>4782</v>
      </c>
      <c r="H562" s="2" t="s">
        <v>3374</v>
      </c>
      <c r="I562" s="2" t="s">
        <v>3375</v>
      </c>
      <c r="J562" s="2" t="s">
        <v>2033</v>
      </c>
      <c r="K562" s="2" t="s">
        <v>3376</v>
      </c>
      <c r="L562" s="2" t="s">
        <v>3377</v>
      </c>
      <c r="M562" s="5">
        <v>45435.631874999999</v>
      </c>
      <c r="N562" s="2" t="str">
        <f>HYPERLINK("http://twitter.com/AnAbnos/status/1793721034308284517")</f>
        <v>http://twitter.com/AnAbnos/status/1793721034308284517</v>
      </c>
      <c r="O562" s="2" t="str">
        <f>HYPERLINK("https://www.nytimes.com/athletic/5515925/2024/05/23/us-open-cup-mls-season-pass-apple-tv/")</f>
        <v>https://www.nytimes.com/athletic/5515925/2024/05/23/us-open-cup-mls-season-pass-apple-tv/</v>
      </c>
    </row>
    <row r="563" spans="1:15" ht="92.4" x14ac:dyDescent="0.3">
      <c r="A563" s="2" t="s">
        <v>288</v>
      </c>
      <c r="B563" s="2" t="s">
        <v>2061</v>
      </c>
      <c r="C563" s="2"/>
      <c r="D563" s="2" t="s">
        <v>2097</v>
      </c>
      <c r="E563" s="2" t="str">
        <f>HYPERLINK("http://twitter.com/tombogert")</f>
        <v>http://twitter.com/tombogert</v>
      </c>
      <c r="F563" s="2" t="str">
        <f>HYPERLINK("https://muckrack.com/tom-bogert")</f>
        <v>https://muckrack.com/tom-bogert</v>
      </c>
      <c r="G563" s="2">
        <v>95272</v>
      </c>
      <c r="H563" s="2"/>
      <c r="I563" s="2" t="s">
        <v>2098</v>
      </c>
      <c r="J563" s="2" t="s">
        <v>2033</v>
      </c>
      <c r="K563" s="2" t="s">
        <v>277</v>
      </c>
      <c r="L563" s="2" t="s">
        <v>3377</v>
      </c>
      <c r="M563" s="5">
        <v>45435.83488425926</v>
      </c>
      <c r="N563" s="2" t="str">
        <f>HYPERLINK("http://twitter.com/tombogert/status/1793794599707627639")</f>
        <v>http://twitter.com/tombogert/status/1793794599707627639</v>
      </c>
      <c r="O563" s="2" t="str">
        <f>HYPERLINK("https://www.nytimes.com/athletic/5515925/2024/05/23/us-open-cup-mls-season-pass-apple-tv/")</f>
        <v>https://www.nytimes.com/athletic/5515925/2024/05/23/us-open-cup-mls-season-pass-apple-tv/</v>
      </c>
    </row>
    <row r="564" spans="1:15" ht="66" x14ac:dyDescent="0.3">
      <c r="A564" s="2" t="s">
        <v>3378</v>
      </c>
      <c r="B564" s="2" t="s">
        <v>2289</v>
      </c>
      <c r="C564" s="2" t="s">
        <v>3379</v>
      </c>
      <c r="D564" s="2" t="s">
        <v>3380</v>
      </c>
      <c r="E564" s="2" t="str">
        <f>HYPERLINK("http://twitter.com/dunord")</f>
        <v>http://twitter.com/dunord</v>
      </c>
      <c r="F564" s="2" t="str">
        <f>HYPERLINK("https://muckrack.com/bruce-mcguire-1")</f>
        <v>https://muckrack.com/bruce-mcguire-1</v>
      </c>
      <c r="G564" s="2">
        <v>5644</v>
      </c>
      <c r="H564" s="2" t="s">
        <v>3381</v>
      </c>
      <c r="I564" s="2" t="s">
        <v>3382</v>
      </c>
      <c r="J564" s="2" t="s">
        <v>1929</v>
      </c>
      <c r="K564" s="2" t="s">
        <v>3383</v>
      </c>
      <c r="L564" s="2" t="s">
        <v>3377</v>
      </c>
      <c r="M564" s="5">
        <v>45435.836689814823</v>
      </c>
      <c r="N564" s="2" t="str">
        <f>HYPERLINK("http://twitter.com/dunord/status/1793795256103682349")</f>
        <v>http://twitter.com/dunord/status/1793795256103682349</v>
      </c>
      <c r="O564" s="2" t="str">
        <f>HYPERLINK("https://www.nytimes.com/athletic/5515925/2024/05/23/us-open-cup-mls-season-pass-apple-tv/")</f>
        <v>https://www.nytimes.com/athletic/5515925/2024/05/23/us-open-cup-mls-season-pass-apple-tv/</v>
      </c>
    </row>
    <row r="565" spans="1:15" ht="92.4" x14ac:dyDescent="0.3">
      <c r="A565" s="2" t="s">
        <v>3384</v>
      </c>
      <c r="B565" s="2" t="s">
        <v>2061</v>
      </c>
      <c r="C565" s="2" t="s">
        <v>3385</v>
      </c>
      <c r="D565" s="2" t="s">
        <v>3386</v>
      </c>
      <c r="E565" s="2" t="str">
        <f>HYPERLINK("http://twitter.com/laurenkostiuk_")</f>
        <v>http://twitter.com/laurenkostiuk_</v>
      </c>
      <c r="F565" s="2" t="str">
        <f>HYPERLINK("https://muckrack.com/lauren-kostiuk")</f>
        <v>https://muckrack.com/lauren-kostiuk</v>
      </c>
      <c r="G565" s="2">
        <v>2546</v>
      </c>
      <c r="H565" s="2" t="s">
        <v>2039</v>
      </c>
      <c r="I565" s="2" t="s">
        <v>3387</v>
      </c>
      <c r="J565" s="2" t="s">
        <v>3388</v>
      </c>
      <c r="K565" s="2" t="s">
        <v>1454</v>
      </c>
      <c r="L565" s="2" t="s">
        <v>3389</v>
      </c>
      <c r="M565" s="5">
        <v>45434.732152777768</v>
      </c>
      <c r="N565" s="2" t="str">
        <f>HYPERLINK("http://twitter.com/laurenkostiuk_/status/1793394985670222178")</f>
        <v>http://twitter.com/laurenkostiuk_/status/1793394985670222178</v>
      </c>
      <c r="O565" s="2" t="str">
        <f>HYPERLINK("https://www.wthr.com/article/sports/soccer/indy-eleven/city-indianapolis-purchase-remaining-land-where-eleven-park-stadium-site-planned-major-league-soccer-bid/531-d6d8f8b0-953c-446e-9d94-37279e91c2e6")</f>
        <v>https://www.wthr.com/article/sports/soccer/indy-eleven/city-indianapolis-purchase-remaining-land-where-eleven-park-stadium-site-planned-major-league-soccer-bid/531-d6d8f8b0-953c-446e-9d94-37279e91c2e6</v>
      </c>
    </row>
    <row r="566" spans="1:15" ht="92.4" x14ac:dyDescent="0.3">
      <c r="A566" s="2" t="s">
        <v>3097</v>
      </c>
      <c r="B566" s="2" t="s">
        <v>2544</v>
      </c>
      <c r="C566" s="2" t="s">
        <v>3098</v>
      </c>
      <c r="D566" s="2" t="s">
        <v>3099</v>
      </c>
      <c r="E566" s="2" t="str">
        <f>HYPERLINK("http://twitter.com/CierraReporter")</f>
        <v>http://twitter.com/CierraReporter</v>
      </c>
      <c r="F566" s="2" t="str">
        <f>HYPERLINK("https://muckrack.com/cierrareporter")</f>
        <v>https://muckrack.com/cierrareporter</v>
      </c>
      <c r="G566" s="2">
        <v>2211</v>
      </c>
      <c r="H566" s="2" t="s">
        <v>1972</v>
      </c>
      <c r="I566" s="2" t="s">
        <v>3100</v>
      </c>
      <c r="J566" s="2" t="s">
        <v>3101</v>
      </c>
      <c r="K566" s="2" t="s">
        <v>130</v>
      </c>
      <c r="L566" s="2" t="s">
        <v>3389</v>
      </c>
      <c r="M566" s="5">
        <v>45434.835196759261</v>
      </c>
      <c r="N566" s="2" t="str">
        <f>HYPERLINK("http://twitter.com/CierraReporter/status/1793432325671334384")</f>
        <v>http://twitter.com/CierraReporter/status/1793432325671334384</v>
      </c>
      <c r="O566" s="2" t="str">
        <f>HYPERLINK("https://www.wthr.com/article/sports/soccer/indy-eleven/city-indianapolis-purchase-remaining-land-where-eleven-park-stadium-site-planned-major-league-soccer-bid/531-d6d8f8b0-953c-446e-9d94-37279e91c2e6")</f>
        <v>https://www.wthr.com/article/sports/soccer/indy-eleven/city-indianapolis-purchase-remaining-land-where-eleven-park-stadium-site-planned-major-league-soccer-bid/531-d6d8f8b0-953c-446e-9d94-37279e91c2e6</v>
      </c>
    </row>
    <row r="567" spans="1:15" ht="52.8" x14ac:dyDescent="0.3">
      <c r="A567" s="2" t="s">
        <v>1360</v>
      </c>
      <c r="B567" s="2" t="s">
        <v>2061</v>
      </c>
      <c r="C567" s="2" t="s">
        <v>3258</v>
      </c>
      <c r="D567" s="2" t="s">
        <v>3259</v>
      </c>
      <c r="E567" s="2" t="str">
        <f>HYPERLINK("http://twitter.com/grifgonzo")</f>
        <v>http://twitter.com/grifgonzo</v>
      </c>
      <c r="F567" s="2" t="str">
        <f>HYPERLINK("https://muckrack.com/griffin-gonzalez")</f>
        <v>https://muckrack.com/griffin-gonzalez</v>
      </c>
      <c r="G567" s="2">
        <v>2745</v>
      </c>
      <c r="H567" s="2" t="s">
        <v>1972</v>
      </c>
      <c r="I567" s="2" t="s">
        <v>3260</v>
      </c>
      <c r="J567" s="2" t="s">
        <v>2033</v>
      </c>
      <c r="K567" s="2" t="s">
        <v>725</v>
      </c>
      <c r="L567" s="2" t="s">
        <v>3390</v>
      </c>
      <c r="M567" s="5">
        <v>45434.723194444443</v>
      </c>
      <c r="N567" s="2" t="str">
        <f>HYPERLINK("http://twitter.com/grifgonzo/status/1793391735571107926")</f>
        <v>http://twitter.com/grifgonzo/status/1793391735571107926</v>
      </c>
      <c r="O567" s="2" t="str">
        <f>HYPERLINK("https://www.wrtv.com/news/local-news/city-of-indianapolis-looks-to-buy-eleven-park-site-from-keystone-group")</f>
        <v>https://www.wrtv.com/news/local-news/city-of-indianapolis-looks-to-buy-eleven-park-site-from-keystone-group</v>
      </c>
    </row>
    <row r="568" spans="1:15" ht="39.6" x14ac:dyDescent="0.3">
      <c r="A568" s="2" t="s">
        <v>267</v>
      </c>
      <c r="B568" s="2" t="s">
        <v>2061</v>
      </c>
      <c r="C568" s="2" t="s">
        <v>2062</v>
      </c>
      <c r="D568" s="2" t="s">
        <v>2063</v>
      </c>
      <c r="E568" s="2" t="str">
        <f>HYPERLINK("http://twitter.com/MickeyShuey")</f>
        <v>http://twitter.com/MickeyShuey</v>
      </c>
      <c r="F568" s="2" t="str">
        <f>HYPERLINK("https://muckrack.com/mickeyshuey")</f>
        <v>https://muckrack.com/mickeyshuey</v>
      </c>
      <c r="G568" s="2">
        <v>1868</v>
      </c>
      <c r="H568" s="2" t="s">
        <v>1972</v>
      </c>
      <c r="I568" s="2" t="s">
        <v>2064</v>
      </c>
      <c r="J568" s="2" t="s">
        <v>2065</v>
      </c>
      <c r="K568" s="2" t="s">
        <v>268</v>
      </c>
      <c r="L568" s="2" t="s">
        <v>3391</v>
      </c>
      <c r="M568" s="5">
        <v>45434.711840277778</v>
      </c>
      <c r="N568" s="2" t="str">
        <f>HYPERLINK("http://twitter.com/MickeyShuey/status/1793387621621645478")</f>
        <v>http://twitter.com/MickeyShuey/status/1793387621621645478</v>
      </c>
      <c r="O568" s="2" t="str">
        <f>HYPERLINK("https://www.ibj.com/articles/city-offers-to-buy-diamond-chain-site-from-keystone")</f>
        <v>https://www.ibj.com/articles/city-offers-to-buy-diamond-chain-site-from-keystone</v>
      </c>
    </row>
    <row r="569" spans="1:15" ht="52.8" x14ac:dyDescent="0.3">
      <c r="A569" s="2" t="s">
        <v>3184</v>
      </c>
      <c r="B569" s="2" t="s">
        <v>3185</v>
      </c>
      <c r="C569" s="2" t="s">
        <v>3186</v>
      </c>
      <c r="D569" s="2" t="s">
        <v>3187</v>
      </c>
      <c r="E569" s="2" t="str">
        <f>HYPERLINK("http://twitter.com/317lindquist")</f>
        <v>http://twitter.com/317lindquist</v>
      </c>
      <c r="F569" s="2" t="str">
        <f>HYPERLINK("https://muckrack.com/317lindquist")</f>
        <v>https://muckrack.com/317lindquist</v>
      </c>
      <c r="G569" s="2">
        <v>23498</v>
      </c>
      <c r="H569" s="2" t="s">
        <v>2132</v>
      </c>
      <c r="I569" s="2" t="s">
        <v>3188</v>
      </c>
      <c r="J569" s="2" t="s">
        <v>3189</v>
      </c>
      <c r="K569" s="2" t="s">
        <v>3190</v>
      </c>
      <c r="L569" s="2" t="s">
        <v>3392</v>
      </c>
      <c r="M569" s="5">
        <v>45434.71802083333</v>
      </c>
      <c r="N569" s="2" t="str">
        <f>HYPERLINK("http://twitter.com/317lindquist/status/1793389864580182214")</f>
        <v>http://twitter.com/317lindquist/status/1793389864580182214</v>
      </c>
      <c r="O569" s="2" t="str">
        <f>HYPERLINK("https://www.ibj.com/articles/city-offers-to-buy-diamond-chain-site-from-keystone")</f>
        <v>https://www.ibj.com/articles/city-offers-to-buy-diamond-chain-site-from-keystone</v>
      </c>
    </row>
    <row r="570" spans="1:15" ht="52.8" x14ac:dyDescent="0.3">
      <c r="A570" s="2" t="s">
        <v>3306</v>
      </c>
      <c r="B570" s="2" t="s">
        <v>2467</v>
      </c>
      <c r="C570" s="2" t="s">
        <v>3307</v>
      </c>
      <c r="D570" s="2" t="s">
        <v>3308</v>
      </c>
      <c r="E570" s="2" t="str">
        <f>HYPERLINK("http://twitter.com/ChrisSikich")</f>
        <v>http://twitter.com/ChrisSikich</v>
      </c>
      <c r="F570" s="2" t="str">
        <f>HYPERLINK("https://muckrack.com/chrissikich")</f>
        <v>https://muckrack.com/chrissikich</v>
      </c>
      <c r="G570" s="2">
        <v>7531</v>
      </c>
      <c r="H570" s="2" t="s">
        <v>2132</v>
      </c>
      <c r="I570" s="2" t="s">
        <v>3309</v>
      </c>
      <c r="J570" s="2" t="s">
        <v>2008</v>
      </c>
      <c r="K570" s="2" t="s">
        <v>1974</v>
      </c>
      <c r="L570" s="2" t="s">
        <v>3393</v>
      </c>
      <c r="M570" s="5">
        <v>45434.706273148149</v>
      </c>
      <c r="N570" s="2" t="str">
        <f>HYPERLINK("http://twitter.com/ChrisSikich/status/1793385605683990592")</f>
        <v>http://twitter.com/ChrisSikich/status/1793385605683990592</v>
      </c>
      <c r="O570" s="2" t="str">
        <f t="shared" ref="O570:O582" si="19">HYPERLINK("https://mirrorindy.org/indianapolis-purchase-eleven-park-diamond-chain-human-remains-found-keystone-development/")</f>
        <v>https://mirrorindy.org/indianapolis-purchase-eleven-park-diamond-chain-human-remains-found-keystone-development/</v>
      </c>
    </row>
    <row r="571" spans="1:15" ht="52.8" x14ac:dyDescent="0.3">
      <c r="A571" s="2" t="s">
        <v>1569</v>
      </c>
      <c r="B571" s="2" t="s">
        <v>3019</v>
      </c>
      <c r="C571" s="2" t="s">
        <v>3020</v>
      </c>
      <c r="D571" s="2" t="s">
        <v>3021</v>
      </c>
      <c r="E571" s="2" t="str">
        <f>HYPERLINK("http://twitter.com/peterlblanchard")</f>
        <v>http://twitter.com/peterlblanchard</v>
      </c>
      <c r="F571" s="2" t="str">
        <f>HYPERLINK("https://muckrack.com/peterblanchard")</f>
        <v>https://muckrack.com/peterblanchard</v>
      </c>
      <c r="G571" s="2">
        <v>1926</v>
      </c>
      <c r="H571" s="2" t="s">
        <v>1972</v>
      </c>
      <c r="I571" s="2" t="s">
        <v>3022</v>
      </c>
      <c r="J571" s="2" t="s">
        <v>3023</v>
      </c>
      <c r="K571" s="2" t="s">
        <v>132</v>
      </c>
      <c r="L571" s="2" t="s">
        <v>3394</v>
      </c>
      <c r="M571" s="5">
        <v>45434.70648148148</v>
      </c>
      <c r="N571" s="2" t="str">
        <f>HYPERLINK("http://twitter.com/peterlblanchard/status/1793385680900382895")</f>
        <v>http://twitter.com/peterlblanchard/status/1793385680900382895</v>
      </c>
      <c r="O571" s="2" t="str">
        <f t="shared" si="19"/>
        <v>https://mirrorindy.org/indianapolis-purchase-eleven-park-diamond-chain-human-remains-found-keystone-development/</v>
      </c>
    </row>
    <row r="572" spans="1:15" ht="52.8" x14ac:dyDescent="0.3">
      <c r="A572" s="2" t="s">
        <v>1569</v>
      </c>
      <c r="B572" s="2" t="s">
        <v>3019</v>
      </c>
      <c r="C572" s="2" t="s">
        <v>3020</v>
      </c>
      <c r="D572" s="2" t="s">
        <v>3021</v>
      </c>
      <c r="E572" s="2" t="str">
        <f>HYPERLINK("http://twitter.com/peterlblanchard")</f>
        <v>http://twitter.com/peterlblanchard</v>
      </c>
      <c r="F572" s="2" t="str">
        <f>HYPERLINK("https://muckrack.com/peterblanchard")</f>
        <v>https://muckrack.com/peterblanchard</v>
      </c>
      <c r="G572" s="2">
        <v>1926</v>
      </c>
      <c r="H572" s="2" t="s">
        <v>1972</v>
      </c>
      <c r="I572" s="2" t="s">
        <v>3022</v>
      </c>
      <c r="J572" s="2" t="s">
        <v>3023</v>
      </c>
      <c r="K572" s="2" t="s">
        <v>132</v>
      </c>
      <c r="L572" s="2" t="s">
        <v>3395</v>
      </c>
      <c r="M572" s="5">
        <v>45434.717233796298</v>
      </c>
      <c r="N572" s="2" t="str">
        <f>HYPERLINK("http://twitter.com/peterlblanchard/status/1793389576364376419")</f>
        <v>http://twitter.com/peterlblanchard/status/1793389576364376419</v>
      </c>
      <c r="O572" s="2" t="str">
        <f t="shared" si="19"/>
        <v>https://mirrorindy.org/indianapolis-purchase-eleven-park-diamond-chain-human-remains-found-keystone-development/</v>
      </c>
    </row>
    <row r="573" spans="1:15" ht="52.8" x14ac:dyDescent="0.3">
      <c r="A573" s="2" t="s">
        <v>1569</v>
      </c>
      <c r="B573" s="2" t="s">
        <v>3019</v>
      </c>
      <c r="C573" s="2" t="s">
        <v>3020</v>
      </c>
      <c r="D573" s="2" t="s">
        <v>3021</v>
      </c>
      <c r="E573" s="2" t="str">
        <f>HYPERLINK("http://twitter.com/peterlblanchard")</f>
        <v>http://twitter.com/peterlblanchard</v>
      </c>
      <c r="F573" s="2" t="str">
        <f>HYPERLINK("https://muckrack.com/peterblanchard")</f>
        <v>https://muckrack.com/peterblanchard</v>
      </c>
      <c r="G573" s="2">
        <v>1926</v>
      </c>
      <c r="H573" s="2" t="s">
        <v>1972</v>
      </c>
      <c r="I573" s="2" t="s">
        <v>3022</v>
      </c>
      <c r="J573" s="2" t="s">
        <v>3023</v>
      </c>
      <c r="K573" s="2" t="s">
        <v>132</v>
      </c>
      <c r="L573" s="2" t="s">
        <v>3396</v>
      </c>
      <c r="M573" s="5">
        <v>45434.778715277767</v>
      </c>
      <c r="N573" s="2" t="str">
        <f>HYPERLINK("http://twitter.com/peterlblanchard/status/1793411858491482116")</f>
        <v>http://twitter.com/peterlblanchard/status/1793411858491482116</v>
      </c>
      <c r="O573" s="2" t="str">
        <f t="shared" si="19"/>
        <v>https://mirrorindy.org/indianapolis-purchase-eleven-park-diamond-chain-human-remains-found-keystone-development/</v>
      </c>
    </row>
    <row r="574" spans="1:15" ht="52.8" x14ac:dyDescent="0.3">
      <c r="A574" s="2" t="s">
        <v>1569</v>
      </c>
      <c r="B574" s="2" t="s">
        <v>3019</v>
      </c>
      <c r="C574" s="2" t="s">
        <v>3020</v>
      </c>
      <c r="D574" s="2" t="s">
        <v>3021</v>
      </c>
      <c r="E574" s="2" t="str">
        <f>HYPERLINK("http://twitter.com/peterlblanchard")</f>
        <v>http://twitter.com/peterlblanchard</v>
      </c>
      <c r="F574" s="2" t="str">
        <f>HYPERLINK("https://muckrack.com/peterblanchard")</f>
        <v>https://muckrack.com/peterblanchard</v>
      </c>
      <c r="G574" s="2">
        <v>1926</v>
      </c>
      <c r="H574" s="2" t="s">
        <v>1972</v>
      </c>
      <c r="I574" s="2" t="s">
        <v>3022</v>
      </c>
      <c r="J574" s="2" t="s">
        <v>3023</v>
      </c>
      <c r="K574" s="2" t="s">
        <v>132</v>
      </c>
      <c r="L574" s="2" t="s">
        <v>3397</v>
      </c>
      <c r="M574" s="5">
        <v>45435.743287037039</v>
      </c>
      <c r="N574" s="2" t="str">
        <f>HYPERLINK("http://twitter.com/peterlblanchard/status/1793761406783033413")</f>
        <v>http://twitter.com/peterlblanchard/status/1793761406783033413</v>
      </c>
      <c r="O574" s="2" t="str">
        <f t="shared" si="19"/>
        <v>https://mirrorindy.org/indianapolis-purchase-eleven-park-diamond-chain-human-remains-found-keystone-development/</v>
      </c>
    </row>
    <row r="575" spans="1:15" ht="52.8" x14ac:dyDescent="0.3">
      <c r="A575" s="2" t="s">
        <v>616</v>
      </c>
      <c r="B575" s="2" t="s">
        <v>1976</v>
      </c>
      <c r="C575" s="2" t="s">
        <v>1977</v>
      </c>
      <c r="D575" s="2" t="s">
        <v>1978</v>
      </c>
      <c r="E575" s="2" t="str">
        <f>HYPERLINK("http://twitter.com/ryanmartin")</f>
        <v>http://twitter.com/ryanmartin</v>
      </c>
      <c r="F575" s="2" t="str">
        <f>HYPERLINK("https://muckrack.com/ryanmartin")</f>
        <v>https://muckrack.com/ryanmartin</v>
      </c>
      <c r="G575" s="2">
        <v>11135</v>
      </c>
      <c r="H575" s="2" t="s">
        <v>1972</v>
      </c>
      <c r="I575" s="2" t="s">
        <v>1979</v>
      </c>
      <c r="J575" s="2" t="s">
        <v>1954</v>
      </c>
      <c r="K575" s="2" t="s">
        <v>1974</v>
      </c>
      <c r="L575" s="2" t="s">
        <v>3398</v>
      </c>
      <c r="M575" s="5">
        <v>45434.708553240736</v>
      </c>
      <c r="N575" s="2" t="str">
        <f>HYPERLINK("http://twitter.com/ryanmartin/status/1793386430388965544")</f>
        <v>http://twitter.com/ryanmartin/status/1793386430388965544</v>
      </c>
      <c r="O575" s="2" t="str">
        <f t="shared" si="19"/>
        <v>https://mirrorindy.org/indianapolis-purchase-eleven-park-diamond-chain-human-remains-found-keystone-development/</v>
      </c>
    </row>
    <row r="576" spans="1:15" ht="52.8" x14ac:dyDescent="0.3">
      <c r="A576" s="2" t="s">
        <v>616</v>
      </c>
      <c r="B576" s="2" t="s">
        <v>1976</v>
      </c>
      <c r="C576" s="2" t="s">
        <v>1977</v>
      </c>
      <c r="D576" s="2" t="s">
        <v>1978</v>
      </c>
      <c r="E576" s="2" t="str">
        <f>HYPERLINK("http://twitter.com/ryanmartin")</f>
        <v>http://twitter.com/ryanmartin</v>
      </c>
      <c r="F576" s="2" t="str">
        <f>HYPERLINK("https://muckrack.com/ryanmartin")</f>
        <v>https://muckrack.com/ryanmartin</v>
      </c>
      <c r="G576" s="2">
        <v>11135</v>
      </c>
      <c r="H576" s="2" t="s">
        <v>1972</v>
      </c>
      <c r="I576" s="2" t="s">
        <v>1979</v>
      </c>
      <c r="J576" s="2" t="s">
        <v>1954</v>
      </c>
      <c r="K576" s="2" t="s">
        <v>1974</v>
      </c>
      <c r="L576" s="2" t="s">
        <v>3395</v>
      </c>
      <c r="M576" s="5">
        <v>45434.717418981483</v>
      </c>
      <c r="N576" s="2" t="str">
        <f>HYPERLINK("http://twitter.com/ryanmartin/status/1793389644630958194")</f>
        <v>http://twitter.com/ryanmartin/status/1793389644630958194</v>
      </c>
      <c r="O576" s="2" t="str">
        <f t="shared" si="19"/>
        <v>https://mirrorindy.org/indianapolis-purchase-eleven-park-diamond-chain-human-remains-found-keystone-development/</v>
      </c>
    </row>
    <row r="577" spans="1:15" ht="52.8" x14ac:dyDescent="0.3">
      <c r="A577" s="2" t="s">
        <v>616</v>
      </c>
      <c r="B577" s="2" t="s">
        <v>1976</v>
      </c>
      <c r="C577" s="2" t="s">
        <v>1977</v>
      </c>
      <c r="D577" s="2" t="s">
        <v>1978</v>
      </c>
      <c r="E577" s="2" t="str">
        <f>HYPERLINK("http://twitter.com/ryanmartin")</f>
        <v>http://twitter.com/ryanmartin</v>
      </c>
      <c r="F577" s="2" t="str">
        <f>HYPERLINK("https://muckrack.com/ryanmartin")</f>
        <v>https://muckrack.com/ryanmartin</v>
      </c>
      <c r="G577" s="2">
        <v>11135</v>
      </c>
      <c r="H577" s="2" t="s">
        <v>1972</v>
      </c>
      <c r="I577" s="2" t="s">
        <v>1979</v>
      </c>
      <c r="J577" s="2" t="s">
        <v>1954</v>
      </c>
      <c r="K577" s="2" t="s">
        <v>1974</v>
      </c>
      <c r="L577" s="2" t="s">
        <v>3399</v>
      </c>
      <c r="M577" s="5">
        <v>45434.778310185182</v>
      </c>
      <c r="N577" s="2" t="str">
        <f>HYPERLINK("http://twitter.com/ryanmartin/status/1793411712470880419")</f>
        <v>http://twitter.com/ryanmartin/status/1793411712470880419</v>
      </c>
      <c r="O577" s="2" t="str">
        <f t="shared" si="19"/>
        <v>https://mirrorindy.org/indianapolis-purchase-eleven-park-diamond-chain-human-remains-found-keystone-development/</v>
      </c>
    </row>
    <row r="578" spans="1:15" ht="52.8" x14ac:dyDescent="0.3">
      <c r="A578" s="2" t="s">
        <v>616</v>
      </c>
      <c r="B578" s="2" t="s">
        <v>1976</v>
      </c>
      <c r="C578" s="2" t="s">
        <v>1977</v>
      </c>
      <c r="D578" s="2" t="s">
        <v>1978</v>
      </c>
      <c r="E578" s="2" t="str">
        <f>HYPERLINK("http://twitter.com/ryanmartin")</f>
        <v>http://twitter.com/ryanmartin</v>
      </c>
      <c r="F578" s="2" t="str">
        <f>HYPERLINK("https://muckrack.com/ryanmartin")</f>
        <v>https://muckrack.com/ryanmartin</v>
      </c>
      <c r="G578" s="2">
        <v>11135</v>
      </c>
      <c r="H578" s="2" t="s">
        <v>1972</v>
      </c>
      <c r="I578" s="2" t="s">
        <v>1979</v>
      </c>
      <c r="J578" s="2" t="s">
        <v>1954</v>
      </c>
      <c r="K578" s="2" t="s">
        <v>1974</v>
      </c>
      <c r="L578" s="2" t="s">
        <v>3400</v>
      </c>
      <c r="M578" s="5">
        <v>45435.759988425933</v>
      </c>
      <c r="N578" s="2" t="str">
        <f>HYPERLINK("http://twitter.com/ryanmartin/status/1793767458249355429")</f>
        <v>http://twitter.com/ryanmartin/status/1793767458249355429</v>
      </c>
      <c r="O578" s="2" t="str">
        <f t="shared" si="19"/>
        <v>https://mirrorindy.org/indianapolis-purchase-eleven-park-diamond-chain-human-remains-found-keystone-development/</v>
      </c>
    </row>
    <row r="579" spans="1:15" ht="52.8" x14ac:dyDescent="0.3">
      <c r="A579" s="2" t="s">
        <v>2937</v>
      </c>
      <c r="B579" s="2" t="s">
        <v>2938</v>
      </c>
      <c r="C579" s="2" t="s">
        <v>2939</v>
      </c>
      <c r="D579" s="2" t="s">
        <v>2940</v>
      </c>
      <c r="E579" s="2" t="str">
        <f>HYPERLINK("http://twitter.com/DanArndtWrites")</f>
        <v>http://twitter.com/DanArndtWrites</v>
      </c>
      <c r="F579" s="2" t="str">
        <f>HYPERLINK("https://muckrack.com/dan-arndt-1")</f>
        <v>https://muckrack.com/dan-arndt-1</v>
      </c>
      <c r="G579" s="2">
        <v>1235</v>
      </c>
      <c r="H579" s="2" t="s">
        <v>1972</v>
      </c>
      <c r="I579" s="2" t="s">
        <v>2941</v>
      </c>
      <c r="J579" s="2" t="s">
        <v>2942</v>
      </c>
      <c r="K579" s="2" t="s">
        <v>2943</v>
      </c>
      <c r="L579" s="2" t="s">
        <v>3395</v>
      </c>
      <c r="M579" s="5">
        <v>45434.721030092587</v>
      </c>
      <c r="N579" s="2" t="str">
        <f>HYPERLINK("http://twitter.com/DanArndtWrites/status/1793390953652220112")</f>
        <v>http://twitter.com/DanArndtWrites/status/1793390953652220112</v>
      </c>
      <c r="O579" s="2" t="str">
        <f t="shared" si="19"/>
        <v>https://mirrorindy.org/indianapolis-purchase-eleven-park-diamond-chain-human-remains-found-keystone-development/</v>
      </c>
    </row>
    <row r="580" spans="1:15" ht="52.8" x14ac:dyDescent="0.3">
      <c r="A580" s="2" t="s">
        <v>966</v>
      </c>
      <c r="B580" s="2" t="s">
        <v>2311</v>
      </c>
      <c r="C580" s="2" t="s">
        <v>2908</v>
      </c>
      <c r="D580" s="2" t="s">
        <v>2909</v>
      </c>
      <c r="E580" s="2" t="str">
        <f>HYPERLINK("http://twitter.com/Ty_Fenwick")</f>
        <v>http://twitter.com/Ty_Fenwick</v>
      </c>
      <c r="F580" s="2" t="str">
        <f>HYPERLINK("https://muckrack.com/tyler-fenwick-1")</f>
        <v>https://muckrack.com/tyler-fenwick-1</v>
      </c>
      <c r="G580" s="2">
        <v>1519</v>
      </c>
      <c r="H580" s="2" t="s">
        <v>1972</v>
      </c>
      <c r="I580" s="2" t="s">
        <v>2910</v>
      </c>
      <c r="J580" s="2" t="s">
        <v>2911</v>
      </c>
      <c r="K580" s="2" t="s">
        <v>1974</v>
      </c>
      <c r="L580" s="2" t="s">
        <v>3401</v>
      </c>
      <c r="M580" s="5">
        <v>45434.792997685188</v>
      </c>
      <c r="N580" s="2" t="str">
        <f>HYPERLINK("http://twitter.com/Ty_Fenwick/status/1793417034325430362")</f>
        <v>http://twitter.com/Ty_Fenwick/status/1793417034325430362</v>
      </c>
      <c r="O580" s="2" t="str">
        <f t="shared" si="19"/>
        <v>https://mirrorindy.org/indianapolis-purchase-eleven-park-diamond-chain-human-remains-found-keystone-development/</v>
      </c>
    </row>
    <row r="581" spans="1:15" ht="52.8" x14ac:dyDescent="0.3">
      <c r="A581" s="2" t="s">
        <v>1981</v>
      </c>
      <c r="B581" s="2" t="s">
        <v>1982</v>
      </c>
      <c r="C581" s="2" t="s">
        <v>1983</v>
      </c>
      <c r="D581" s="2" t="s">
        <v>1984</v>
      </c>
      <c r="E581" s="2" t="str">
        <f>HYPERLINK("http://twitter.com/HelloImDarian")</f>
        <v>http://twitter.com/HelloImDarian</v>
      </c>
      <c r="F581" s="2" t="str">
        <f>HYPERLINK("https://muckrack.com/darian-benson-1")</f>
        <v>https://muckrack.com/darian-benson-1</v>
      </c>
      <c r="G581" s="2">
        <v>1367</v>
      </c>
      <c r="H581" s="2" t="s">
        <v>1972</v>
      </c>
      <c r="I581" s="2" t="s">
        <v>1985</v>
      </c>
      <c r="J581" s="2" t="s">
        <v>1954</v>
      </c>
      <c r="K581" s="2" t="s">
        <v>132</v>
      </c>
      <c r="L581" s="2" t="s">
        <v>3395</v>
      </c>
      <c r="M581" s="5">
        <v>45434.841134259259</v>
      </c>
      <c r="N581" s="2" t="str">
        <f>HYPERLINK("http://twitter.com/HelloImDarian/status/1793434478100004914")</f>
        <v>http://twitter.com/HelloImDarian/status/1793434478100004914</v>
      </c>
      <c r="O581" s="2" t="str">
        <f t="shared" si="19"/>
        <v>https://mirrorindy.org/indianapolis-purchase-eleven-park-diamond-chain-human-remains-found-keystone-development/</v>
      </c>
    </row>
    <row r="582" spans="1:15" ht="52.8" x14ac:dyDescent="0.3">
      <c r="A582" s="2" t="s">
        <v>3402</v>
      </c>
      <c r="B582" s="2" t="s">
        <v>3403</v>
      </c>
      <c r="C582" s="2" t="s">
        <v>3404</v>
      </c>
      <c r="D582" s="2" t="s">
        <v>3405</v>
      </c>
      <c r="E582" s="2" t="str">
        <f>HYPERLINK("http://twitter.com/chrisspangle")</f>
        <v>http://twitter.com/chrisspangle</v>
      </c>
      <c r="F582" s="2" t="str">
        <f>HYPERLINK("https://muckrack.com/chris-spangle")</f>
        <v>https://muckrack.com/chris-spangle</v>
      </c>
      <c r="G582" s="2">
        <v>12472</v>
      </c>
      <c r="H582" s="2" t="s">
        <v>1972</v>
      </c>
      <c r="I582" s="2" t="s">
        <v>3406</v>
      </c>
      <c r="J582" s="2" t="s">
        <v>3407</v>
      </c>
      <c r="K582" s="2" t="s">
        <v>3408</v>
      </c>
      <c r="L582" s="2" t="s">
        <v>3409</v>
      </c>
      <c r="M582" s="5">
        <v>45434.867638888893</v>
      </c>
      <c r="N582" s="2" t="str">
        <f>HYPERLINK("http://twitter.com/chrisspangle/status/1793444083953696770")</f>
        <v>http://twitter.com/chrisspangle/status/1793444083953696770</v>
      </c>
      <c r="O582" s="2" t="str">
        <f t="shared" si="19"/>
        <v>https://mirrorindy.org/indianapolis-purchase-eleven-park-diamond-chain-human-remains-found-keystone-development/</v>
      </c>
    </row>
    <row r="583" spans="1:15" ht="52.8" x14ac:dyDescent="0.3">
      <c r="A583" s="2" t="s">
        <v>966</v>
      </c>
      <c r="B583" s="2" t="s">
        <v>2311</v>
      </c>
      <c r="C583" s="2" t="s">
        <v>2908</v>
      </c>
      <c r="D583" s="2" t="s">
        <v>2909</v>
      </c>
      <c r="E583" s="2" t="str">
        <f>HYPERLINK("http://twitter.com/Ty_Fenwick")</f>
        <v>http://twitter.com/Ty_Fenwick</v>
      </c>
      <c r="F583" s="2" t="str">
        <f>HYPERLINK("https://muckrack.com/tyler-fenwick-1")</f>
        <v>https://muckrack.com/tyler-fenwick-1</v>
      </c>
      <c r="G583" s="2">
        <v>1519</v>
      </c>
      <c r="H583" s="2" t="s">
        <v>1972</v>
      </c>
      <c r="I583" s="2" t="s">
        <v>2910</v>
      </c>
      <c r="J583" s="2" t="s">
        <v>2911</v>
      </c>
      <c r="K583" s="2" t="s">
        <v>1974</v>
      </c>
      <c r="L583" s="2" t="s">
        <v>3410</v>
      </c>
      <c r="M583" s="5">
        <v>45434.635289351849</v>
      </c>
      <c r="N583" s="2" t="str">
        <f>HYPERLINK("http://twitter.com/Ty_Fenwick/status/1793359880826257769")</f>
        <v>http://twitter.com/Ty_Fenwick/status/1793359880826257769</v>
      </c>
      <c r="O583" s="2" t="str">
        <f>HYPERLINK("https://mirrorindy.org/indy-eleven-ad-indianapolis-mayor-joe-hogsett-eleven-park-indiana-pacers-playoffs/")</f>
        <v>https://mirrorindy.org/indy-eleven-ad-indianapolis-mayor-joe-hogsett-eleven-park-indiana-pacers-playoffs/</v>
      </c>
    </row>
    <row r="584" spans="1:15" ht="39.6" x14ac:dyDescent="0.3">
      <c r="A584" s="2" t="s">
        <v>1569</v>
      </c>
      <c r="B584" s="2" t="s">
        <v>3019</v>
      </c>
      <c r="C584" s="2" t="s">
        <v>3020</v>
      </c>
      <c r="D584" s="2" t="s">
        <v>3021</v>
      </c>
      <c r="E584" s="2" t="str">
        <f>HYPERLINK("http://twitter.com/peterlblanchard")</f>
        <v>http://twitter.com/peterlblanchard</v>
      </c>
      <c r="F584" s="2" t="str">
        <f>HYPERLINK("https://muckrack.com/peterblanchard")</f>
        <v>https://muckrack.com/peterblanchard</v>
      </c>
      <c r="G584" s="2">
        <v>1926</v>
      </c>
      <c r="H584" s="2" t="s">
        <v>1972</v>
      </c>
      <c r="I584" s="2" t="s">
        <v>3022</v>
      </c>
      <c r="J584" s="2" t="s">
        <v>3023</v>
      </c>
      <c r="K584" s="2" t="s">
        <v>132</v>
      </c>
      <c r="L584" s="2" t="s">
        <v>3411</v>
      </c>
      <c r="M584" s="5">
        <v>45434.642094907409</v>
      </c>
      <c r="N584" s="2" t="str">
        <f>HYPERLINK("http://twitter.com/peterlblanchard/status/1793362349023261024")</f>
        <v>http://twitter.com/peterlblanchard/status/1793362349023261024</v>
      </c>
      <c r="O584" s="2" t="str">
        <f>HYPERLINK("https://mirrorindy.org/indy-eleven-ad-indianapolis-mayor-joe-hogsett-eleven-park-indiana-pacers-playoffs/")</f>
        <v>https://mirrorindy.org/indy-eleven-ad-indianapolis-mayor-joe-hogsett-eleven-park-indiana-pacers-playoffs/</v>
      </c>
    </row>
    <row r="585" spans="1:15" ht="39.6" x14ac:dyDescent="0.3">
      <c r="A585" s="2" t="s">
        <v>616</v>
      </c>
      <c r="B585" s="2" t="s">
        <v>1976</v>
      </c>
      <c r="C585" s="2" t="s">
        <v>1977</v>
      </c>
      <c r="D585" s="2" t="s">
        <v>1978</v>
      </c>
      <c r="E585" s="2" t="str">
        <f>HYPERLINK("http://twitter.com/ryanmartin")</f>
        <v>http://twitter.com/ryanmartin</v>
      </c>
      <c r="F585" s="2" t="str">
        <f>HYPERLINK("https://muckrack.com/ryanmartin")</f>
        <v>https://muckrack.com/ryanmartin</v>
      </c>
      <c r="G585" s="2">
        <v>11135</v>
      </c>
      <c r="H585" s="2" t="s">
        <v>1972</v>
      </c>
      <c r="I585" s="2" t="s">
        <v>1979</v>
      </c>
      <c r="J585" s="2" t="s">
        <v>1954</v>
      </c>
      <c r="K585" s="2" t="s">
        <v>1974</v>
      </c>
      <c r="L585" s="2" t="s">
        <v>3412</v>
      </c>
      <c r="M585" s="5">
        <v>45434.735358796293</v>
      </c>
      <c r="N585" s="2" t="str">
        <f>HYPERLINK("http://twitter.com/ryanmartin/status/1793396145298767982")</f>
        <v>http://twitter.com/ryanmartin/status/1793396145298767982</v>
      </c>
      <c r="O585" s="2" t="str">
        <f>HYPERLINK("https://mirrorindy.org/indy-eleven-ad-indianapolis-mayor-joe-hogsett-eleven-park-indiana-pacers-playoffs/")</f>
        <v>https://mirrorindy.org/indy-eleven-ad-indianapolis-mayor-joe-hogsett-eleven-park-indiana-pacers-playoffs/</v>
      </c>
    </row>
    <row r="586" spans="1:15" ht="105.6" x14ac:dyDescent="0.3">
      <c r="A586" s="2" t="s">
        <v>1651</v>
      </c>
      <c r="B586" s="2" t="s">
        <v>2619</v>
      </c>
      <c r="C586" s="2" t="s">
        <v>2620</v>
      </c>
      <c r="D586" s="2" t="s">
        <v>2621</v>
      </c>
      <c r="E586" s="2" t="str">
        <f>HYPERLINK("http://twitter.com/worldsoccertalk")</f>
        <v>http://twitter.com/worldsoccertalk</v>
      </c>
      <c r="F586" s="2" t="str">
        <f>HYPERLINK("https://muckrack.com/christophermharris")</f>
        <v>https://muckrack.com/christophermharris</v>
      </c>
      <c r="G586" s="2">
        <v>81386</v>
      </c>
      <c r="H586" s="2" t="s">
        <v>2622</v>
      </c>
      <c r="I586" s="2" t="s">
        <v>2623</v>
      </c>
      <c r="J586" s="2" t="s">
        <v>2624</v>
      </c>
      <c r="K586" s="2" t="s">
        <v>2625</v>
      </c>
      <c r="L586" s="2" t="s">
        <v>3413</v>
      </c>
      <c r="M586" s="5">
        <v>45433.974236111113</v>
      </c>
      <c r="N586" s="2" t="str">
        <f>HYPERLINK("http://twitter.com/worldsoccertalk/status/1793120323073880155")</f>
        <v>http://twitter.com/worldsoccertalk/status/1793120323073880155</v>
      </c>
      <c r="O586" s="2" t="str">
        <f>HYPERLINK("https://shows.acast.com/world-soccer-talk-premier-league-mls-champions-league-efl-and-more/episodes/why-playoffs-dont-work-in-american-soccer")</f>
        <v>https://shows.acast.com/world-soccer-talk-premier-league-mls-champions-league-efl-and-more/episodes/why-playoffs-dont-work-in-american-soccer</v>
      </c>
    </row>
    <row r="587" spans="1:15" ht="105.6" x14ac:dyDescent="0.3">
      <c r="A587" s="2" t="s">
        <v>1651</v>
      </c>
      <c r="B587" s="2" t="s">
        <v>2619</v>
      </c>
      <c r="C587" s="2" t="s">
        <v>2620</v>
      </c>
      <c r="D587" s="2" t="s">
        <v>2621</v>
      </c>
      <c r="E587" s="2" t="str">
        <f>HYPERLINK("http://twitter.com/worldsoccertalk")</f>
        <v>http://twitter.com/worldsoccertalk</v>
      </c>
      <c r="F587" s="2" t="str">
        <f>HYPERLINK("https://muckrack.com/christophermharris")</f>
        <v>https://muckrack.com/christophermharris</v>
      </c>
      <c r="G587" s="2">
        <v>81386</v>
      </c>
      <c r="H587" s="2" t="s">
        <v>2622</v>
      </c>
      <c r="I587" s="2" t="s">
        <v>2623</v>
      </c>
      <c r="J587" s="2" t="s">
        <v>2624</v>
      </c>
      <c r="K587" s="2" t="s">
        <v>2625</v>
      </c>
      <c r="L587" s="2" t="s">
        <v>3414</v>
      </c>
      <c r="M587" s="5">
        <v>45434.380601851852</v>
      </c>
      <c r="N587" s="2" t="str">
        <f>HYPERLINK("http://twitter.com/worldsoccertalk/status/1793267586701860941")</f>
        <v>http://twitter.com/worldsoccertalk/status/1793267586701860941</v>
      </c>
      <c r="O587" s="2" t="str">
        <f>HYPERLINK("https://shows.acast.com/world-soccer-talk-premier-league-mls-champions-league-efl-and-more/episodes/why-playoffs-dont-work-in-american-soccer")</f>
        <v>https://shows.acast.com/world-soccer-talk-premier-league-mls-champions-league-efl-and-more/episodes/why-playoffs-dont-work-in-american-soccer</v>
      </c>
    </row>
    <row r="588" spans="1:15" ht="79.2" x14ac:dyDescent="0.3">
      <c r="A588" s="2" t="s">
        <v>1656</v>
      </c>
      <c r="B588" s="2" t="s">
        <v>3415</v>
      </c>
      <c r="C588" s="2" t="s">
        <v>3416</v>
      </c>
      <c r="D588" s="2" t="s">
        <v>3417</v>
      </c>
      <c r="E588" s="2" t="str">
        <f>HYPERLINK("http://twitter.com/kkfla737")</f>
        <v>http://twitter.com/kkfla737</v>
      </c>
      <c r="F588" s="2" t="str">
        <f>HYPERLINK("https://muckrack.com/kartik-krishnaiyer")</f>
        <v>https://muckrack.com/kartik-krishnaiyer</v>
      </c>
      <c r="G588" s="2">
        <v>8469</v>
      </c>
      <c r="H588" s="2" t="s">
        <v>3418</v>
      </c>
      <c r="I588" s="2" t="s">
        <v>3419</v>
      </c>
      <c r="J588" s="2" t="s">
        <v>2033</v>
      </c>
      <c r="K588" s="2" t="s">
        <v>3420</v>
      </c>
      <c r="L588" s="2" t="s">
        <v>3414</v>
      </c>
      <c r="M588" s="5">
        <v>45434.497870370367</v>
      </c>
      <c r="N588" s="2" t="str">
        <f>HYPERLINK("http://twitter.com/kkfla737/status/1793310083390099514")</f>
        <v>http://twitter.com/kkfla737/status/1793310083390099514</v>
      </c>
      <c r="O588" s="2" t="str">
        <f>HYPERLINK("https://shows.acast.com/world-soccer-talk-premier-league-mls-champions-league-efl-and-more/episodes/why-playoffs-dont-work-in-american-soccer")</f>
        <v>https://shows.acast.com/world-soccer-talk-premier-league-mls-champions-league-efl-and-more/episodes/why-playoffs-dont-work-in-american-soccer</v>
      </c>
    </row>
    <row r="589" spans="1:15" ht="39.6" x14ac:dyDescent="0.3">
      <c r="A589" s="2" t="s">
        <v>2102</v>
      </c>
      <c r="B589" s="2" t="s">
        <v>2103</v>
      </c>
      <c r="C589" s="2" t="s">
        <v>2104</v>
      </c>
      <c r="D589" s="2" t="s">
        <v>2105</v>
      </c>
      <c r="E589" s="2" t="str">
        <f>HYPERLINK("http://twitter.com/HolyCitySinner")</f>
        <v>http://twitter.com/HolyCitySinner</v>
      </c>
      <c r="F589" s="2" t="str">
        <f>HYPERLINK("https://muckrack.com/christian-senger")</f>
        <v>https://muckrack.com/christian-senger</v>
      </c>
      <c r="G589" s="2">
        <v>61543</v>
      </c>
      <c r="H589" s="2" t="s">
        <v>2106</v>
      </c>
      <c r="I589" s="2" t="s">
        <v>2107</v>
      </c>
      <c r="J589" s="2" t="s">
        <v>2108</v>
      </c>
      <c r="K589" s="2" t="s">
        <v>2109</v>
      </c>
      <c r="L589" s="2" t="s">
        <v>3421</v>
      </c>
      <c r="M589" s="5">
        <v>45433.853472222218</v>
      </c>
      <c r="N589" s="2" t="str">
        <f>HYPERLINK("http://twitter.com/HolyCitySinner/status/1793076559487652051")</f>
        <v>http://twitter.com/HolyCitySinner/status/1793076559487652051</v>
      </c>
      <c r="O589" s="2" t="str">
        <f>HYPERLINK("http://holycitysinner.com/sports/adam-grinwis-selected-to-uslc-week-11-team-of-the-week/")</f>
        <v>http://holycitysinner.com/sports/adam-grinwis-selected-to-uslc-week-11-team-of-the-week/</v>
      </c>
    </row>
    <row r="590" spans="1:15" ht="39.6" x14ac:dyDescent="0.3">
      <c r="A590" s="2" t="s">
        <v>2102</v>
      </c>
      <c r="B590" s="2" t="s">
        <v>2103</v>
      </c>
      <c r="C590" s="2" t="s">
        <v>2104</v>
      </c>
      <c r="D590" s="2" t="s">
        <v>2105</v>
      </c>
      <c r="E590" s="2" t="str">
        <f>HYPERLINK("http://twitter.com/HolyCitySinner")</f>
        <v>http://twitter.com/HolyCitySinner</v>
      </c>
      <c r="F590" s="2" t="str">
        <f>HYPERLINK("https://muckrack.com/christian-senger")</f>
        <v>https://muckrack.com/christian-senger</v>
      </c>
      <c r="G590" s="2">
        <v>61543</v>
      </c>
      <c r="H590" s="2" t="s">
        <v>2106</v>
      </c>
      <c r="I590" s="2" t="s">
        <v>2107</v>
      </c>
      <c r="J590" s="2" t="s">
        <v>2108</v>
      </c>
      <c r="K590" s="2" t="s">
        <v>2109</v>
      </c>
      <c r="L590" s="2" t="s">
        <v>3422</v>
      </c>
      <c r="M590" s="5">
        <v>45434.504166666673</v>
      </c>
      <c r="N590" s="2" t="str">
        <f>HYPERLINK("http://twitter.com/HolyCitySinner/status/1793312363434967079")</f>
        <v>http://twitter.com/HolyCitySinner/status/1793312363434967079</v>
      </c>
      <c r="O590" s="2" t="str">
        <f>HYPERLINK("http://holycitysinner.com/sports/adam-grinwis-selected-to-uslc-week-11-team-of-the-week/")</f>
        <v>http://holycitysinner.com/sports/adam-grinwis-selected-to-uslc-week-11-team-of-the-week/</v>
      </c>
    </row>
    <row r="591" spans="1:15" ht="39.6" x14ac:dyDescent="0.3">
      <c r="A591" s="2" t="s">
        <v>2119</v>
      </c>
      <c r="B591" s="2" t="s">
        <v>2120</v>
      </c>
      <c r="C591" s="2" t="s">
        <v>2121</v>
      </c>
      <c r="D591" s="2" t="s">
        <v>2122</v>
      </c>
      <c r="E591" s="2" t="str">
        <f>HYPERLINK("http://twitter.com/starwatchtim")</f>
        <v>http://twitter.com/starwatchtim</v>
      </c>
      <c r="F591" s="2" t="str">
        <f>HYPERLINK("https://muckrack.com/starwatchtim")</f>
        <v>https://muckrack.com/starwatchtim</v>
      </c>
      <c r="G591" s="2">
        <v>7285</v>
      </c>
      <c r="H591" s="2" t="s">
        <v>2123</v>
      </c>
      <c r="I591" s="2" t="s">
        <v>2124</v>
      </c>
      <c r="J591" s="2" t="s">
        <v>2125</v>
      </c>
      <c r="K591" s="2" t="s">
        <v>321</v>
      </c>
      <c r="L591" s="2" t="s">
        <v>3423</v>
      </c>
      <c r="M591" s="5">
        <v>45433.349212962959</v>
      </c>
      <c r="N591" s="2" t="str">
        <f>HYPERLINK("http://twitter.com/starwatchtim/status/1792893823586033899")</f>
        <v>http://twitter.com/starwatchtim/status/1792893823586033899</v>
      </c>
      <c r="O591" s="2" t="str">
        <f>HYPERLINK("https://www.class900indy.com/post/aiming-high-a-brief-history-of-the-indianapolis-arrows-baseball-team")</f>
        <v>https://www.class900indy.com/post/aiming-high-a-brief-history-of-the-indianapolis-arrows-baseball-team</v>
      </c>
    </row>
    <row r="592" spans="1:15" ht="39.6" x14ac:dyDescent="0.3">
      <c r="A592" s="2" t="s">
        <v>3424</v>
      </c>
      <c r="B592" s="2" t="s">
        <v>3425</v>
      </c>
      <c r="C592" s="2" t="s">
        <v>3426</v>
      </c>
      <c r="D592" s="2" t="s">
        <v>3427</v>
      </c>
      <c r="E592" s="2" t="str">
        <f>HYPERLINK("http://twitter.com/loumonaco")</f>
        <v>http://twitter.com/loumonaco</v>
      </c>
      <c r="F592" s="2" t="str">
        <f>HYPERLINK("https://muckrack.com/loumonaco")</f>
        <v>https://muckrack.com/loumonaco</v>
      </c>
      <c r="G592" s="2">
        <v>3769</v>
      </c>
      <c r="H592" s="2" t="s">
        <v>3428</v>
      </c>
      <c r="I592" s="2" t="s">
        <v>3429</v>
      </c>
      <c r="J592" s="2" t="s">
        <v>3430</v>
      </c>
      <c r="K592" s="2" t="s">
        <v>3431</v>
      </c>
      <c r="L592" s="2" t="s">
        <v>3432</v>
      </c>
      <c r="M592" s="5">
        <v>45433.789976851847</v>
      </c>
      <c r="N592" s="2" t="str">
        <f>HYPERLINK("http://twitter.com/loumonaco/status/1793053549661696216")</f>
        <v>http://twitter.com/loumonaco/status/1793053549661696216</v>
      </c>
      <c r="O592" s="2" t="str">
        <f>HYPERLINK("https://thecup.us/2024/05/21/2024-us-open-cup-round-of-16-preview-live-video-links/")</f>
        <v>https://thecup.us/2024/05/21/2024-us-open-cup-round-of-16-preview-live-video-links/</v>
      </c>
    </row>
    <row r="593" spans="1:15" ht="39.6" x14ac:dyDescent="0.3">
      <c r="A593" s="2" t="s">
        <v>263</v>
      </c>
      <c r="B593" s="2" t="s">
        <v>2221</v>
      </c>
      <c r="C593" s="2" t="s">
        <v>2222</v>
      </c>
      <c r="D593" s="2" t="s">
        <v>2223</v>
      </c>
      <c r="E593" s="2" t="str">
        <f>HYPERLINK("http://twitter.com/pkedit")</f>
        <v>http://twitter.com/pkedit</v>
      </c>
      <c r="F593" s="2" t="str">
        <f>HYPERLINK("https://muckrack.com/paul-kennedy")</f>
        <v>https://muckrack.com/paul-kennedy</v>
      </c>
      <c r="G593" s="2">
        <v>10080</v>
      </c>
      <c r="H593" s="2"/>
      <c r="I593" s="2" t="s">
        <v>2224</v>
      </c>
      <c r="J593" s="2" t="s">
        <v>1929</v>
      </c>
      <c r="K593" s="2" t="s">
        <v>264</v>
      </c>
      <c r="L593" s="2" t="s">
        <v>3433</v>
      </c>
      <c r="M593" s="5">
        <v>45430.395833333343</v>
      </c>
      <c r="N593" s="2" t="str">
        <f>HYPERLINK("http://twitter.com/pkedit/status/1791823555757506636")</f>
        <v>http://twitter.com/pkedit/status/1791823555757506636</v>
      </c>
      <c r="O593" s="2" t="str">
        <f t="shared" ref="O593:O598" si="20">HYPERLINK("https://www.socceramerica.com/the-american-soccer-weekend-preview-7/")</f>
        <v>https://www.socceramerica.com/the-american-soccer-weekend-preview-7/</v>
      </c>
    </row>
    <row r="594" spans="1:15" ht="39.6" x14ac:dyDescent="0.3">
      <c r="A594" s="2" t="s">
        <v>263</v>
      </c>
      <c r="B594" s="2" t="s">
        <v>2221</v>
      </c>
      <c r="C594" s="2" t="s">
        <v>2222</v>
      </c>
      <c r="D594" s="2" t="s">
        <v>2223</v>
      </c>
      <c r="E594" s="2" t="str">
        <f>HYPERLINK("http://twitter.com/pkedit")</f>
        <v>http://twitter.com/pkedit</v>
      </c>
      <c r="F594" s="2" t="str">
        <f>HYPERLINK("https://muckrack.com/paul-kennedy")</f>
        <v>https://muckrack.com/paul-kennedy</v>
      </c>
      <c r="G594" s="2">
        <v>10080</v>
      </c>
      <c r="H594" s="2"/>
      <c r="I594" s="2" t="s">
        <v>2224</v>
      </c>
      <c r="J594" s="2" t="s">
        <v>1929</v>
      </c>
      <c r="K594" s="2" t="s">
        <v>264</v>
      </c>
      <c r="L594" s="2" t="s">
        <v>3434</v>
      </c>
      <c r="M594" s="5">
        <v>45430.438888888893</v>
      </c>
      <c r="N594" s="2" t="str">
        <f>HYPERLINK("http://twitter.com/pkedit/status/1791839156316024885")</f>
        <v>http://twitter.com/pkedit/status/1791839156316024885</v>
      </c>
      <c r="O594" s="2" t="str">
        <f t="shared" si="20"/>
        <v>https://www.socceramerica.com/the-american-soccer-weekend-preview-7/</v>
      </c>
    </row>
    <row r="595" spans="1:15" ht="39.6" x14ac:dyDescent="0.3">
      <c r="A595" s="2" t="s">
        <v>263</v>
      </c>
      <c r="B595" s="2" t="s">
        <v>2221</v>
      </c>
      <c r="C595" s="2" t="s">
        <v>2222</v>
      </c>
      <c r="D595" s="2" t="s">
        <v>2223</v>
      </c>
      <c r="E595" s="2" t="str">
        <f>HYPERLINK("http://twitter.com/pkedit")</f>
        <v>http://twitter.com/pkedit</v>
      </c>
      <c r="F595" s="2" t="str">
        <f>HYPERLINK("https://muckrack.com/paul-kennedy")</f>
        <v>https://muckrack.com/paul-kennedy</v>
      </c>
      <c r="G595" s="2">
        <v>10080</v>
      </c>
      <c r="H595" s="2"/>
      <c r="I595" s="2" t="s">
        <v>2224</v>
      </c>
      <c r="J595" s="2" t="s">
        <v>1929</v>
      </c>
      <c r="K595" s="2" t="s">
        <v>264</v>
      </c>
      <c r="L595" s="2" t="s">
        <v>3435</v>
      </c>
      <c r="M595" s="5">
        <v>45430.466666666667</v>
      </c>
      <c r="N595" s="2" t="str">
        <f>HYPERLINK("http://twitter.com/pkedit/status/1791849222389793208")</f>
        <v>http://twitter.com/pkedit/status/1791849222389793208</v>
      </c>
      <c r="O595" s="2" t="str">
        <f t="shared" si="20"/>
        <v>https://www.socceramerica.com/the-american-soccer-weekend-preview-7/</v>
      </c>
    </row>
    <row r="596" spans="1:15" ht="39.6" x14ac:dyDescent="0.3">
      <c r="A596" s="2" t="s">
        <v>263</v>
      </c>
      <c r="B596" s="2" t="s">
        <v>2221</v>
      </c>
      <c r="C596" s="2" t="s">
        <v>2222</v>
      </c>
      <c r="D596" s="2" t="s">
        <v>2223</v>
      </c>
      <c r="E596" s="2" t="str">
        <f>HYPERLINK("http://twitter.com/pkedit")</f>
        <v>http://twitter.com/pkedit</v>
      </c>
      <c r="F596" s="2" t="str">
        <f>HYPERLINK("https://muckrack.com/paul-kennedy")</f>
        <v>https://muckrack.com/paul-kennedy</v>
      </c>
      <c r="G596" s="2">
        <v>10080</v>
      </c>
      <c r="H596" s="2"/>
      <c r="I596" s="2" t="s">
        <v>2224</v>
      </c>
      <c r="J596" s="2" t="s">
        <v>1929</v>
      </c>
      <c r="K596" s="2" t="s">
        <v>264</v>
      </c>
      <c r="L596" s="2" t="s">
        <v>3436</v>
      </c>
      <c r="M596" s="5">
        <v>45430.728472222218</v>
      </c>
      <c r="N596" s="2" t="str">
        <f>HYPERLINK("http://twitter.com/pkedit/status/1791944097432776757")</f>
        <v>http://twitter.com/pkedit/status/1791944097432776757</v>
      </c>
      <c r="O596" s="2" t="str">
        <f t="shared" si="20"/>
        <v>https://www.socceramerica.com/the-american-soccer-weekend-preview-7/</v>
      </c>
    </row>
    <row r="597" spans="1:15" ht="39.6" x14ac:dyDescent="0.3">
      <c r="A597" s="2" t="s">
        <v>263</v>
      </c>
      <c r="B597" s="2" t="s">
        <v>2221</v>
      </c>
      <c r="C597" s="2" t="s">
        <v>2222</v>
      </c>
      <c r="D597" s="2" t="s">
        <v>2223</v>
      </c>
      <c r="E597" s="2" t="str">
        <f>HYPERLINK("http://twitter.com/pkedit")</f>
        <v>http://twitter.com/pkedit</v>
      </c>
      <c r="F597" s="2" t="str">
        <f>HYPERLINK("https://muckrack.com/paul-kennedy")</f>
        <v>https://muckrack.com/paul-kennedy</v>
      </c>
      <c r="G597" s="2">
        <v>10080</v>
      </c>
      <c r="H597" s="2"/>
      <c r="I597" s="2" t="s">
        <v>2224</v>
      </c>
      <c r="J597" s="2" t="s">
        <v>1929</v>
      </c>
      <c r="K597" s="2" t="s">
        <v>264</v>
      </c>
      <c r="L597" s="2" t="s">
        <v>3437</v>
      </c>
      <c r="M597" s="5">
        <v>45430.822916666657</v>
      </c>
      <c r="N597" s="2" t="str">
        <f>HYPERLINK("http://twitter.com/pkedit/status/1791978322940875262")</f>
        <v>http://twitter.com/pkedit/status/1791978322940875262</v>
      </c>
      <c r="O597" s="2" t="str">
        <f t="shared" si="20"/>
        <v>https://www.socceramerica.com/the-american-soccer-weekend-preview-7/</v>
      </c>
    </row>
    <row r="598" spans="1:15" ht="39.6" x14ac:dyDescent="0.3">
      <c r="A598" s="2" t="s">
        <v>349</v>
      </c>
      <c r="B598" s="2" t="s">
        <v>2524</v>
      </c>
      <c r="C598" s="2" t="s">
        <v>2525</v>
      </c>
      <c r="D598" s="2" t="s">
        <v>2526</v>
      </c>
      <c r="E598" s="2" t="str">
        <f>HYPERLINK("http://twitter.com/MikeWoitalla")</f>
        <v>http://twitter.com/MikeWoitalla</v>
      </c>
      <c r="F598" s="2" t="str">
        <f>HYPERLINK("https://muckrack.com/mike-woitalla")</f>
        <v>https://muckrack.com/mike-woitalla</v>
      </c>
      <c r="G598" s="2">
        <v>3965</v>
      </c>
      <c r="H598" s="2" t="s">
        <v>2527</v>
      </c>
      <c r="I598" s="2" t="s">
        <v>2528</v>
      </c>
      <c r="J598" s="2" t="s">
        <v>2529</v>
      </c>
      <c r="K598" s="2" t="s">
        <v>264</v>
      </c>
      <c r="L598" s="2" t="s">
        <v>3438</v>
      </c>
      <c r="M598" s="5">
        <v>45430.505462962959</v>
      </c>
      <c r="N598" s="2" t="str">
        <f>HYPERLINK("http://twitter.com/MikeWoitalla/status/1791863282304696444")</f>
        <v>http://twitter.com/MikeWoitalla/status/1791863282304696444</v>
      </c>
      <c r="O598" s="2" t="str">
        <f t="shared" si="20"/>
        <v>https://www.socceramerica.com/the-american-soccer-weekend-preview-7/</v>
      </c>
    </row>
    <row r="599" spans="1:15" ht="52.8" x14ac:dyDescent="0.3">
      <c r="A599" s="2" t="s">
        <v>993</v>
      </c>
      <c r="B599" s="2" t="s">
        <v>2289</v>
      </c>
      <c r="C599" s="2" t="s">
        <v>2981</v>
      </c>
      <c r="D599" s="2" t="s">
        <v>2982</v>
      </c>
      <c r="E599" s="2" t="str">
        <f>HYPERLINK("http://twitter.com/StephenWhit89")</f>
        <v>http://twitter.com/StephenWhit89</v>
      </c>
      <c r="F599" s="2" t="str">
        <f>HYPERLINK("https://muckrack.com/stephen-whitaker")</f>
        <v>https://muckrack.com/stephen-whitaker</v>
      </c>
      <c r="G599" s="2">
        <v>1127</v>
      </c>
      <c r="H599" s="2" t="s">
        <v>2983</v>
      </c>
      <c r="I599" s="2" t="s">
        <v>2984</v>
      </c>
      <c r="J599" s="2" t="s">
        <v>2033</v>
      </c>
      <c r="K599" s="2" t="s">
        <v>2985</v>
      </c>
      <c r="L599" s="2" t="s">
        <v>3439</v>
      </c>
      <c r="M599" s="5">
        <v>45430.547627314823</v>
      </c>
      <c r="N599" s="2" t="str">
        <f>HYPERLINK("http://twitter.com/StephenWhit89/status/1791878564129787941")</f>
        <v>http://twitter.com/StephenWhit89/status/1791878564129787941</v>
      </c>
      <c r="O599" s="2" t="str">
        <f>HYPERLINK("https://www.expressnews.com/sports/article/san-antonio-fc-earns-much-needed-week-19464485.php")</f>
        <v>https://www.expressnews.com/sports/article/san-antonio-fc-earns-much-needed-week-19464485.php</v>
      </c>
    </row>
    <row r="600" spans="1:15" ht="66" x14ac:dyDescent="0.3">
      <c r="A600" s="2" t="s">
        <v>104</v>
      </c>
      <c r="B600" s="2" t="s">
        <v>2184</v>
      </c>
      <c r="C600" s="2" t="s">
        <v>2185</v>
      </c>
      <c r="D600" s="2" t="s">
        <v>2186</v>
      </c>
      <c r="E600" s="2" t="str">
        <f>HYPERLINK("http://twitter.com/JohnKrysinsky")</f>
        <v>http://twitter.com/JohnKrysinsky</v>
      </c>
      <c r="F600" s="2" t="str">
        <f>HYPERLINK("https://muckrack.com/john-krysinsky")</f>
        <v>https://muckrack.com/john-krysinsky</v>
      </c>
      <c r="G600" s="2">
        <v>3332</v>
      </c>
      <c r="H600" s="2" t="s">
        <v>2187</v>
      </c>
      <c r="I600" s="2" t="s">
        <v>2188</v>
      </c>
      <c r="J600" s="2" t="s">
        <v>2000</v>
      </c>
      <c r="K600" s="2" t="s">
        <v>2034</v>
      </c>
      <c r="L600" s="2" t="s">
        <v>3440</v>
      </c>
      <c r="M600" s="5">
        <v>45428.912731481483</v>
      </c>
      <c r="N600" s="2" t="str">
        <f>HYPERLINK("http://twitter.com/JohnKrysinsky/status/1791286094266519782")</f>
        <v>http://twitter.com/JohnKrysinsky/status/1791286094266519782</v>
      </c>
      <c r="O600" s="2" t="str">
        <f>HYPERLINK("https://pittsburghsoccernow.com/2024/05/16/riverhounds-notebook-who-is-the-biggest-nemesis-in-club-history-plus-hounds-attack-finally-bites-back-after-a-deficit/")</f>
        <v>https://pittsburghsoccernow.com/2024/05/16/riverhounds-notebook-who-is-the-biggest-nemesis-in-club-history-plus-hounds-attack-finally-bites-back-after-a-deficit/</v>
      </c>
    </row>
    <row r="601" spans="1:15" ht="66" x14ac:dyDescent="0.3">
      <c r="A601" s="2" t="s">
        <v>2119</v>
      </c>
      <c r="B601" s="2" t="s">
        <v>2120</v>
      </c>
      <c r="C601" s="2" t="s">
        <v>2121</v>
      </c>
      <c r="D601" s="2" t="s">
        <v>2122</v>
      </c>
      <c r="E601" s="2" t="str">
        <f>HYPERLINK("http://twitter.com/starwatchtim")</f>
        <v>http://twitter.com/starwatchtim</v>
      </c>
      <c r="F601" s="2" t="str">
        <f>HYPERLINK("https://muckrack.com/starwatchtim")</f>
        <v>https://muckrack.com/starwatchtim</v>
      </c>
      <c r="G601" s="2">
        <v>7285</v>
      </c>
      <c r="H601" s="2" t="s">
        <v>2123</v>
      </c>
      <c r="I601" s="2" t="s">
        <v>2124</v>
      </c>
      <c r="J601" s="2" t="s">
        <v>2125</v>
      </c>
      <c r="K601" s="2" t="s">
        <v>321</v>
      </c>
      <c r="L601" s="2" t="s">
        <v>3441</v>
      </c>
      <c r="M601" s="5">
        <v>45426.348865740743</v>
      </c>
      <c r="N601" s="2" t="str">
        <f>HYPERLINK("http://twitter.com/starwatchtim/status/1790356982374801693")</f>
        <v>http://twitter.com/starwatchtim/status/1790356982374801693</v>
      </c>
      <c r="O601" s="2" t="str">
        <f>HYPERLINK("https://www.indystar.com/story/opinion/columnists/james-briggs/2024/05/14/when-will-indiana-elect-a-woman-to-governor-or-senator/73671207007/")</f>
        <v>https://www.indystar.com/story/opinion/columnists/james-briggs/2024/05/14/when-will-indiana-elect-a-woman-to-governor-or-senator/73671207007/</v>
      </c>
    </row>
    <row r="602" spans="1:15" ht="66" x14ac:dyDescent="0.3">
      <c r="A602" s="2" t="s">
        <v>3306</v>
      </c>
      <c r="B602" s="2" t="s">
        <v>2467</v>
      </c>
      <c r="C602" s="2" t="s">
        <v>3307</v>
      </c>
      <c r="D602" s="2" t="s">
        <v>3308</v>
      </c>
      <c r="E602" s="2" t="str">
        <f>HYPERLINK("http://twitter.com/ChrisSikich")</f>
        <v>http://twitter.com/ChrisSikich</v>
      </c>
      <c r="F602" s="2" t="str">
        <f>HYPERLINK("https://muckrack.com/chrissikich")</f>
        <v>https://muckrack.com/chrissikich</v>
      </c>
      <c r="G602" s="2">
        <v>7531</v>
      </c>
      <c r="H602" s="2" t="s">
        <v>2132</v>
      </c>
      <c r="I602" s="2" t="s">
        <v>3309</v>
      </c>
      <c r="J602" s="2" t="s">
        <v>2008</v>
      </c>
      <c r="K602" s="2" t="s">
        <v>1974</v>
      </c>
      <c r="L602" s="2" t="s">
        <v>3442</v>
      </c>
      <c r="M602" s="5">
        <v>45426.653124999997</v>
      </c>
      <c r="N602" s="2" t="str">
        <f>HYPERLINK("http://twitter.com/ChrisSikich/status/1790467244222288358")</f>
        <v>http://twitter.com/ChrisSikich/status/1790467244222288358</v>
      </c>
      <c r="O602" s="2" t="str">
        <f>HYPERLINK("https://www.indystar.com/story/opinion/columnists/james-briggs/2024/05/14/when-will-indiana-elect-a-woman-to-governor-or-senator/73671207007/")</f>
        <v>https://www.indystar.com/story/opinion/columnists/james-briggs/2024/05/14/when-will-indiana-elect-a-woman-to-governor-or-senator/73671207007/</v>
      </c>
    </row>
    <row r="603" spans="1:15" ht="79.2" x14ac:dyDescent="0.3">
      <c r="A603" s="2" t="s">
        <v>3270</v>
      </c>
      <c r="B603" s="2" t="s">
        <v>3271</v>
      </c>
      <c r="C603" s="2" t="s">
        <v>3272</v>
      </c>
      <c r="D603" s="2" t="s">
        <v>3273</v>
      </c>
      <c r="E603" s="2" t="str">
        <f>HYPERLINK("http://twitter.com/DustinGroveTV")</f>
        <v>http://twitter.com/DustinGroveTV</v>
      </c>
      <c r="F603" s="2" t="str">
        <f>HYPERLINK("https://muckrack.com/dustin-grove")</f>
        <v>https://muckrack.com/dustin-grove</v>
      </c>
      <c r="G603" s="2">
        <v>3562</v>
      </c>
      <c r="H603" s="2" t="s">
        <v>3274</v>
      </c>
      <c r="I603" s="2" t="s">
        <v>3275</v>
      </c>
      <c r="J603" s="2" t="s">
        <v>1954</v>
      </c>
      <c r="K603" s="2" t="s">
        <v>130</v>
      </c>
      <c r="L603" s="2" t="s">
        <v>3443</v>
      </c>
      <c r="M603" s="5">
        <v>45426.31695601852</v>
      </c>
      <c r="N603" s="2" t="str">
        <f>HYPERLINK("http://twitter.com/DustinGroveTV/status/1790345418125005085")</f>
        <v>http://twitter.com/DustinGroveTV/status/1790345418125005085</v>
      </c>
      <c r="O603" s="2" t="str">
        <f>HYPERLINK("https://www.wthr.com/article/news/local/mayors-stadium-tax-district-plan-introduced-to-indianapolis-city-county-council-osili-jones-gibson-brown-jones-mowery/531-cc6b163a-8b49-46d6-9773-8386ec4f2267")</f>
        <v>https://www.wthr.com/article/news/local/mayors-stadium-tax-district-plan-introduced-to-indianapolis-city-county-council-osili-jones-gibson-brown-jones-mowery/531-cc6b163a-8b49-46d6-9773-8386ec4f2267</v>
      </c>
    </row>
    <row r="604" spans="1:15" ht="79.2" x14ac:dyDescent="0.3">
      <c r="A604" s="2" t="s">
        <v>3097</v>
      </c>
      <c r="B604" s="2" t="s">
        <v>2544</v>
      </c>
      <c r="C604" s="2" t="s">
        <v>3098</v>
      </c>
      <c r="D604" s="2" t="s">
        <v>3099</v>
      </c>
      <c r="E604" s="2" t="str">
        <f>HYPERLINK("http://twitter.com/CierraReporter")</f>
        <v>http://twitter.com/CierraReporter</v>
      </c>
      <c r="F604" s="2" t="str">
        <f>HYPERLINK("https://muckrack.com/cierrareporter")</f>
        <v>https://muckrack.com/cierrareporter</v>
      </c>
      <c r="G604" s="2">
        <v>2211</v>
      </c>
      <c r="H604" s="2" t="s">
        <v>1972</v>
      </c>
      <c r="I604" s="2" t="s">
        <v>3100</v>
      </c>
      <c r="J604" s="2" t="s">
        <v>3101</v>
      </c>
      <c r="K604" s="2" t="s">
        <v>130</v>
      </c>
      <c r="L604" s="2" t="s">
        <v>3444</v>
      </c>
      <c r="M604" s="5">
        <v>45426.47247685185</v>
      </c>
      <c r="N604" s="2" t="str">
        <f>HYPERLINK("http://twitter.com/CierraReporter/status/1790401775566008801")</f>
        <v>http://twitter.com/CierraReporter/status/1790401775566008801</v>
      </c>
      <c r="O604" s="2" t="str">
        <f>HYPERLINK("https://www.wthr.com/article/news/local/mayors-stadium-tax-district-plan-introduced-to-indianapolis-city-county-council-osili-jones-gibson-brown-jones-mowery/531-cc6b163a-8b49-46d6-9773-8386ec4f2267")</f>
        <v>https://www.wthr.com/article/news/local/mayors-stadium-tax-district-plan-introduced-to-indianapolis-city-county-council-osili-jones-gibson-brown-jones-mowery/531-cc6b163a-8b49-46d6-9773-8386ec4f2267</v>
      </c>
    </row>
    <row r="605" spans="1:15" ht="39.6" x14ac:dyDescent="0.3">
      <c r="A605" s="2" t="s">
        <v>1089</v>
      </c>
      <c r="B605" s="2" t="s">
        <v>2061</v>
      </c>
      <c r="C605" s="2" t="s">
        <v>3102</v>
      </c>
      <c r="D605" s="2" t="s">
        <v>3103</v>
      </c>
      <c r="E605" s="2" t="str">
        <f>HYPERLINK("http://twitter.com/DZulkosky")</f>
        <v>http://twitter.com/DZulkosky</v>
      </c>
      <c r="F605" s="2" t="str">
        <f>HYPERLINK("https://muckrack.com/danielle-zulkosky")</f>
        <v>https://muckrack.com/danielle-zulkosky</v>
      </c>
      <c r="G605" s="2">
        <v>1461</v>
      </c>
      <c r="H605" s="2" t="s">
        <v>1972</v>
      </c>
      <c r="I605" s="2" t="s">
        <v>3104</v>
      </c>
      <c r="J605" s="2" t="s">
        <v>2361</v>
      </c>
      <c r="K605" s="2" t="s">
        <v>2283</v>
      </c>
      <c r="L605" s="2" t="s">
        <v>3445</v>
      </c>
      <c r="M605" s="5">
        <v>45426.15215277778</v>
      </c>
      <c r="N605" s="2" t="str">
        <f>HYPERLINK("http://twitter.com/DZulkosky/status/1790285696168554867")</f>
        <v>http://twitter.com/DZulkosky/status/1790285696168554867</v>
      </c>
      <c r="O605" s="2" t="str">
        <f>HYPERLINK("https://www.wishtv.com/news/politics/many-steps-ahead-before-tax-district-for-mls-stadium-comes-to-fruition/")</f>
        <v>https://www.wishtv.com/news/politics/many-steps-ahead-before-tax-district-for-mls-stadium-comes-to-fruition/</v>
      </c>
    </row>
    <row r="606" spans="1:15" ht="52.8" x14ac:dyDescent="0.3">
      <c r="A606" s="2" t="s">
        <v>1360</v>
      </c>
      <c r="B606" s="2" t="s">
        <v>2061</v>
      </c>
      <c r="C606" s="2" t="s">
        <v>3258</v>
      </c>
      <c r="D606" s="2" t="s">
        <v>3259</v>
      </c>
      <c r="E606" s="2" t="str">
        <f>HYPERLINK("http://twitter.com/grifgonzo")</f>
        <v>http://twitter.com/grifgonzo</v>
      </c>
      <c r="F606" s="2" t="str">
        <f>HYPERLINK("https://muckrack.com/griffin-gonzalez")</f>
        <v>https://muckrack.com/griffin-gonzalez</v>
      </c>
      <c r="G606" s="2">
        <v>2745</v>
      </c>
      <c r="H606" s="2" t="s">
        <v>1972</v>
      </c>
      <c r="I606" s="2" t="s">
        <v>3260</v>
      </c>
      <c r="J606" s="2" t="s">
        <v>2033</v>
      </c>
      <c r="K606" s="2" t="s">
        <v>725</v>
      </c>
      <c r="L606" s="2" t="s">
        <v>3446</v>
      </c>
      <c r="M606" s="5">
        <v>45425.960023148153</v>
      </c>
      <c r="N606" s="2" t="str">
        <f>HYPERLINK("http://twitter.com/grifgonzo/status/1790216072064348301")</f>
        <v>http://twitter.com/grifgonzo/status/1790216072064348301</v>
      </c>
      <c r="O606" s="2" t="str">
        <f>HYPERLINK("https://www.wrtv.com/news/local-news/city-moves-forward-with-mayors-mls-stadium-proposal-rejecting-eleven-park")</f>
        <v>https://www.wrtv.com/news/local-news/city-moves-forward-with-mayors-mls-stadium-proposal-rejecting-eleven-park</v>
      </c>
    </row>
    <row r="607" spans="1:15" ht="79.2" x14ac:dyDescent="0.3">
      <c r="A607" s="2" t="s">
        <v>1360</v>
      </c>
      <c r="B607" s="2" t="s">
        <v>2061</v>
      </c>
      <c r="C607" s="2" t="s">
        <v>3258</v>
      </c>
      <c r="D607" s="2" t="s">
        <v>3259</v>
      </c>
      <c r="E607" s="2" t="str">
        <f>HYPERLINK("http://twitter.com/grifgonzo")</f>
        <v>http://twitter.com/grifgonzo</v>
      </c>
      <c r="F607" s="2" t="str">
        <f>HYPERLINK("https://muckrack.com/griffin-gonzalez")</f>
        <v>https://muckrack.com/griffin-gonzalez</v>
      </c>
      <c r="G607" s="2">
        <v>2745</v>
      </c>
      <c r="H607" s="2" t="s">
        <v>1972</v>
      </c>
      <c r="I607" s="2" t="s">
        <v>3260</v>
      </c>
      <c r="J607" s="2" t="s">
        <v>2033</v>
      </c>
      <c r="K607" s="2" t="s">
        <v>725</v>
      </c>
      <c r="L607" s="2" t="s">
        <v>3447</v>
      </c>
      <c r="M607" s="5">
        <v>45425.963587962957</v>
      </c>
      <c r="N607" s="2" t="str">
        <f>HYPERLINK("http://twitter.com/grifgonzo/status/1790217361535947202")</f>
        <v>http://twitter.com/grifgonzo/status/1790217361535947202</v>
      </c>
      <c r="O607" s="2" t="str">
        <f>HYPERLINK("https://www.wrtv.com/news/local-news/city-moves-forward-with-mayors-mls-stadium-proposal-rejecting-eleven-park")</f>
        <v>https://www.wrtv.com/news/local-news/city-moves-forward-with-mayors-mls-stadium-proposal-rejecting-eleven-park</v>
      </c>
    </row>
    <row r="608" spans="1:15" ht="79.2" x14ac:dyDescent="0.3">
      <c r="A608" s="2" t="s">
        <v>1360</v>
      </c>
      <c r="B608" s="2" t="s">
        <v>2061</v>
      </c>
      <c r="C608" s="2" t="s">
        <v>3258</v>
      </c>
      <c r="D608" s="2" t="s">
        <v>3259</v>
      </c>
      <c r="E608" s="2" t="str">
        <f>HYPERLINK("http://twitter.com/grifgonzo")</f>
        <v>http://twitter.com/grifgonzo</v>
      </c>
      <c r="F608" s="2" t="str">
        <f>HYPERLINK("https://muckrack.com/griffin-gonzalez")</f>
        <v>https://muckrack.com/griffin-gonzalez</v>
      </c>
      <c r="G608" s="2">
        <v>2745</v>
      </c>
      <c r="H608" s="2" t="s">
        <v>1972</v>
      </c>
      <c r="I608" s="2" t="s">
        <v>3260</v>
      </c>
      <c r="J608" s="2" t="s">
        <v>2033</v>
      </c>
      <c r="K608" s="2" t="s">
        <v>725</v>
      </c>
      <c r="L608" s="2" t="s">
        <v>3448</v>
      </c>
      <c r="M608" s="5">
        <v>45426.285358796304</v>
      </c>
      <c r="N608" s="2" t="str">
        <f>HYPERLINK("http://twitter.com/grifgonzo/status/1790333966710415822")</f>
        <v>http://twitter.com/grifgonzo/status/1790333966710415822</v>
      </c>
      <c r="O608" s="2" t="str">
        <f>HYPERLINK("https://www.wrtv.com/news/local-news/city-moves-forward-with-mayors-mls-stadium-proposal-rejecting-eleven-park")</f>
        <v>https://www.wrtv.com/news/local-news/city-moves-forward-with-mayors-mls-stadium-proposal-rejecting-eleven-park</v>
      </c>
    </row>
    <row r="609" spans="1:15" ht="52.8" x14ac:dyDescent="0.3">
      <c r="A609" s="2" t="s">
        <v>1360</v>
      </c>
      <c r="B609" s="2" t="s">
        <v>2061</v>
      </c>
      <c r="C609" s="2" t="s">
        <v>3258</v>
      </c>
      <c r="D609" s="2" t="s">
        <v>3259</v>
      </c>
      <c r="E609" s="2" t="str">
        <f>HYPERLINK("http://twitter.com/grifgonzo")</f>
        <v>http://twitter.com/grifgonzo</v>
      </c>
      <c r="F609" s="2" t="str">
        <f>HYPERLINK("https://muckrack.com/griffin-gonzalez")</f>
        <v>https://muckrack.com/griffin-gonzalez</v>
      </c>
      <c r="G609" s="2">
        <v>2745</v>
      </c>
      <c r="H609" s="2" t="s">
        <v>1972</v>
      </c>
      <c r="I609" s="2" t="s">
        <v>3260</v>
      </c>
      <c r="J609" s="2" t="s">
        <v>2033</v>
      </c>
      <c r="K609" s="2" t="s">
        <v>725</v>
      </c>
      <c r="L609" s="2" t="s">
        <v>3449</v>
      </c>
      <c r="M609" s="5">
        <v>45440.854583333326</v>
      </c>
      <c r="N609" s="2" t="str">
        <f>HYPERLINK("http://twitter.com/grifgonzo/status/1795613679314194743")</f>
        <v>http://twitter.com/grifgonzo/status/1795613679314194743</v>
      </c>
      <c r="O609" s="2" t="str">
        <f>HYPERLINK("https://www.wrtv.com/news/local-news/city-moves-forward-with-mayors-mls-stadium-proposal-rejecting-eleven-park")</f>
        <v>https://www.wrtv.com/news/local-news/city-moves-forward-with-mayors-mls-stadium-proposal-rejecting-eleven-park</v>
      </c>
    </row>
    <row r="610" spans="1:15" ht="92.4" x14ac:dyDescent="0.3">
      <c r="A610" s="2" t="s">
        <v>2151</v>
      </c>
      <c r="B610" s="2" t="s">
        <v>1949</v>
      </c>
      <c r="C610" s="2" t="s">
        <v>2152</v>
      </c>
      <c r="D610" s="2" t="s">
        <v>2153</v>
      </c>
      <c r="E610" s="2" t="str">
        <f t="shared" ref="E610:E617" si="21">HYPERLINK("http://twitter.com/tonykatz")</f>
        <v>http://twitter.com/tonykatz</v>
      </c>
      <c r="F610" s="2" t="str">
        <f t="shared" ref="F610:F617" si="22">HYPERLINK("https://muckrack.com/tony-katz")</f>
        <v>https://muckrack.com/tony-katz</v>
      </c>
      <c r="G610" s="2">
        <v>41898</v>
      </c>
      <c r="H610" s="2" t="s">
        <v>2154</v>
      </c>
      <c r="I610" s="2" t="s">
        <v>2155</v>
      </c>
      <c r="J610" s="2" t="s">
        <v>1954</v>
      </c>
      <c r="K610" s="2" t="s">
        <v>2156</v>
      </c>
      <c r="L610" s="2" t="s">
        <v>3450</v>
      </c>
      <c r="M610" s="5">
        <v>45425.513784722221</v>
      </c>
      <c r="N610" s="2" t="str">
        <f>HYPERLINK("http://twitter.com/tonykatz/status/1790054357293031826")</f>
        <v>http://twitter.com/tonykatz/status/1790054357293031826</v>
      </c>
      <c r="O610" s="2" t="str">
        <f t="shared" ref="O610:O617" si="23">HYPERLINK("https://www.iheart.com/podcast/256-tony-katz-the-morning-news-31138999/")</f>
        <v>https://www.iheart.com/podcast/256-tony-katz-the-morning-news-31138999/</v>
      </c>
    </row>
    <row r="611" spans="1:15" ht="118.8" x14ac:dyDescent="0.3">
      <c r="A611" s="2" t="s">
        <v>2151</v>
      </c>
      <c r="B611" s="2" t="s">
        <v>1949</v>
      </c>
      <c r="C611" s="2" t="s">
        <v>2152</v>
      </c>
      <c r="D611" s="2" t="s">
        <v>2153</v>
      </c>
      <c r="E611" s="2" t="str">
        <f t="shared" si="21"/>
        <v>http://twitter.com/tonykatz</v>
      </c>
      <c r="F611" s="2" t="str">
        <f t="shared" si="22"/>
        <v>https://muckrack.com/tony-katz</v>
      </c>
      <c r="G611" s="2">
        <v>41898</v>
      </c>
      <c r="H611" s="2" t="s">
        <v>2154</v>
      </c>
      <c r="I611" s="2" t="s">
        <v>2155</v>
      </c>
      <c r="J611" s="2" t="s">
        <v>1954</v>
      </c>
      <c r="K611" s="2" t="s">
        <v>2156</v>
      </c>
      <c r="L611" s="2" t="s">
        <v>3451</v>
      </c>
      <c r="M611" s="5">
        <v>45425.556481481479</v>
      </c>
      <c r="N611" s="2" t="str">
        <f>HYPERLINK("http://twitter.com/tonykatz/status/1790069831087100143")</f>
        <v>http://twitter.com/tonykatz/status/1790069831087100143</v>
      </c>
      <c r="O611" s="2" t="str">
        <f t="shared" si="23"/>
        <v>https://www.iheart.com/podcast/256-tony-katz-the-morning-news-31138999/</v>
      </c>
    </row>
    <row r="612" spans="1:15" ht="92.4" x14ac:dyDescent="0.3">
      <c r="A612" s="2" t="s">
        <v>2151</v>
      </c>
      <c r="B612" s="2" t="s">
        <v>1949</v>
      </c>
      <c r="C612" s="2" t="s">
        <v>2152</v>
      </c>
      <c r="D612" s="2" t="s">
        <v>2153</v>
      </c>
      <c r="E612" s="2" t="str">
        <f t="shared" si="21"/>
        <v>http://twitter.com/tonykatz</v>
      </c>
      <c r="F612" s="2" t="str">
        <f t="shared" si="22"/>
        <v>https://muckrack.com/tony-katz</v>
      </c>
      <c r="G612" s="2">
        <v>41898</v>
      </c>
      <c r="H612" s="2" t="s">
        <v>2154</v>
      </c>
      <c r="I612" s="2" t="s">
        <v>2155</v>
      </c>
      <c r="J612" s="2" t="s">
        <v>1954</v>
      </c>
      <c r="K612" s="2" t="s">
        <v>2156</v>
      </c>
      <c r="L612" s="2" t="s">
        <v>3450</v>
      </c>
      <c r="M612" s="5">
        <v>45426.517187500001</v>
      </c>
      <c r="N612" s="2" t="str">
        <f>HYPERLINK("http://twitter.com/tonykatz/status/1790417981366775979")</f>
        <v>http://twitter.com/tonykatz/status/1790417981366775979</v>
      </c>
      <c r="O612" s="2" t="str">
        <f t="shared" si="23"/>
        <v>https://www.iheart.com/podcast/256-tony-katz-the-morning-news-31138999/</v>
      </c>
    </row>
    <row r="613" spans="1:15" ht="118.8" x14ac:dyDescent="0.3">
      <c r="A613" s="2" t="s">
        <v>2151</v>
      </c>
      <c r="B613" s="2" t="s">
        <v>1949</v>
      </c>
      <c r="C613" s="2" t="s">
        <v>2152</v>
      </c>
      <c r="D613" s="2" t="s">
        <v>2153</v>
      </c>
      <c r="E613" s="2" t="str">
        <f t="shared" si="21"/>
        <v>http://twitter.com/tonykatz</v>
      </c>
      <c r="F613" s="2" t="str">
        <f t="shared" si="22"/>
        <v>https://muckrack.com/tony-katz</v>
      </c>
      <c r="G613" s="2">
        <v>41898</v>
      </c>
      <c r="H613" s="2" t="s">
        <v>2154</v>
      </c>
      <c r="I613" s="2" t="s">
        <v>2155</v>
      </c>
      <c r="J613" s="2" t="s">
        <v>1954</v>
      </c>
      <c r="K613" s="2" t="s">
        <v>2156</v>
      </c>
      <c r="L613" s="2" t="s">
        <v>3451</v>
      </c>
      <c r="M613" s="5">
        <v>45426.517256944448</v>
      </c>
      <c r="N613" s="2" t="str">
        <f>HYPERLINK("http://twitter.com/tonykatz/status/1790418003739156908")</f>
        <v>http://twitter.com/tonykatz/status/1790418003739156908</v>
      </c>
      <c r="O613" s="2" t="str">
        <f t="shared" si="23"/>
        <v>https://www.iheart.com/podcast/256-tony-katz-the-morning-news-31138999/</v>
      </c>
    </row>
    <row r="614" spans="1:15" ht="118.8" x14ac:dyDescent="0.3">
      <c r="A614" s="2" t="s">
        <v>2151</v>
      </c>
      <c r="B614" s="2" t="s">
        <v>1949</v>
      </c>
      <c r="C614" s="2" t="s">
        <v>2152</v>
      </c>
      <c r="D614" s="2" t="s">
        <v>2153</v>
      </c>
      <c r="E614" s="2" t="str">
        <f t="shared" si="21"/>
        <v>http://twitter.com/tonykatz</v>
      </c>
      <c r="F614" s="2" t="str">
        <f t="shared" si="22"/>
        <v>https://muckrack.com/tony-katz</v>
      </c>
      <c r="G614" s="2">
        <v>41898</v>
      </c>
      <c r="H614" s="2" t="s">
        <v>2154</v>
      </c>
      <c r="I614" s="2" t="s">
        <v>2155</v>
      </c>
      <c r="J614" s="2" t="s">
        <v>1954</v>
      </c>
      <c r="K614" s="2" t="s">
        <v>2156</v>
      </c>
      <c r="L614" s="2" t="s">
        <v>3451</v>
      </c>
      <c r="M614" s="5">
        <v>45434.315833333327</v>
      </c>
      <c r="N614" s="2" t="str">
        <f>HYPERLINK("http://twitter.com/tonykatz/status/1793244114365919543")</f>
        <v>http://twitter.com/tonykatz/status/1793244114365919543</v>
      </c>
      <c r="O614" s="2" t="str">
        <f t="shared" si="23"/>
        <v>https://www.iheart.com/podcast/256-tony-katz-the-morning-news-31138999/</v>
      </c>
    </row>
    <row r="615" spans="1:15" ht="92.4" x14ac:dyDescent="0.3">
      <c r="A615" s="2" t="s">
        <v>2151</v>
      </c>
      <c r="B615" s="2" t="s">
        <v>1949</v>
      </c>
      <c r="C615" s="2" t="s">
        <v>2152</v>
      </c>
      <c r="D615" s="2" t="s">
        <v>2153</v>
      </c>
      <c r="E615" s="2" t="str">
        <f t="shared" si="21"/>
        <v>http://twitter.com/tonykatz</v>
      </c>
      <c r="F615" s="2" t="str">
        <f t="shared" si="22"/>
        <v>https://muckrack.com/tony-katz</v>
      </c>
      <c r="G615" s="2">
        <v>41898</v>
      </c>
      <c r="H615" s="2" t="s">
        <v>2154</v>
      </c>
      <c r="I615" s="2" t="s">
        <v>2155</v>
      </c>
      <c r="J615" s="2" t="s">
        <v>1954</v>
      </c>
      <c r="K615" s="2" t="s">
        <v>2156</v>
      </c>
      <c r="L615" s="2" t="s">
        <v>3450</v>
      </c>
      <c r="M615" s="5">
        <v>45434.31585648148</v>
      </c>
      <c r="N615" s="2" t="str">
        <f>HYPERLINK("http://twitter.com/tonykatz/status/1793244121986986309")</f>
        <v>http://twitter.com/tonykatz/status/1793244121986986309</v>
      </c>
      <c r="O615" s="2" t="str">
        <f t="shared" si="23"/>
        <v>https://www.iheart.com/podcast/256-tony-katz-the-morning-news-31138999/</v>
      </c>
    </row>
    <row r="616" spans="1:15" ht="92.4" x14ac:dyDescent="0.3">
      <c r="A616" s="2" t="s">
        <v>2151</v>
      </c>
      <c r="B616" s="2" t="s">
        <v>1949</v>
      </c>
      <c r="C616" s="2" t="s">
        <v>2152</v>
      </c>
      <c r="D616" s="2" t="s">
        <v>2153</v>
      </c>
      <c r="E616" s="2" t="str">
        <f t="shared" si="21"/>
        <v>http://twitter.com/tonykatz</v>
      </c>
      <c r="F616" s="2" t="str">
        <f t="shared" si="22"/>
        <v>https://muckrack.com/tony-katz</v>
      </c>
      <c r="G616" s="2">
        <v>41898</v>
      </c>
      <c r="H616" s="2" t="s">
        <v>2154</v>
      </c>
      <c r="I616" s="2" t="s">
        <v>2155</v>
      </c>
      <c r="J616" s="2" t="s">
        <v>1954</v>
      </c>
      <c r="K616" s="2" t="s">
        <v>2156</v>
      </c>
      <c r="L616" s="2" t="s">
        <v>3450</v>
      </c>
      <c r="M616" s="5">
        <v>45440.483530092592</v>
      </c>
      <c r="N616" s="2" t="str">
        <f>HYPERLINK("http://twitter.com/tonykatz/status/1795479213790711875")</f>
        <v>http://twitter.com/tonykatz/status/1795479213790711875</v>
      </c>
      <c r="O616" s="2" t="str">
        <f t="shared" si="23"/>
        <v>https://www.iheart.com/podcast/256-tony-katz-the-morning-news-31138999/</v>
      </c>
    </row>
    <row r="617" spans="1:15" ht="118.8" x14ac:dyDescent="0.3">
      <c r="A617" s="2" t="s">
        <v>2151</v>
      </c>
      <c r="B617" s="2" t="s">
        <v>1949</v>
      </c>
      <c r="C617" s="2" t="s">
        <v>2152</v>
      </c>
      <c r="D617" s="2" t="s">
        <v>2153</v>
      </c>
      <c r="E617" s="2" t="str">
        <f t="shared" si="21"/>
        <v>http://twitter.com/tonykatz</v>
      </c>
      <c r="F617" s="2" t="str">
        <f t="shared" si="22"/>
        <v>https://muckrack.com/tony-katz</v>
      </c>
      <c r="G617" s="2">
        <v>41898</v>
      </c>
      <c r="H617" s="2" t="s">
        <v>2154</v>
      </c>
      <c r="I617" s="2" t="s">
        <v>2155</v>
      </c>
      <c r="J617" s="2" t="s">
        <v>1954</v>
      </c>
      <c r="K617" s="2" t="s">
        <v>2156</v>
      </c>
      <c r="L617" s="2" t="s">
        <v>3452</v>
      </c>
      <c r="M617" s="5">
        <v>45447.409803240742</v>
      </c>
      <c r="N617" s="2" t="str">
        <f>HYPERLINK("http://twitter.com/tonykatz/status/1797989211926302946")</f>
        <v>http://twitter.com/tonykatz/status/1797989211926302946</v>
      </c>
      <c r="O617" s="2" t="str">
        <f t="shared" si="23"/>
        <v>https://www.iheart.com/podcast/256-tony-katz-the-morning-news-31138999/</v>
      </c>
    </row>
    <row r="618" spans="1:15" ht="52.8" x14ac:dyDescent="0.3">
      <c r="A618" s="2" t="s">
        <v>654</v>
      </c>
      <c r="B618" s="2" t="s">
        <v>2482</v>
      </c>
      <c r="C618" s="2"/>
      <c r="D618" s="2" t="s">
        <v>2483</v>
      </c>
      <c r="E618" s="2" t="str">
        <f>HYPERLINK("http://twitter.com/ldock93")</f>
        <v>http://twitter.com/ldock93</v>
      </c>
      <c r="F618" s="2" t="str">
        <f>HYPERLINK("https://muckrack.com/lawrence-dockery")</f>
        <v>https://muckrack.com/lawrence-dockery</v>
      </c>
      <c r="G618" s="2">
        <v>1147</v>
      </c>
      <c r="H618" s="2" t="s">
        <v>2484</v>
      </c>
      <c r="I618" s="2" t="s">
        <v>2485</v>
      </c>
      <c r="J618" s="2" t="s">
        <v>2033</v>
      </c>
      <c r="K618" s="2" t="s">
        <v>2486</v>
      </c>
      <c r="L618" s="2" t="s">
        <v>3453</v>
      </c>
      <c r="M618" s="5">
        <v>45423.362858796303</v>
      </c>
      <c r="N618" s="2" t="str">
        <f>HYPERLINK("http://twitter.com/ldock93/status/1789274889011990851")</f>
        <v>http://twitter.com/ldock93/status/1789274889011990851</v>
      </c>
      <c r="O618" s="2" t="str">
        <f>HYPERLINK("https://bluffcitymedia.co/round-2-memphis-901-fc-monterey-bay-preview/")</f>
        <v>https://bluffcitymedia.co/round-2-memphis-901-fc-monterey-bay-preview/</v>
      </c>
    </row>
    <row r="619" spans="1:15" ht="52.8" x14ac:dyDescent="0.3">
      <c r="A619" s="2" t="s">
        <v>654</v>
      </c>
      <c r="B619" s="2" t="s">
        <v>2482</v>
      </c>
      <c r="C619" s="2"/>
      <c r="D619" s="2" t="s">
        <v>2483</v>
      </c>
      <c r="E619" s="2" t="str">
        <f>HYPERLINK("http://twitter.com/ldock93")</f>
        <v>http://twitter.com/ldock93</v>
      </c>
      <c r="F619" s="2" t="str">
        <f>HYPERLINK("https://muckrack.com/lawrence-dockery")</f>
        <v>https://muckrack.com/lawrence-dockery</v>
      </c>
      <c r="G619" s="2">
        <v>1147</v>
      </c>
      <c r="H619" s="2" t="s">
        <v>2484</v>
      </c>
      <c r="I619" s="2" t="s">
        <v>2485</v>
      </c>
      <c r="J619" s="2" t="s">
        <v>2033</v>
      </c>
      <c r="K619" s="2" t="s">
        <v>2486</v>
      </c>
      <c r="L619" s="2" t="s">
        <v>3454</v>
      </c>
      <c r="M619" s="5">
        <v>45423.364548611113</v>
      </c>
      <c r="N619" s="2" t="str">
        <f>HYPERLINK("http://twitter.com/ldock93/status/1789275502823305721")</f>
        <v>http://twitter.com/ldock93/status/1789275502823305721</v>
      </c>
      <c r="O619" s="2" t="str">
        <f>HYPERLINK("https://bluffcitymedia.co/round-2-memphis-901-fc-monterey-bay-preview/")</f>
        <v>https://bluffcitymedia.co/round-2-memphis-901-fc-monterey-bay-preview/</v>
      </c>
    </row>
    <row r="620" spans="1:15" ht="52.8" x14ac:dyDescent="0.3">
      <c r="A620" s="2" t="s">
        <v>1252</v>
      </c>
      <c r="B620" s="2" t="s">
        <v>3338</v>
      </c>
      <c r="C620" s="2" t="s">
        <v>3339</v>
      </c>
      <c r="D620" s="2" t="s">
        <v>3340</v>
      </c>
      <c r="E620" s="2" t="str">
        <f>HYPERLINK("http://twitter.com/jared_ramsey22")</f>
        <v>http://twitter.com/jared_ramsey22</v>
      </c>
      <c r="F620" s="2" t="str">
        <f>HYPERLINK("https://muckrack.com/jared-ramsey-4")</f>
        <v>https://muckrack.com/jared-ramsey-4</v>
      </c>
      <c r="G620" s="2">
        <v>1237</v>
      </c>
      <c r="H620" s="2" t="s">
        <v>2039</v>
      </c>
      <c r="I620" s="2" t="s">
        <v>3341</v>
      </c>
      <c r="J620" s="2" t="s">
        <v>2706</v>
      </c>
      <c r="K620" s="2" t="s">
        <v>688</v>
      </c>
      <c r="L620" s="2" t="s">
        <v>3455</v>
      </c>
      <c r="M620" s="5">
        <v>45423.31795138889</v>
      </c>
      <c r="N620" s="2" t="str">
        <f>HYPERLINK("http://twitter.com/jared_ramsey22/status/1789258614613348584")</f>
        <v>http://twitter.com/jared_ramsey22/status/1789258614613348584</v>
      </c>
      <c r="O620" s="2" t="str">
        <f>HYPERLINK("https://www.freep.com/story/sports/2024/05/11/detroit-city-fc-upset-mls-win-houston-dynamo-us-open-cup/73646174007/")</f>
        <v>https://www.freep.com/story/sports/2024/05/11/detroit-city-fc-upset-mls-win-houston-dynamo-us-open-cup/73646174007/</v>
      </c>
    </row>
    <row r="621" spans="1:15" ht="66" x14ac:dyDescent="0.3">
      <c r="A621" s="2" t="s">
        <v>3456</v>
      </c>
      <c r="B621" s="2" t="s">
        <v>2490</v>
      </c>
      <c r="C621" s="2" t="s">
        <v>3457</v>
      </c>
      <c r="D621" s="2" t="s">
        <v>3458</v>
      </c>
      <c r="E621" s="2" t="str">
        <f>HYPERLINK("http://twitter.com/jawsfort")</f>
        <v>http://twitter.com/jawsfort</v>
      </c>
      <c r="F621" s="2" t="str">
        <f>HYPERLINK("https://muckrack.com/jawsfort")</f>
        <v>https://muckrack.com/jawsfort</v>
      </c>
      <c r="G621" s="2">
        <v>775</v>
      </c>
      <c r="H621" s="2" t="s">
        <v>3459</v>
      </c>
      <c r="I621" s="2" t="s">
        <v>3460</v>
      </c>
      <c r="J621" s="2" t="s">
        <v>1929</v>
      </c>
      <c r="K621" s="2" t="s">
        <v>1155</v>
      </c>
      <c r="L621" s="2" t="s">
        <v>3461</v>
      </c>
      <c r="M621" s="5">
        <v>45422.836030092592</v>
      </c>
      <c r="N621" s="2" t="str">
        <f>HYPERLINK("http://twitter.com/jawsfort/status/1789083975501136072")</f>
        <v>http://twitter.com/jawsfort/status/1789083975501136072</v>
      </c>
      <c r="O621" s="2" t="str">
        <f>HYPERLINK("https://www.journalgazette.net/sports/i-like-great-things-in-indiana-why-fort-waynes-chuck-surack-joined-indy-eleven-ownership/article_a4321110-0efe-11ef-8b8f-1fe9051e71d0.html")</f>
        <v>https://www.journalgazette.net/sports/i-like-great-things-in-indiana-why-fort-waynes-chuck-surack-joined-indy-eleven-ownership/article_a4321110-0efe-11ef-8b8f-1fe9051e71d0.html</v>
      </c>
    </row>
    <row r="622" spans="1:15" ht="66" x14ac:dyDescent="0.3">
      <c r="A622" s="2" t="s">
        <v>3462</v>
      </c>
      <c r="B622" s="2" t="s">
        <v>2061</v>
      </c>
      <c r="C622" s="2" t="s">
        <v>3463</v>
      </c>
      <c r="D622" s="2" t="s">
        <v>3464</v>
      </c>
      <c r="E622" s="2" t="str">
        <f>HYPERLINK("http://twitter.com/mayawilkinss")</f>
        <v>http://twitter.com/mayawilkinss</v>
      </c>
      <c r="F622" s="2" t="str">
        <f>HYPERLINK("https://muckrack.com/maya-wilkins-1")</f>
        <v>https://muckrack.com/maya-wilkins-1</v>
      </c>
      <c r="G622" s="2">
        <v>371</v>
      </c>
      <c r="H622" s="2" t="s">
        <v>3465</v>
      </c>
      <c r="I622" s="2" t="s">
        <v>3466</v>
      </c>
      <c r="J622" s="2" t="s">
        <v>2134</v>
      </c>
      <c r="K622" s="2" t="s">
        <v>3467</v>
      </c>
      <c r="L622" s="2" t="s">
        <v>3468</v>
      </c>
      <c r="M622" s="5">
        <v>45422.842997685177</v>
      </c>
      <c r="N622" s="2" t="str">
        <f>HYPERLINK("http://twitter.com/mayawilkinss/status/1789086496978264094")</f>
        <v>http://twitter.com/mayawilkinss/status/1789086496978264094</v>
      </c>
      <c r="O622" s="2" t="str">
        <f>HYPERLINK("https://www.journalgazette.net/sports/i-like-great-things-in-indiana-why-fort-waynes-chuck-surack-joined-indy-eleven-ownership/article_a4321110-0efe-11ef-8b8f-1fe9051e71d0.html")</f>
        <v>https://www.journalgazette.net/sports/i-like-great-things-in-indiana-why-fort-waynes-chuck-surack-joined-indy-eleven-ownership/article_a4321110-0efe-11ef-8b8f-1fe9051e71d0.html</v>
      </c>
    </row>
    <row r="623" spans="1:15" ht="66" x14ac:dyDescent="0.3">
      <c r="A623" s="2" t="s">
        <v>3469</v>
      </c>
      <c r="B623" s="2" t="s">
        <v>2467</v>
      </c>
      <c r="C623" s="2" t="s">
        <v>3470</v>
      </c>
      <c r="D623" s="2" t="s">
        <v>3471</v>
      </c>
      <c r="E623" s="2" t="str">
        <f>HYPERLINK("http://twitter.com/LisaRGreen")</f>
        <v>http://twitter.com/LisaRGreen</v>
      </c>
      <c r="F623" s="2" t="str">
        <f>HYPERLINK("https://muckrack.com/lisa-green-23")</f>
        <v>https://muckrack.com/lisa-green-23</v>
      </c>
      <c r="G623" s="2">
        <v>297</v>
      </c>
      <c r="H623" s="2"/>
      <c r="I623" s="2" t="s">
        <v>3472</v>
      </c>
      <c r="J623" s="2" t="s">
        <v>1954</v>
      </c>
      <c r="K623" s="2" t="s">
        <v>1155</v>
      </c>
      <c r="L623" s="2" t="s">
        <v>3468</v>
      </c>
      <c r="M623" s="5">
        <v>45423.038240740738</v>
      </c>
      <c r="N623" s="2" t="str">
        <f>HYPERLINK("http://twitter.com/LisaRGreen/status/1789157251468460147")</f>
        <v>http://twitter.com/LisaRGreen/status/1789157251468460147</v>
      </c>
      <c r="O623" s="2" t="str">
        <f>HYPERLINK("https://www.journalgazette.net/sports/i-like-great-things-in-indiana-why-fort-waynes-chuck-surack-joined-indy-eleven-ownership/article_a4321110-0efe-11ef-8b8f-1fe9051e71d0.html")</f>
        <v>https://www.journalgazette.net/sports/i-like-great-things-in-indiana-why-fort-waynes-chuck-surack-joined-indy-eleven-ownership/article_a4321110-0efe-11ef-8b8f-1fe9051e71d0.html</v>
      </c>
    </row>
    <row r="624" spans="1:15" ht="39.6" x14ac:dyDescent="0.3">
      <c r="A624" s="2" t="s">
        <v>267</v>
      </c>
      <c r="B624" s="2" t="s">
        <v>2061</v>
      </c>
      <c r="C624" s="2" t="s">
        <v>2062</v>
      </c>
      <c r="D624" s="2" t="s">
        <v>2063</v>
      </c>
      <c r="E624" s="2" t="str">
        <f>HYPERLINK("http://twitter.com/MickeyShuey")</f>
        <v>http://twitter.com/MickeyShuey</v>
      </c>
      <c r="F624" s="2" t="str">
        <f>HYPERLINK("https://muckrack.com/mickeyshuey")</f>
        <v>https://muckrack.com/mickeyshuey</v>
      </c>
      <c r="G624" s="2">
        <v>1868</v>
      </c>
      <c r="H624" s="2" t="s">
        <v>1972</v>
      </c>
      <c r="I624" s="2" t="s">
        <v>2064</v>
      </c>
      <c r="J624" s="2" t="s">
        <v>2065</v>
      </c>
      <c r="K624" s="2" t="s">
        <v>268</v>
      </c>
      <c r="L624" s="2" t="s">
        <v>3473</v>
      </c>
      <c r="M624" s="5">
        <v>45422.718217592592</v>
      </c>
      <c r="N624" s="2" t="str">
        <f>HYPERLINK("http://twitter.com/MickeyShuey/status/1789041278858018944")</f>
        <v>http://twitter.com/MickeyShuey/status/1789041278858018944</v>
      </c>
      <c r="O624" s="2" t="str">
        <f>HYPERLINK("https://www.ibj.com/articles/soccer-stadium-tax-district-proposal-to-be-introduced-monday")</f>
        <v>https://www.ibj.com/articles/soccer-stadium-tax-district-proposal-to-be-introduced-monday</v>
      </c>
    </row>
    <row r="625" spans="1:15" ht="66" x14ac:dyDescent="0.3">
      <c r="A625" s="2" t="s">
        <v>993</v>
      </c>
      <c r="B625" s="2" t="s">
        <v>2289</v>
      </c>
      <c r="C625" s="2" t="s">
        <v>2981</v>
      </c>
      <c r="D625" s="2" t="s">
        <v>2982</v>
      </c>
      <c r="E625" s="2" t="str">
        <f>HYPERLINK("http://twitter.com/StephenWhit89")</f>
        <v>http://twitter.com/StephenWhit89</v>
      </c>
      <c r="F625" s="2" t="str">
        <f>HYPERLINK("https://muckrack.com/stephen-whitaker")</f>
        <v>https://muckrack.com/stephen-whitaker</v>
      </c>
      <c r="G625" s="2">
        <v>1127</v>
      </c>
      <c r="H625" s="2" t="s">
        <v>2983</v>
      </c>
      <c r="I625" s="2" t="s">
        <v>2984</v>
      </c>
      <c r="J625" s="2" t="s">
        <v>2033</v>
      </c>
      <c r="K625" s="2" t="s">
        <v>2985</v>
      </c>
      <c r="L625" s="2" t="s">
        <v>3474</v>
      </c>
      <c r="M625" s="5">
        <v>45422.75199074074</v>
      </c>
      <c r="N625" s="2" t="str">
        <f>HYPERLINK("http://twitter.com/StephenWhit89/status/1789053519984509261")</f>
        <v>http://twitter.com/StephenWhit89/status/1789053519984509261</v>
      </c>
      <c r="O625" s="2" t="str">
        <f>HYPERLINK("https://www.expressnews.com/sports/article/lamar-hunt-exit-san-antonio-fc-focused-usl-play-19449609.php")</f>
        <v>https://www.expressnews.com/sports/article/lamar-hunt-exit-san-antonio-fc-focused-usl-play-19449609.php</v>
      </c>
    </row>
    <row r="626" spans="1:15" ht="79.2" x14ac:dyDescent="0.3">
      <c r="A626" s="2" t="s">
        <v>2860</v>
      </c>
      <c r="B626" s="2" t="s">
        <v>2227</v>
      </c>
      <c r="C626" s="2" t="s">
        <v>2861</v>
      </c>
      <c r="D626" s="2" t="s">
        <v>2862</v>
      </c>
      <c r="E626" s="2" t="str">
        <f>HYPERLINK("http://twitter.com/RachaelKPalmer")</f>
        <v>http://twitter.com/RachaelKPalmer</v>
      </c>
      <c r="F626" s="2" t="str">
        <f>HYPERLINK("https://muckrack.com/rachael-mckriger")</f>
        <v>https://muckrack.com/rachael-mckriger</v>
      </c>
      <c r="G626" s="2">
        <v>3570</v>
      </c>
      <c r="H626" s="2" t="s">
        <v>2187</v>
      </c>
      <c r="I626" s="2" t="s">
        <v>2863</v>
      </c>
      <c r="J626" s="2" t="s">
        <v>1929</v>
      </c>
      <c r="K626" s="2" t="s">
        <v>2034</v>
      </c>
      <c r="L626" s="2" t="s">
        <v>3475</v>
      </c>
      <c r="M626" s="5">
        <v>45422.746863425928</v>
      </c>
      <c r="N626" s="2" t="str">
        <f>HYPERLINK("http://twitter.com/RachaelKPalmer/status/1789051661647745254")</f>
        <v>http://twitter.com/RachaelKPalmer/status/1789051661647745254</v>
      </c>
      <c r="O626" s="2" t="str">
        <f>HYPERLINK("https://www.uslwleague.com/news_article/show/1309491")</f>
        <v>https://www.uslwleague.com/news_article/show/1309491</v>
      </c>
    </row>
    <row r="627" spans="1:15" ht="66" x14ac:dyDescent="0.3">
      <c r="A627" s="2" t="s">
        <v>608</v>
      </c>
      <c r="B627" s="2" t="s">
        <v>2892</v>
      </c>
      <c r="C627" s="2" t="s">
        <v>2893</v>
      </c>
      <c r="D627" s="2" t="s">
        <v>2894</v>
      </c>
      <c r="E627" s="2" t="str">
        <f>HYPERLINK("http://twitter.com/JillASheridan")</f>
        <v>http://twitter.com/JillASheridan</v>
      </c>
      <c r="F627" s="2" t="str">
        <f>HYPERLINK("https://muckrack.com/jill-sheridan")</f>
        <v>https://muckrack.com/jill-sheridan</v>
      </c>
      <c r="G627" s="2">
        <v>1289</v>
      </c>
      <c r="H627" s="2" t="s">
        <v>2132</v>
      </c>
      <c r="I627" s="2" t="s">
        <v>2895</v>
      </c>
      <c r="J627" s="2" t="s">
        <v>2008</v>
      </c>
      <c r="K627" s="2" t="s">
        <v>609</v>
      </c>
      <c r="L627" s="2" t="s">
        <v>3476</v>
      </c>
      <c r="M627" s="5">
        <v>45422.511840277781</v>
      </c>
      <c r="N627" s="2" t="str">
        <f>HYPERLINK("http://twitter.com/JillASheridan/status/1788966492127605206")</f>
        <v>http://twitter.com/JillASheridan/status/1788966492127605206</v>
      </c>
      <c r="O627" s="2" t="str">
        <f>HYPERLINK("https://www.wfyi.org/news/articles/indy-eleven-fans-hope-to-be-part-of-major-league-soccer-discussion-brickyard-battalion-president-weighs-in")</f>
        <v>https://www.wfyi.org/news/articles/indy-eleven-fans-hope-to-be-part-of-major-league-soccer-discussion-brickyard-battalion-president-weighs-in</v>
      </c>
    </row>
    <row r="628" spans="1:15" ht="66" x14ac:dyDescent="0.3">
      <c r="A628" s="2" t="s">
        <v>608</v>
      </c>
      <c r="B628" s="2" t="s">
        <v>2892</v>
      </c>
      <c r="C628" s="2" t="s">
        <v>2893</v>
      </c>
      <c r="D628" s="2" t="s">
        <v>2894</v>
      </c>
      <c r="E628" s="2" t="str">
        <f>HYPERLINK("http://twitter.com/JillASheridan")</f>
        <v>http://twitter.com/JillASheridan</v>
      </c>
      <c r="F628" s="2" t="str">
        <f>HYPERLINK("https://muckrack.com/jill-sheridan")</f>
        <v>https://muckrack.com/jill-sheridan</v>
      </c>
      <c r="G628" s="2">
        <v>1289</v>
      </c>
      <c r="H628" s="2" t="s">
        <v>2132</v>
      </c>
      <c r="I628" s="2" t="s">
        <v>2895</v>
      </c>
      <c r="J628" s="2" t="s">
        <v>2008</v>
      </c>
      <c r="K628" s="2" t="s">
        <v>609</v>
      </c>
      <c r="L628" s="2" t="s">
        <v>3477</v>
      </c>
      <c r="M628" s="5">
        <v>45422.71429398148</v>
      </c>
      <c r="N628" s="2" t="str">
        <f>HYPERLINK("http://twitter.com/JillASheridan/status/1789039859278950675")</f>
        <v>http://twitter.com/JillASheridan/status/1789039859278950675</v>
      </c>
      <c r="O628" s="2" t="str">
        <f>HYPERLINK("https://www.wfyi.org/news/articles/indy-eleven-fans-hope-to-be-part-of-major-league-soccer-discussion-brickyard-battalion-president-weighs-in")</f>
        <v>https://www.wfyi.org/news/articles/indy-eleven-fans-hope-to-be-part-of-major-league-soccer-discussion-brickyard-battalion-president-weighs-in</v>
      </c>
    </row>
    <row r="629" spans="1:15" ht="39.6" x14ac:dyDescent="0.3">
      <c r="A629" s="2" t="s">
        <v>3478</v>
      </c>
      <c r="B629" s="2" t="s">
        <v>3479</v>
      </c>
      <c r="C629" s="2" t="s">
        <v>3480</v>
      </c>
      <c r="D629" s="2" t="s">
        <v>3481</v>
      </c>
      <c r="E629" s="2" t="str">
        <f>HYPERLINK("http://twitter.com/BroadwellK")</f>
        <v>http://twitter.com/BroadwellK</v>
      </c>
      <c r="F629" s="2" t="str">
        <f>HYPERLINK("https://muckrack.com/kennedy-broadwell")</f>
        <v>https://muckrack.com/kennedy-broadwell</v>
      </c>
      <c r="G629" s="2">
        <v>5115</v>
      </c>
      <c r="H629" s="2" t="s">
        <v>3482</v>
      </c>
      <c r="I629" s="2" t="s">
        <v>3483</v>
      </c>
      <c r="J629" s="2"/>
      <c r="K629" s="2" t="s">
        <v>3484</v>
      </c>
      <c r="L629" s="2" t="s">
        <v>3485</v>
      </c>
      <c r="M629" s="5">
        <v>45422.454965277779</v>
      </c>
      <c r="N629" s="2" t="str">
        <f>HYPERLINK("http://twitter.com/BroadwellK/status/1788945879266648503")</f>
        <v>http://twitter.com/BroadwellK/status/1788945879266648503</v>
      </c>
      <c r="O629" s="2" t="str">
        <f>HYPERLINK("https://banana1015.com/jon-glaser-detroit-city-fc/")</f>
        <v>https://banana1015.com/jon-glaser-detroit-city-fc/</v>
      </c>
    </row>
    <row r="630" spans="1:15" ht="52.8" x14ac:dyDescent="0.3">
      <c r="A630" s="2" t="s">
        <v>1858</v>
      </c>
      <c r="B630" s="2" t="s">
        <v>3298</v>
      </c>
      <c r="C630" s="2" t="s">
        <v>3299</v>
      </c>
      <c r="D630" s="2" t="s">
        <v>3300</v>
      </c>
      <c r="E630" s="2" t="str">
        <f>HYPERLINK("http://twitter.com/lhenry019")</f>
        <v>http://twitter.com/lhenry019</v>
      </c>
      <c r="F630" s="2" t="str">
        <f>HYPERLINK("https://muckrack.com/larry-henry-jr-1")</f>
        <v>https://muckrack.com/larry-henry-jr-1</v>
      </c>
      <c r="G630" s="2">
        <v>4262</v>
      </c>
      <c r="H630" s="2" t="s">
        <v>3301</v>
      </c>
      <c r="I630" s="2" t="s">
        <v>3302</v>
      </c>
      <c r="J630" s="2" t="s">
        <v>2000</v>
      </c>
      <c r="K630" s="2" t="s">
        <v>3303</v>
      </c>
      <c r="L630" s="2" t="s">
        <v>3486</v>
      </c>
      <c r="M630" s="5">
        <v>45421.79855324074</v>
      </c>
      <c r="N630" s="2" t="str">
        <f>HYPERLINK("http://twitter.com/lhenry019/status/1788708004377841715")</f>
        <v>http://twitter.com/lhenry019/status/1788708004377841715</v>
      </c>
      <c r="O630" s="2" t="str">
        <f>HYPERLINK("https://sbisoccer.com/2024/05/sounders-lafc-atlanta-united-headline-u-s-open-cup-round-of-16-field")</f>
        <v>https://sbisoccer.com/2024/05/sounders-lafc-atlanta-united-headline-u-s-open-cup-round-of-16-field</v>
      </c>
    </row>
    <row r="631" spans="1:15" ht="52.8" x14ac:dyDescent="0.3">
      <c r="A631" s="2" t="s">
        <v>3487</v>
      </c>
      <c r="B631" s="2" t="s">
        <v>3488</v>
      </c>
      <c r="C631" s="2" t="s">
        <v>3489</v>
      </c>
      <c r="D631" s="2" t="s">
        <v>3490</v>
      </c>
      <c r="E631" s="2" t="str">
        <f>HYPERLINK("http://twitter.com/TomLeiss")</f>
        <v>http://twitter.com/TomLeiss</v>
      </c>
      <c r="F631" s="2" t="str">
        <f>HYPERLINK("https://muckrack.com/tom-leiss")</f>
        <v>https://muckrack.com/tom-leiss</v>
      </c>
      <c r="G631" s="2">
        <v>1039</v>
      </c>
      <c r="H631" s="2" t="s">
        <v>3491</v>
      </c>
      <c r="I631" s="2" t="s">
        <v>3492</v>
      </c>
      <c r="J631" s="2" t="s">
        <v>1929</v>
      </c>
      <c r="K631" s="2" t="s">
        <v>3493</v>
      </c>
      <c r="L631" s="2" t="s">
        <v>3494</v>
      </c>
      <c r="M631" s="5">
        <v>45422.358055555553</v>
      </c>
      <c r="N631" s="2" t="str">
        <f>HYPERLINK("http://twitter.com/TomLeiss/status/1788910759201657207")</f>
        <v>http://twitter.com/TomLeiss/status/1788910759201657207</v>
      </c>
      <c r="O631" s="2" t="str">
        <f>HYPERLINK("https://www.ussoccer.com/stories/2024/05/2024-us-open-cup-round-of-16-schedule-matches-teams-may-21-22")</f>
        <v>https://www.ussoccer.com/stories/2024/05/2024-us-open-cup-round-of-16-schedule-matches-teams-may-21-22</v>
      </c>
    </row>
    <row r="632" spans="1:15" ht="66" x14ac:dyDescent="0.3">
      <c r="A632" s="2" t="s">
        <v>2119</v>
      </c>
      <c r="B632" s="2" t="s">
        <v>2120</v>
      </c>
      <c r="C632" s="2" t="s">
        <v>2121</v>
      </c>
      <c r="D632" s="2" t="s">
        <v>2122</v>
      </c>
      <c r="E632" s="2" t="str">
        <f>HYPERLINK("http://twitter.com/starwatchtim")</f>
        <v>http://twitter.com/starwatchtim</v>
      </c>
      <c r="F632" s="2" t="str">
        <f>HYPERLINK("https://muckrack.com/starwatchtim")</f>
        <v>https://muckrack.com/starwatchtim</v>
      </c>
      <c r="G632" s="2">
        <v>7285</v>
      </c>
      <c r="H632" s="2" t="s">
        <v>2123</v>
      </c>
      <c r="I632" s="2" t="s">
        <v>2124</v>
      </c>
      <c r="J632" s="2" t="s">
        <v>2125</v>
      </c>
      <c r="K632" s="2" t="s">
        <v>321</v>
      </c>
      <c r="L632" s="2" t="s">
        <v>3495</v>
      </c>
      <c r="M632" s="5">
        <v>45421.514490740738</v>
      </c>
      <c r="N632" s="2" t="str">
        <f>HYPERLINK("http://twitter.com/starwatchtim/status/1788605065009262686")</f>
        <v>http://twitter.com/starwatchtim/status/1788605065009262686</v>
      </c>
      <c r="O632" s="2" t="str">
        <f t="shared" ref="O632:O640" si="24">HYPERLINK("https://www.indystar.com/story/opinion/columnists/james-briggs/2024/05/09/indy-eleven-has-a-bigger-problem-than-money-at-diamond-chain-site/73627540007/")</f>
        <v>https://www.indystar.com/story/opinion/columnists/james-briggs/2024/05/09/indy-eleven-has-a-bigger-problem-than-money-at-diamond-chain-site/73627540007/</v>
      </c>
    </row>
    <row r="633" spans="1:15" ht="66" x14ac:dyDescent="0.3">
      <c r="A633" s="2" t="s">
        <v>2119</v>
      </c>
      <c r="B633" s="2" t="s">
        <v>2120</v>
      </c>
      <c r="C633" s="2" t="s">
        <v>2121</v>
      </c>
      <c r="D633" s="2" t="s">
        <v>2122</v>
      </c>
      <c r="E633" s="2" t="str">
        <f>HYPERLINK("http://twitter.com/starwatchtim")</f>
        <v>http://twitter.com/starwatchtim</v>
      </c>
      <c r="F633" s="2" t="str">
        <f>HYPERLINK("https://muckrack.com/starwatchtim")</f>
        <v>https://muckrack.com/starwatchtim</v>
      </c>
      <c r="G633" s="2">
        <v>7285</v>
      </c>
      <c r="H633" s="2" t="s">
        <v>2123</v>
      </c>
      <c r="I633" s="2" t="s">
        <v>2124</v>
      </c>
      <c r="J633" s="2" t="s">
        <v>2125</v>
      </c>
      <c r="K633" s="2" t="s">
        <v>321</v>
      </c>
      <c r="L633" s="2" t="s">
        <v>3496</v>
      </c>
      <c r="M633" s="5">
        <v>45421.613067129627</v>
      </c>
      <c r="N633" s="2" t="str">
        <f>HYPERLINK("http://twitter.com/starwatchtim/status/1788640785304363514")</f>
        <v>http://twitter.com/starwatchtim/status/1788640785304363514</v>
      </c>
      <c r="O633" s="2" t="str">
        <f t="shared" si="24"/>
        <v>https://www.indystar.com/story/opinion/columnists/james-briggs/2024/05/09/indy-eleven-has-a-bigger-problem-than-money-at-diamond-chain-site/73627540007/</v>
      </c>
    </row>
    <row r="634" spans="1:15" ht="66" x14ac:dyDescent="0.3">
      <c r="A634" s="2" t="s">
        <v>616</v>
      </c>
      <c r="B634" s="2" t="s">
        <v>1976</v>
      </c>
      <c r="C634" s="2" t="s">
        <v>1977</v>
      </c>
      <c r="D634" s="2" t="s">
        <v>1978</v>
      </c>
      <c r="E634" s="2" t="str">
        <f>HYPERLINK("http://twitter.com/ryanmartin")</f>
        <v>http://twitter.com/ryanmartin</v>
      </c>
      <c r="F634" s="2" t="str">
        <f>HYPERLINK("https://muckrack.com/ryanmartin")</f>
        <v>https://muckrack.com/ryanmartin</v>
      </c>
      <c r="G634" s="2">
        <v>11135</v>
      </c>
      <c r="H634" s="2" t="s">
        <v>1972</v>
      </c>
      <c r="I634" s="2" t="s">
        <v>1979</v>
      </c>
      <c r="J634" s="2" t="s">
        <v>1954</v>
      </c>
      <c r="K634" s="2" t="s">
        <v>1974</v>
      </c>
      <c r="L634" s="2" t="s">
        <v>3497</v>
      </c>
      <c r="M634" s="5">
        <v>45421.581400462957</v>
      </c>
      <c r="N634" s="2" t="str">
        <f>HYPERLINK("http://twitter.com/ryanmartin/status/1788629312247300288")</f>
        <v>http://twitter.com/ryanmartin/status/1788629312247300288</v>
      </c>
      <c r="O634" s="2" t="str">
        <f t="shared" si="24"/>
        <v>https://www.indystar.com/story/opinion/columnists/james-briggs/2024/05/09/indy-eleven-has-a-bigger-problem-than-money-at-diamond-chain-site/73627540007/</v>
      </c>
    </row>
    <row r="635" spans="1:15" ht="66" x14ac:dyDescent="0.3">
      <c r="A635" s="2" t="s">
        <v>2436</v>
      </c>
      <c r="B635" s="2" t="s">
        <v>2437</v>
      </c>
      <c r="C635" s="2" t="s">
        <v>2438</v>
      </c>
      <c r="D635" s="2" t="s">
        <v>2439</v>
      </c>
      <c r="E635" s="2" t="str">
        <f>HYPERLINK("http://twitter.com/MattGlenesk")</f>
        <v>http://twitter.com/MattGlenesk</v>
      </c>
      <c r="F635" s="2" t="str">
        <f>HYPERLINK("https://muckrack.com/matthew-glenesk")</f>
        <v>https://muckrack.com/matthew-glenesk</v>
      </c>
      <c r="G635" s="2">
        <v>8773</v>
      </c>
      <c r="H635" s="2" t="s">
        <v>2440</v>
      </c>
      <c r="I635" s="2" t="s">
        <v>2441</v>
      </c>
      <c r="J635" s="2" t="s">
        <v>2000</v>
      </c>
      <c r="K635" s="2" t="s">
        <v>321</v>
      </c>
      <c r="L635" s="2" t="s">
        <v>3496</v>
      </c>
      <c r="M635" s="5">
        <v>45421.589791666673</v>
      </c>
      <c r="N635" s="2" t="str">
        <f>HYPERLINK("http://twitter.com/MattGlenesk/status/1788632351909572770")</f>
        <v>http://twitter.com/MattGlenesk/status/1788632351909572770</v>
      </c>
      <c r="O635" s="2" t="str">
        <f t="shared" si="24"/>
        <v>https://www.indystar.com/story/opinion/columnists/james-briggs/2024/05/09/indy-eleven-has-a-bigger-problem-than-money-at-diamond-chain-site/73627540007/</v>
      </c>
    </row>
    <row r="636" spans="1:15" ht="66" x14ac:dyDescent="0.3">
      <c r="A636" s="2" t="s">
        <v>2436</v>
      </c>
      <c r="B636" s="2" t="s">
        <v>2437</v>
      </c>
      <c r="C636" s="2" t="s">
        <v>2438</v>
      </c>
      <c r="D636" s="2" t="s">
        <v>2439</v>
      </c>
      <c r="E636" s="2" t="str">
        <f>HYPERLINK("http://twitter.com/MattGlenesk")</f>
        <v>http://twitter.com/MattGlenesk</v>
      </c>
      <c r="F636" s="2" t="str">
        <f>HYPERLINK("https://muckrack.com/matthew-glenesk")</f>
        <v>https://muckrack.com/matthew-glenesk</v>
      </c>
      <c r="G636" s="2">
        <v>8773</v>
      </c>
      <c r="H636" s="2" t="s">
        <v>2440</v>
      </c>
      <c r="I636" s="2" t="s">
        <v>2441</v>
      </c>
      <c r="J636" s="2" t="s">
        <v>2000</v>
      </c>
      <c r="K636" s="2" t="s">
        <v>321</v>
      </c>
      <c r="L636" s="2" t="s">
        <v>3498</v>
      </c>
      <c r="M636" s="5">
        <v>45421.858287037037</v>
      </c>
      <c r="N636" s="2" t="str">
        <f>HYPERLINK("http://twitter.com/MattGlenesk/status/1788729649339466207")</f>
        <v>http://twitter.com/MattGlenesk/status/1788729649339466207</v>
      </c>
      <c r="O636" s="2" t="str">
        <f t="shared" si="24"/>
        <v>https://www.indystar.com/story/opinion/columnists/james-briggs/2024/05/09/indy-eleven-has-a-bigger-problem-than-money-at-diamond-chain-site/73627540007/</v>
      </c>
    </row>
    <row r="637" spans="1:15" ht="66" x14ac:dyDescent="0.3">
      <c r="A637" s="2" t="s">
        <v>1535</v>
      </c>
      <c r="B637" s="2" t="s">
        <v>3499</v>
      </c>
      <c r="C637" s="2" t="s">
        <v>3500</v>
      </c>
      <c r="D637" s="2" t="s">
        <v>3501</v>
      </c>
      <c r="E637" s="2" t="str">
        <f>HYPERLINK("http://twitter.com/adamwren")</f>
        <v>http://twitter.com/adamwren</v>
      </c>
      <c r="F637" s="2" t="str">
        <f>HYPERLINK("https://muckrack.com/adam-wren")</f>
        <v>https://muckrack.com/adam-wren</v>
      </c>
      <c r="G637" s="2">
        <v>39813</v>
      </c>
      <c r="H637" s="2"/>
      <c r="I637" s="2" t="s">
        <v>3502</v>
      </c>
      <c r="J637" s="2" t="s">
        <v>3407</v>
      </c>
      <c r="K637" s="2" t="s">
        <v>3503</v>
      </c>
      <c r="L637" s="2" t="s">
        <v>3496</v>
      </c>
      <c r="M637" s="5">
        <v>45421.599224537043</v>
      </c>
      <c r="N637" s="2" t="str">
        <f>HYPERLINK("http://twitter.com/adamwren/status/1788635771844337711")</f>
        <v>http://twitter.com/adamwren/status/1788635771844337711</v>
      </c>
      <c r="O637" s="2" t="str">
        <f t="shared" si="24"/>
        <v>https://www.indystar.com/story/opinion/columnists/james-briggs/2024/05/09/indy-eleven-has-a-bigger-problem-than-money-at-diamond-chain-site/73627540007/</v>
      </c>
    </row>
    <row r="638" spans="1:15" ht="66" x14ac:dyDescent="0.3">
      <c r="A638" s="2" t="s">
        <v>3504</v>
      </c>
      <c r="B638" s="2" t="s">
        <v>3505</v>
      </c>
      <c r="C638" s="2" t="s">
        <v>3506</v>
      </c>
      <c r="D638" s="2" t="s">
        <v>3507</v>
      </c>
      <c r="E638" s="2" t="str">
        <f>HYPERLINK("http://twitter.com/Phil_Friend")</f>
        <v>http://twitter.com/Phil_Friend</v>
      </c>
      <c r="F638" s="2" t="str">
        <f>HYPERLINK("https://muckrack.com/phil-friend")</f>
        <v>https://muckrack.com/phil-friend</v>
      </c>
      <c r="G638" s="2">
        <v>3141</v>
      </c>
      <c r="H638" s="2" t="s">
        <v>2132</v>
      </c>
      <c r="I638" s="2" t="s">
        <v>3508</v>
      </c>
      <c r="J638" s="2" t="s">
        <v>1954</v>
      </c>
      <c r="K638" s="2" t="s">
        <v>3509</v>
      </c>
      <c r="L638" s="2" t="s">
        <v>3496</v>
      </c>
      <c r="M638" s="5">
        <v>45421.603692129633</v>
      </c>
      <c r="N638" s="2" t="str">
        <f>HYPERLINK("http://twitter.com/Phil_Friend/status/1788637387209253248")</f>
        <v>http://twitter.com/Phil_Friend/status/1788637387209253248</v>
      </c>
      <c r="O638" s="2" t="str">
        <f t="shared" si="24"/>
        <v>https://www.indystar.com/story/opinion/columnists/james-briggs/2024/05/09/indy-eleven-has-a-bigger-problem-than-money-at-diamond-chain-site/73627540007/</v>
      </c>
    </row>
    <row r="639" spans="1:15" ht="66" x14ac:dyDescent="0.3">
      <c r="A639" s="2" t="s">
        <v>3510</v>
      </c>
      <c r="B639" s="2" t="s">
        <v>3511</v>
      </c>
      <c r="C639" s="2" t="s">
        <v>3512</v>
      </c>
      <c r="D639" s="2" t="s">
        <v>3513</v>
      </c>
      <c r="E639" s="2" t="str">
        <f>HYPERLINK("http://twitter.com/NateAtkins_")</f>
        <v>http://twitter.com/NateAtkins_</v>
      </c>
      <c r="F639" s="2" t="str">
        <f>HYPERLINK("https://muckrack.com/nate-atkins")</f>
        <v>https://muckrack.com/nate-atkins</v>
      </c>
      <c r="G639" s="2">
        <v>12368</v>
      </c>
      <c r="H639" s="2" t="s">
        <v>1972</v>
      </c>
      <c r="I639" s="2" t="s">
        <v>3514</v>
      </c>
      <c r="J639" s="2" t="s">
        <v>2000</v>
      </c>
      <c r="K639" s="2" t="s">
        <v>3165</v>
      </c>
      <c r="L639" s="2" t="s">
        <v>3496</v>
      </c>
      <c r="M639" s="5">
        <v>45421.613263888888</v>
      </c>
      <c r="N639" s="2" t="str">
        <f>HYPERLINK("http://twitter.com/NateAtkins_/status/1788640859757404658")</f>
        <v>http://twitter.com/NateAtkins_/status/1788640859757404658</v>
      </c>
      <c r="O639" s="2" t="str">
        <f t="shared" si="24"/>
        <v>https://www.indystar.com/story/opinion/columnists/james-briggs/2024/05/09/indy-eleven-has-a-bigger-problem-than-money-at-diamond-chain-site/73627540007/</v>
      </c>
    </row>
    <row r="640" spans="1:15" ht="66" x14ac:dyDescent="0.3">
      <c r="A640" s="2" t="s">
        <v>3306</v>
      </c>
      <c r="B640" s="2" t="s">
        <v>2467</v>
      </c>
      <c r="C640" s="2" t="s">
        <v>3307</v>
      </c>
      <c r="D640" s="2" t="s">
        <v>3308</v>
      </c>
      <c r="E640" s="2" t="str">
        <f>HYPERLINK("http://twitter.com/ChrisSikich")</f>
        <v>http://twitter.com/ChrisSikich</v>
      </c>
      <c r="F640" s="2" t="str">
        <f>HYPERLINK("https://muckrack.com/chrissikich")</f>
        <v>https://muckrack.com/chrissikich</v>
      </c>
      <c r="G640" s="2">
        <v>7531</v>
      </c>
      <c r="H640" s="2" t="s">
        <v>2132</v>
      </c>
      <c r="I640" s="2" t="s">
        <v>3309</v>
      </c>
      <c r="J640" s="2" t="s">
        <v>2008</v>
      </c>
      <c r="K640" s="2" t="s">
        <v>1974</v>
      </c>
      <c r="L640" s="2" t="s">
        <v>3515</v>
      </c>
      <c r="M640" s="5">
        <v>45421.688356481478</v>
      </c>
      <c r="N640" s="2" t="str">
        <f>HYPERLINK("http://twitter.com/ChrisSikich/status/1788668068584984732")</f>
        <v>http://twitter.com/ChrisSikich/status/1788668068584984732</v>
      </c>
      <c r="O640" s="2" t="str">
        <f t="shared" si="24"/>
        <v>https://www.indystar.com/story/opinion/columnists/james-briggs/2024/05/09/indy-eleven-has-a-bigger-problem-than-money-at-diamond-chain-site/73627540007/</v>
      </c>
    </row>
    <row r="641" spans="1:15" ht="39.6" x14ac:dyDescent="0.3">
      <c r="A641" s="2" t="s">
        <v>60</v>
      </c>
      <c r="B641" s="2" t="s">
        <v>1924</v>
      </c>
      <c r="C641" s="2" t="s">
        <v>1925</v>
      </c>
      <c r="D641" s="2" t="s">
        <v>1926</v>
      </c>
      <c r="E641" s="2" t="str">
        <f>HYPERLINK("http://twitter.com/Soccerwriter")</f>
        <v>http://twitter.com/Soccerwriter</v>
      </c>
      <c r="F641" s="2" t="str">
        <f>HYPERLINK("https://muckrack.com/michael-lewis-4")</f>
        <v>https://muckrack.com/michael-lewis-4</v>
      </c>
      <c r="G641" s="2">
        <v>9867</v>
      </c>
      <c r="H641" s="2" t="s">
        <v>1927</v>
      </c>
      <c r="I641" s="2" t="s">
        <v>1928</v>
      </c>
      <c r="J641" s="2" t="s">
        <v>1929</v>
      </c>
      <c r="K641" s="2" t="s">
        <v>1930</v>
      </c>
      <c r="L641" s="2" t="s">
        <v>3516</v>
      </c>
      <c r="M641" s="5">
        <v>45421.329861111109</v>
      </c>
      <c r="N641" s="2" t="str">
        <f>HYPERLINK("http://twitter.com/Soccerwriter/status/1788538157081780489")</f>
        <v>http://twitter.com/Soccerwriter/status/1788538157081780489</v>
      </c>
      <c r="O641" s="2" t="str">
        <f>HYPERLINK("https://www.frontrowsoccer.com/2024/05/09/open-cup-drama-extra-time-penalty-kicks-dominate-round-of-32/")</f>
        <v>https://www.frontrowsoccer.com/2024/05/09/open-cup-drama-extra-time-penalty-kicks-dominate-round-of-32/</v>
      </c>
    </row>
    <row r="642" spans="1:15" ht="52.8" x14ac:dyDescent="0.3">
      <c r="A642" s="2" t="s">
        <v>60</v>
      </c>
      <c r="B642" s="2" t="s">
        <v>1924</v>
      </c>
      <c r="C642" s="2" t="s">
        <v>1925</v>
      </c>
      <c r="D642" s="2" t="s">
        <v>1926</v>
      </c>
      <c r="E642" s="2" t="str">
        <f>HYPERLINK("http://twitter.com/Soccerwriter")</f>
        <v>http://twitter.com/Soccerwriter</v>
      </c>
      <c r="F642" s="2" t="str">
        <f>HYPERLINK("https://muckrack.com/michael-lewis-4")</f>
        <v>https://muckrack.com/michael-lewis-4</v>
      </c>
      <c r="G642" s="2">
        <v>9867</v>
      </c>
      <c r="H642" s="2" t="s">
        <v>1927</v>
      </c>
      <c r="I642" s="2" t="s">
        <v>1928</v>
      </c>
      <c r="J642" s="2" t="s">
        <v>1929</v>
      </c>
      <c r="K642" s="2" t="s">
        <v>1930</v>
      </c>
      <c r="L642" s="2" t="s">
        <v>3517</v>
      </c>
      <c r="M642" s="5">
        <v>45422.289305555547</v>
      </c>
      <c r="N642" s="2" t="str">
        <f>HYPERLINK("http://twitter.com/Soccerwriter/status/1788885847082672586")</f>
        <v>http://twitter.com/Soccerwriter/status/1788885847082672586</v>
      </c>
      <c r="O642" s="2" t="str">
        <f>HYPERLINK("https://www.frontrowsoccer.com/2024/05/09/open-cup-drama-extra-time-penalty-kicks-dominate-round-of-32/")</f>
        <v>https://www.frontrowsoccer.com/2024/05/09/open-cup-drama-extra-time-penalty-kicks-dominate-round-of-32/</v>
      </c>
    </row>
    <row r="643" spans="1:15" ht="66" x14ac:dyDescent="0.3">
      <c r="A643" s="2" t="s">
        <v>993</v>
      </c>
      <c r="B643" s="2" t="s">
        <v>2289</v>
      </c>
      <c r="C643" s="2" t="s">
        <v>2981</v>
      </c>
      <c r="D643" s="2" t="s">
        <v>2982</v>
      </c>
      <c r="E643" s="2" t="str">
        <f>HYPERLINK("http://twitter.com/StephenWhit89")</f>
        <v>http://twitter.com/StephenWhit89</v>
      </c>
      <c r="F643" s="2" t="str">
        <f>HYPERLINK("https://muckrack.com/stephen-whitaker")</f>
        <v>https://muckrack.com/stephen-whitaker</v>
      </c>
      <c r="G643" s="2">
        <v>1127</v>
      </c>
      <c r="H643" s="2" t="s">
        <v>2983</v>
      </c>
      <c r="I643" s="2" t="s">
        <v>2984</v>
      </c>
      <c r="J643" s="2" t="s">
        <v>2033</v>
      </c>
      <c r="K643" s="2" t="s">
        <v>2985</v>
      </c>
      <c r="L643" s="2" t="s">
        <v>3518</v>
      </c>
      <c r="M643" s="5">
        <v>45421.031990740739</v>
      </c>
      <c r="N643" s="2" t="str">
        <f>HYPERLINK("http://twitter.com/StephenWhit89/status/1788430212113338462")</f>
        <v>http://twitter.com/StephenWhit89/status/1788430212113338462</v>
      </c>
      <c r="O643" s="2" t="str">
        <f>HYPERLINK("https://www.expressnews.com/sports/high-school/article/safc-indy-eleven-soccer-us-open-cup-19447833.php")</f>
        <v>https://www.expressnews.com/sports/high-school/article/safc-indy-eleven-soccer-us-open-cup-19447833.php</v>
      </c>
    </row>
    <row r="644" spans="1:15" ht="66" x14ac:dyDescent="0.3">
      <c r="A644" s="2" t="s">
        <v>3462</v>
      </c>
      <c r="B644" s="2" t="s">
        <v>2061</v>
      </c>
      <c r="C644" s="2" t="s">
        <v>3463</v>
      </c>
      <c r="D644" s="2" t="s">
        <v>3464</v>
      </c>
      <c r="E644" s="2" t="str">
        <f>HYPERLINK("http://twitter.com/mayawilkinss")</f>
        <v>http://twitter.com/mayawilkinss</v>
      </c>
      <c r="F644" s="2" t="str">
        <f>HYPERLINK("https://muckrack.com/maya-wilkins-1")</f>
        <v>https://muckrack.com/maya-wilkins-1</v>
      </c>
      <c r="G644" s="2">
        <v>371</v>
      </c>
      <c r="H644" s="2" t="s">
        <v>3465</v>
      </c>
      <c r="I644" s="2" t="s">
        <v>3466</v>
      </c>
      <c r="J644" s="2" t="s">
        <v>2134</v>
      </c>
      <c r="K644" s="2" t="s">
        <v>3467</v>
      </c>
      <c r="L644" s="2" t="s">
        <v>3519</v>
      </c>
      <c r="M644" s="5">
        <v>45420.794988425929</v>
      </c>
      <c r="N644" s="2" t="str">
        <f>HYPERLINK("http://twitter.com/mayawilkinss/status/1788344323404136563")</f>
        <v>http://twitter.com/mayawilkinss/status/1788344323404136563</v>
      </c>
      <c r="O644" s="2" t="str">
        <f>HYPERLINK("https://www.journalgazette.net/sports/fort-waynes-chuck-surack-joins-indy-eleven-ownership-group-as-team-jostles-to-join-mls/article_7dbf3f1c-0d73-11ef-b454-8b7f7b23d33b.html")</f>
        <v>https://www.journalgazette.net/sports/fort-waynes-chuck-surack-joins-indy-eleven-ownership-group-as-team-jostles-to-join-mls/article_7dbf3f1c-0d73-11ef-b454-8b7f7b23d33b.html</v>
      </c>
    </row>
    <row r="645" spans="1:15" ht="66" x14ac:dyDescent="0.3">
      <c r="A645" s="2" t="s">
        <v>3456</v>
      </c>
      <c r="B645" s="2" t="s">
        <v>2490</v>
      </c>
      <c r="C645" s="2" t="s">
        <v>3457</v>
      </c>
      <c r="D645" s="2" t="s">
        <v>3458</v>
      </c>
      <c r="E645" s="2" t="str">
        <f>HYPERLINK("http://twitter.com/jawsfort")</f>
        <v>http://twitter.com/jawsfort</v>
      </c>
      <c r="F645" s="2" t="str">
        <f>HYPERLINK("https://muckrack.com/jawsfort")</f>
        <v>https://muckrack.com/jawsfort</v>
      </c>
      <c r="G645" s="2">
        <v>775</v>
      </c>
      <c r="H645" s="2" t="s">
        <v>3459</v>
      </c>
      <c r="I645" s="2" t="s">
        <v>3460</v>
      </c>
      <c r="J645" s="2" t="s">
        <v>1929</v>
      </c>
      <c r="K645" s="2" t="s">
        <v>1155</v>
      </c>
      <c r="L645" s="2" t="s">
        <v>3520</v>
      </c>
      <c r="M645" s="5">
        <v>45420.828263888892</v>
      </c>
      <c r="N645" s="2" t="str">
        <f>HYPERLINK("http://twitter.com/jawsfort/status/1788356382556598327")</f>
        <v>http://twitter.com/jawsfort/status/1788356382556598327</v>
      </c>
      <c r="O645" s="2" t="str">
        <f>HYPERLINK("https://www.journalgazette.net/sports/fort-waynes-chuck-surack-joins-indy-eleven-ownership-group-as-team-jostles-to-join-mls/article_7dbf3f1c-0d73-11ef-b454-8b7f7b23d33b.html")</f>
        <v>https://www.journalgazette.net/sports/fort-waynes-chuck-surack-joins-indy-eleven-ownership-group-as-team-jostles-to-join-mls/article_7dbf3f1c-0d73-11ef-b454-8b7f7b23d33b.html</v>
      </c>
    </row>
    <row r="646" spans="1:15" ht="66" x14ac:dyDescent="0.3">
      <c r="A646" s="2" t="s">
        <v>1157</v>
      </c>
      <c r="B646" s="2" t="s">
        <v>2061</v>
      </c>
      <c r="C646" s="2" t="s">
        <v>3521</v>
      </c>
      <c r="D646" s="2" t="s">
        <v>3522</v>
      </c>
      <c r="E646" s="2" t="str">
        <f>HYPERLINK("http://twitter.com/TajBSimmons")</f>
        <v>http://twitter.com/TajBSimmons</v>
      </c>
      <c r="F646" s="2" t="str">
        <f>HYPERLINK("https://muckrack.com/taj-simmons")</f>
        <v>https://muckrack.com/taj-simmons</v>
      </c>
      <c r="G646" s="2">
        <v>2099</v>
      </c>
      <c r="H646" s="2" t="s">
        <v>1972</v>
      </c>
      <c r="I646" s="2" t="s">
        <v>3523</v>
      </c>
      <c r="J646" s="2" t="s">
        <v>1954</v>
      </c>
      <c r="K646" s="2" t="s">
        <v>725</v>
      </c>
      <c r="L646" s="2" t="s">
        <v>3524</v>
      </c>
      <c r="M646" s="5">
        <v>45420.786319444444</v>
      </c>
      <c r="N646" s="2" t="str">
        <f>HYPERLINK("http://twitter.com/TajBSimmons/status/1788341183741091933")</f>
        <v>http://twitter.com/TajBSimmons/status/1788341183741091933</v>
      </c>
      <c r="O646" s="2" t="str">
        <f>HYPERLINK("https://www.wrtv.com/news/local-news/indy-eleven-fans-hope-team-honors-human-remains-found-at-eleven-park-site")</f>
        <v>https://www.wrtv.com/news/local-news/indy-eleven-fans-hope-team-honors-human-remains-found-at-eleven-park-site</v>
      </c>
    </row>
    <row r="647" spans="1:15" ht="39.6" x14ac:dyDescent="0.3">
      <c r="A647" s="2" t="s">
        <v>2102</v>
      </c>
      <c r="B647" s="2" t="s">
        <v>2103</v>
      </c>
      <c r="C647" s="2" t="s">
        <v>2104</v>
      </c>
      <c r="D647" s="2" t="s">
        <v>2105</v>
      </c>
      <c r="E647" s="2" t="str">
        <f>HYPERLINK("http://twitter.com/HolyCitySinner")</f>
        <v>http://twitter.com/HolyCitySinner</v>
      </c>
      <c r="F647" s="2" t="str">
        <f>HYPERLINK("https://muckrack.com/christian-senger")</f>
        <v>https://muckrack.com/christian-senger</v>
      </c>
      <c r="G647" s="2">
        <v>61543</v>
      </c>
      <c r="H647" s="2" t="s">
        <v>2106</v>
      </c>
      <c r="I647" s="2" t="s">
        <v>2107</v>
      </c>
      <c r="J647" s="2" t="s">
        <v>2108</v>
      </c>
      <c r="K647" s="2" t="s">
        <v>2109</v>
      </c>
      <c r="L647" s="2" t="s">
        <v>3525</v>
      </c>
      <c r="M647" s="5">
        <v>45421.788194444453</v>
      </c>
      <c r="N647" s="2" t="str">
        <f>HYPERLINK("http://twitter.com/HolyCitySinner/status/1788704249255547018")</f>
        <v>http://twitter.com/HolyCitySinner/status/1788704249255547018</v>
      </c>
      <c r="O647" s="2" t="str">
        <f>HYPERLINK("http://holycitysinner.com/sports/charleston-battery-s-ben-pirmann-named-usl-championship-coac/")</f>
        <v>http://holycitysinner.com/sports/charleston-battery-s-ben-pirmann-named-usl-championship-coac/</v>
      </c>
    </row>
    <row r="648" spans="1:15" ht="39.6" x14ac:dyDescent="0.3">
      <c r="A648" s="2" t="s">
        <v>2102</v>
      </c>
      <c r="B648" s="2" t="s">
        <v>2103</v>
      </c>
      <c r="C648" s="2" t="s">
        <v>2104</v>
      </c>
      <c r="D648" s="2" t="s">
        <v>2105</v>
      </c>
      <c r="E648" s="2" t="str">
        <f>HYPERLINK("http://twitter.com/HolyCitySinner")</f>
        <v>http://twitter.com/HolyCitySinner</v>
      </c>
      <c r="F648" s="2" t="str">
        <f>HYPERLINK("https://muckrack.com/christian-senger")</f>
        <v>https://muckrack.com/christian-senger</v>
      </c>
      <c r="G648" s="2">
        <v>61543</v>
      </c>
      <c r="H648" s="2" t="s">
        <v>2106</v>
      </c>
      <c r="I648" s="2" t="s">
        <v>2107</v>
      </c>
      <c r="J648" s="2" t="s">
        <v>2108</v>
      </c>
      <c r="K648" s="2" t="s">
        <v>2109</v>
      </c>
      <c r="L648" s="2" t="s">
        <v>3526</v>
      </c>
      <c r="M648" s="5">
        <v>45422.435416666667</v>
      </c>
      <c r="N648" s="2" t="str">
        <f>HYPERLINK("http://twitter.com/HolyCitySinner/status/1788938794848362535")</f>
        <v>http://twitter.com/HolyCitySinner/status/1788938794848362535</v>
      </c>
      <c r="O648" s="2" t="str">
        <f>HYPERLINK("http://holycitysinner.com/sports/charleston-battery-s-ben-pirmann-named-usl-championship-coac/")</f>
        <v>http://holycitysinner.com/sports/charleston-battery-s-ben-pirmann-named-usl-championship-coac/</v>
      </c>
    </row>
    <row r="649" spans="1:15" ht="39.6" x14ac:dyDescent="0.3">
      <c r="A649" s="2" t="s">
        <v>2102</v>
      </c>
      <c r="B649" s="2" t="s">
        <v>2103</v>
      </c>
      <c r="C649" s="2" t="s">
        <v>2104</v>
      </c>
      <c r="D649" s="2" t="s">
        <v>2105</v>
      </c>
      <c r="E649" s="2" t="str">
        <f>HYPERLINK("http://twitter.com/HolyCitySinner")</f>
        <v>http://twitter.com/HolyCitySinner</v>
      </c>
      <c r="F649" s="2" t="str">
        <f>HYPERLINK("https://muckrack.com/christian-senger")</f>
        <v>https://muckrack.com/christian-senger</v>
      </c>
      <c r="G649" s="2">
        <v>61543</v>
      </c>
      <c r="H649" s="2" t="s">
        <v>2106</v>
      </c>
      <c r="I649" s="2" t="s">
        <v>2107</v>
      </c>
      <c r="J649" s="2" t="s">
        <v>2108</v>
      </c>
      <c r="K649" s="2" t="s">
        <v>2109</v>
      </c>
      <c r="L649" s="2" t="s">
        <v>3527</v>
      </c>
      <c r="M649" s="5">
        <v>45424.624305555553</v>
      </c>
      <c r="N649" s="2" t="str">
        <f>HYPERLINK("http://twitter.com/HolyCitySinner/status/1789732021717159947")</f>
        <v>http://twitter.com/HolyCitySinner/status/1789732021717159947</v>
      </c>
      <c r="O649" s="2" t="str">
        <f>HYPERLINK("http://holycitysinner.com/sports/charleston-battery-s-ben-pirmann-named-usl-championship-coac/")</f>
        <v>http://holycitysinner.com/sports/charleston-battery-s-ben-pirmann-named-usl-championship-coac/</v>
      </c>
    </row>
    <row r="650" spans="1:15" ht="92.4" x14ac:dyDescent="0.3">
      <c r="A650" s="2" t="s">
        <v>3528</v>
      </c>
      <c r="B650" s="2" t="s">
        <v>3238</v>
      </c>
      <c r="C650" s="2" t="s">
        <v>3529</v>
      </c>
      <c r="D650" s="2" t="s">
        <v>3530</v>
      </c>
      <c r="E650" s="2" t="str">
        <f>HYPERLINK("http://twitter.com/JennieWTHR")</f>
        <v>http://twitter.com/JennieWTHR</v>
      </c>
      <c r="F650" s="2" t="str">
        <f>HYPERLINK("https://muckrack.com/jennie-runevitch")</f>
        <v>https://muckrack.com/jennie-runevitch</v>
      </c>
      <c r="G650" s="2">
        <v>12582</v>
      </c>
      <c r="H650" s="2" t="s">
        <v>2132</v>
      </c>
      <c r="I650" s="2" t="s">
        <v>3531</v>
      </c>
      <c r="J650" s="2" t="s">
        <v>3388</v>
      </c>
      <c r="K650" s="2" t="s">
        <v>130</v>
      </c>
      <c r="L650" s="2" t="s">
        <v>3532</v>
      </c>
      <c r="M650" s="5">
        <v>45420.542731481481</v>
      </c>
      <c r="N650" s="2" t="str">
        <f>HYPERLINK("http://twitter.com/JennieWTHR/status/1788252910825934972")</f>
        <v>http://twitter.com/JennieWTHR/status/1788252910825934972</v>
      </c>
      <c r="O650" s="2" t="str">
        <f>HYPERLINK("https://www.wthr.com/article/sports/local-sports/indiana-billionaire-joins-indy-eleven-ownership-group-chuck-surack-soccer-mls-indianapolis-mayor-joe-hogsett-park/531-2e1fdca6-80d9-47d6-ace4-3c861b26f992")</f>
        <v>https://www.wthr.com/article/sports/local-sports/indiana-billionaire-joins-indy-eleven-ownership-group-chuck-surack-soccer-mls-indianapolis-mayor-joe-hogsett-park/531-2e1fdca6-80d9-47d6-ace4-3c861b26f992</v>
      </c>
    </row>
    <row r="651" spans="1:15" ht="92.4" x14ac:dyDescent="0.3">
      <c r="A651" s="2" t="s">
        <v>3092</v>
      </c>
      <c r="B651" s="2" t="s">
        <v>1910</v>
      </c>
      <c r="C651" s="2" t="s">
        <v>3093</v>
      </c>
      <c r="D651" s="2" t="s">
        <v>3094</v>
      </c>
      <c r="E651" s="2" t="str">
        <f>HYPERLINK("http://twitter.com/RichNye13")</f>
        <v>http://twitter.com/RichNye13</v>
      </c>
      <c r="F651" s="2" t="str">
        <f>HYPERLINK("https://muckrack.com/rich-nye")</f>
        <v>https://muckrack.com/rich-nye</v>
      </c>
      <c r="G651" s="2">
        <v>15206</v>
      </c>
      <c r="H651" s="2" t="s">
        <v>2123</v>
      </c>
      <c r="I651" s="2" t="s">
        <v>3095</v>
      </c>
      <c r="J651" s="2" t="s">
        <v>2033</v>
      </c>
      <c r="K651" s="2" t="s">
        <v>130</v>
      </c>
      <c r="L651" s="2" t="s">
        <v>3533</v>
      </c>
      <c r="M651" s="5">
        <v>45420.911747685182</v>
      </c>
      <c r="N651" s="2" t="str">
        <f>HYPERLINK("http://twitter.com/RichNye13/status/1788386634964074667")</f>
        <v>http://twitter.com/RichNye13/status/1788386634964074667</v>
      </c>
      <c r="O651" s="2" t="str">
        <f>HYPERLINK("https://www.wthr.com/article/sports/local-sports/indiana-billionaire-joins-indy-eleven-ownership-group-chuck-surack-soccer-mls-indianapolis-mayor-joe-hogsett-park/531-2e1fdca6-80d9-47d6-ace4-3c861b26f992")</f>
        <v>https://www.wthr.com/article/sports/local-sports/indiana-billionaire-joins-indy-eleven-ownership-group-chuck-surack-soccer-mls-indianapolis-mayor-joe-hogsett-park/531-2e1fdca6-80d9-47d6-ace4-3c861b26f992</v>
      </c>
    </row>
    <row r="652" spans="1:15" ht="39.6" x14ac:dyDescent="0.3">
      <c r="A652" s="2" t="s">
        <v>3120</v>
      </c>
      <c r="B652" s="2" t="s">
        <v>3121</v>
      </c>
      <c r="C652" s="2" t="s">
        <v>3122</v>
      </c>
      <c r="D652" s="2" t="s">
        <v>3123</v>
      </c>
      <c r="E652" s="2" t="str">
        <f>HYPERLINK("http://twitter.com/justin_powell24")</f>
        <v>http://twitter.com/justin_powell24</v>
      </c>
      <c r="F652" s="2" t="str">
        <f>HYPERLINK("https://muckrack.com/justin-powell-7")</f>
        <v>https://muckrack.com/justin-powell-7</v>
      </c>
      <c r="G652" s="2">
        <v>536</v>
      </c>
      <c r="H652" s="2"/>
      <c r="I652" s="2" t="s">
        <v>3124</v>
      </c>
      <c r="J652" s="2" t="s">
        <v>2361</v>
      </c>
      <c r="K652" s="2" t="s">
        <v>147</v>
      </c>
      <c r="L652" s="2" t="s">
        <v>3534</v>
      </c>
      <c r="M652" s="5">
        <v>45420.518495370372</v>
      </c>
      <c r="N652" s="2" t="str">
        <f>HYPERLINK("http://twitter.com/justin_powell24/status/1788244128666411163")</f>
        <v>http://twitter.com/justin_powell24/status/1788244128666411163</v>
      </c>
      <c r="O652" s="2" t="str">
        <f>HYPERLINK("https://fox59.com/indiana-news/indy-eleven-group-adds-fort-wayne-entrepreneur-as-co-owner-investor/")</f>
        <v>https://fox59.com/indiana-news/indy-eleven-group-adds-fort-wayne-entrepreneur-as-co-owner-investor/</v>
      </c>
    </row>
    <row r="653" spans="1:15" ht="52.8" x14ac:dyDescent="0.3">
      <c r="A653" s="2" t="s">
        <v>60</v>
      </c>
      <c r="B653" s="2" t="s">
        <v>1924</v>
      </c>
      <c r="C653" s="2" t="s">
        <v>1925</v>
      </c>
      <c r="D653" s="2" t="s">
        <v>1926</v>
      </c>
      <c r="E653" s="2" t="str">
        <f>HYPERLINK("http://twitter.com/Soccerwriter")</f>
        <v>http://twitter.com/Soccerwriter</v>
      </c>
      <c r="F653" s="2" t="str">
        <f>HYPERLINK("https://muckrack.com/michael-lewis-4")</f>
        <v>https://muckrack.com/michael-lewis-4</v>
      </c>
      <c r="G653" s="2">
        <v>9867</v>
      </c>
      <c r="H653" s="2" t="s">
        <v>1927</v>
      </c>
      <c r="I653" s="2" t="s">
        <v>1928</v>
      </c>
      <c r="J653" s="2" t="s">
        <v>1929</v>
      </c>
      <c r="K653" s="2" t="s">
        <v>1930</v>
      </c>
      <c r="L653" s="2" t="s">
        <v>3535</v>
      </c>
      <c r="M653" s="5">
        <v>45420.50986111111</v>
      </c>
      <c r="N653" s="2" t="str">
        <f>HYPERLINK("http://twitter.com/Soccerwriter/status/1788240999950561695")</f>
        <v>http://twitter.com/Soccerwriter/status/1788240999950561695</v>
      </c>
      <c r="O653" s="2" t="str">
        <f>HYPERLINK("https://www.frontrowsoccer.com/2024/05/08/crashing-out-detroit-city-fc-oust-defending-champs-dynamo-from-open-cup/")</f>
        <v>https://www.frontrowsoccer.com/2024/05/08/crashing-out-detroit-city-fc-oust-defending-champs-dynamo-from-open-cup/</v>
      </c>
    </row>
    <row r="654" spans="1:15" ht="52.8" x14ac:dyDescent="0.3">
      <c r="A654" s="2" t="s">
        <v>60</v>
      </c>
      <c r="B654" s="2" t="s">
        <v>1924</v>
      </c>
      <c r="C654" s="2" t="s">
        <v>1925</v>
      </c>
      <c r="D654" s="2" t="s">
        <v>1926</v>
      </c>
      <c r="E654" s="2" t="str">
        <f>HYPERLINK("http://twitter.com/Soccerwriter")</f>
        <v>http://twitter.com/Soccerwriter</v>
      </c>
      <c r="F654" s="2" t="str">
        <f>HYPERLINK("https://muckrack.com/michael-lewis-4")</f>
        <v>https://muckrack.com/michael-lewis-4</v>
      </c>
      <c r="G654" s="2">
        <v>9867</v>
      </c>
      <c r="H654" s="2" t="s">
        <v>1927</v>
      </c>
      <c r="I654" s="2" t="s">
        <v>1928</v>
      </c>
      <c r="J654" s="2" t="s">
        <v>1929</v>
      </c>
      <c r="K654" s="2" t="s">
        <v>1930</v>
      </c>
      <c r="L654" s="2" t="s">
        <v>3536</v>
      </c>
      <c r="M654" s="5">
        <v>45421.411585648151</v>
      </c>
      <c r="N654" s="2" t="str">
        <f>HYPERLINK("http://twitter.com/Soccerwriter/status/1788567773720846481")</f>
        <v>http://twitter.com/Soccerwriter/status/1788567773720846481</v>
      </c>
      <c r="O654" s="2" t="str">
        <f>HYPERLINK("https://www.frontrowsoccer.com/2024/05/08/crashing-out-detroit-city-fc-oust-defending-champs-dynamo-from-open-cup/")</f>
        <v>https://www.frontrowsoccer.com/2024/05/08/crashing-out-detroit-city-fc-oust-defending-champs-dynamo-from-open-cup/</v>
      </c>
    </row>
    <row r="655" spans="1:15" ht="39.6" x14ac:dyDescent="0.3">
      <c r="A655" s="2" t="s">
        <v>267</v>
      </c>
      <c r="B655" s="2" t="s">
        <v>2061</v>
      </c>
      <c r="C655" s="2" t="s">
        <v>2062</v>
      </c>
      <c r="D655" s="2" t="s">
        <v>2063</v>
      </c>
      <c r="E655" s="2" t="str">
        <f>HYPERLINK("http://twitter.com/MickeyShuey")</f>
        <v>http://twitter.com/MickeyShuey</v>
      </c>
      <c r="F655" s="2" t="str">
        <f>HYPERLINK("https://muckrack.com/mickeyshuey")</f>
        <v>https://muckrack.com/mickeyshuey</v>
      </c>
      <c r="G655" s="2">
        <v>1868</v>
      </c>
      <c r="H655" s="2" t="s">
        <v>1972</v>
      </c>
      <c r="I655" s="2" t="s">
        <v>2064</v>
      </c>
      <c r="J655" s="2" t="s">
        <v>2065</v>
      </c>
      <c r="K655" s="2" t="s">
        <v>268</v>
      </c>
      <c r="L655" s="2" t="s">
        <v>3537</v>
      </c>
      <c r="M655" s="5">
        <v>45420.503379629627</v>
      </c>
      <c r="N655" s="2" t="str">
        <f>HYPERLINK("http://twitter.com/MickeyShuey/status/1788238649290608907")</f>
        <v>http://twitter.com/MickeyShuey/status/1788238649290608907</v>
      </c>
      <c r="O655" s="2" t="str">
        <f>HYPERLINK("https://www.ibj.com/articles/indy-eleven-adds-businessman-chuck-surack-amid-mls-fight-with-city")</f>
        <v>https://www.ibj.com/articles/indy-eleven-adds-businessman-chuck-surack-amid-mls-fight-with-city</v>
      </c>
    </row>
    <row r="656" spans="1:15" ht="39.6" x14ac:dyDescent="0.3">
      <c r="A656" s="2" t="s">
        <v>3141</v>
      </c>
      <c r="B656" s="2" t="s">
        <v>2061</v>
      </c>
      <c r="C656" s="2" t="s">
        <v>3142</v>
      </c>
      <c r="D656" s="2" t="s">
        <v>3143</v>
      </c>
      <c r="E656" s="2" t="str">
        <f>HYPERLINK("http://twitter.com/catecharron")</f>
        <v>http://twitter.com/catecharron</v>
      </c>
      <c r="F656" s="2" t="str">
        <f>HYPERLINK("https://muckrack.com/cate-charron")</f>
        <v>https://muckrack.com/cate-charron</v>
      </c>
      <c r="G656" s="2">
        <v>1415</v>
      </c>
      <c r="H656" s="2" t="s">
        <v>1972</v>
      </c>
      <c r="I656" s="2" t="s">
        <v>3144</v>
      </c>
      <c r="J656" s="2" t="s">
        <v>3145</v>
      </c>
      <c r="K656" s="2" t="s">
        <v>321</v>
      </c>
      <c r="L656" s="2" t="s">
        <v>3538</v>
      </c>
      <c r="M656" s="5">
        <v>45420.503576388888</v>
      </c>
      <c r="N656" s="2" t="str">
        <f>HYPERLINK("http://twitter.com/catecharron/status/1788238719591252172")</f>
        <v>http://twitter.com/catecharron/status/1788238719591252172</v>
      </c>
      <c r="O656" s="2" t="str">
        <f>HYPERLINK("https://www.ibj.com/articles/indy-eleven-adds-businessman-chuck-surack-amid-mls-fight-with-city")</f>
        <v>https://www.ibj.com/articles/indy-eleven-adds-businessman-chuck-surack-amid-mls-fight-with-city</v>
      </c>
    </row>
    <row r="657" spans="1:15" ht="39.6" x14ac:dyDescent="0.3">
      <c r="A657" s="2" t="s">
        <v>3539</v>
      </c>
      <c r="B657" s="2" t="s">
        <v>2467</v>
      </c>
      <c r="C657" s="2" t="s">
        <v>3540</v>
      </c>
      <c r="D657" s="2" t="s">
        <v>3541</v>
      </c>
      <c r="E657" s="2" t="str">
        <f>HYPERLINK("http://twitter.com/sammquinn13")</f>
        <v>http://twitter.com/sammquinn13</v>
      </c>
      <c r="F657" s="2" t="str">
        <f>HYPERLINK("https://muckrack.com/samm-quinn")</f>
        <v>https://muckrack.com/samm-quinn</v>
      </c>
      <c r="G657" s="2">
        <v>1265</v>
      </c>
      <c r="H657" s="2" t="s">
        <v>1972</v>
      </c>
      <c r="I657" s="2" t="s">
        <v>3542</v>
      </c>
      <c r="J657" s="2" t="s">
        <v>2141</v>
      </c>
      <c r="K657" s="2" t="s">
        <v>268</v>
      </c>
      <c r="L657" s="2" t="s">
        <v>3538</v>
      </c>
      <c r="M657" s="5">
        <v>45420.510729166657</v>
      </c>
      <c r="N657" s="2" t="str">
        <f>HYPERLINK("http://twitter.com/sammquinn13/status/1788241312434598008")</f>
        <v>http://twitter.com/sammquinn13/status/1788241312434598008</v>
      </c>
      <c r="O657" s="2" t="str">
        <f>HYPERLINK("https://www.ibj.com/articles/indy-eleven-adds-businessman-chuck-surack-amid-mls-fight-with-city")</f>
        <v>https://www.ibj.com/articles/indy-eleven-adds-businessman-chuck-surack-amid-mls-fight-with-city</v>
      </c>
    </row>
    <row r="658" spans="1:15" ht="52.8" x14ac:dyDescent="0.3">
      <c r="A658" s="2" t="s">
        <v>2119</v>
      </c>
      <c r="B658" s="2" t="s">
        <v>2120</v>
      </c>
      <c r="C658" s="2" t="s">
        <v>2121</v>
      </c>
      <c r="D658" s="2" t="s">
        <v>2122</v>
      </c>
      <c r="E658" s="2" t="str">
        <f>HYPERLINK("http://twitter.com/starwatchtim")</f>
        <v>http://twitter.com/starwatchtim</v>
      </c>
      <c r="F658" s="2" t="str">
        <f>HYPERLINK("https://muckrack.com/starwatchtim")</f>
        <v>https://muckrack.com/starwatchtim</v>
      </c>
      <c r="G658" s="2">
        <v>7285</v>
      </c>
      <c r="H658" s="2" t="s">
        <v>2123</v>
      </c>
      <c r="I658" s="2" t="s">
        <v>2124</v>
      </c>
      <c r="J658" s="2" t="s">
        <v>2125</v>
      </c>
      <c r="K658" s="2" t="s">
        <v>321</v>
      </c>
      <c r="L658" s="2" t="s">
        <v>3543</v>
      </c>
      <c r="M658" s="5">
        <v>45420.504074074073</v>
      </c>
      <c r="N658" s="2" t="str">
        <f>HYPERLINK("http://twitter.com/starwatchtim/status/1788238900835582349")</f>
        <v>http://twitter.com/starwatchtim/status/1788238900835582349</v>
      </c>
      <c r="O658" s="2" t="str">
        <f t="shared" ref="O658:O665" si="25">HYPERLINK("https://www.indystar.com/story/news/investigations/2024/05/08/fort-wayne-billionaire-joins-eleven-park-ownership-group/73612134007/")</f>
        <v>https://www.indystar.com/story/news/investigations/2024/05/08/fort-wayne-billionaire-joins-eleven-park-ownership-group/73612134007/</v>
      </c>
    </row>
    <row r="659" spans="1:15" ht="52.8" x14ac:dyDescent="0.3">
      <c r="A659" s="2" t="s">
        <v>2119</v>
      </c>
      <c r="B659" s="2" t="s">
        <v>2120</v>
      </c>
      <c r="C659" s="2" t="s">
        <v>2121</v>
      </c>
      <c r="D659" s="2" t="s">
        <v>2122</v>
      </c>
      <c r="E659" s="2" t="str">
        <f>HYPERLINK("http://twitter.com/starwatchtim")</f>
        <v>http://twitter.com/starwatchtim</v>
      </c>
      <c r="F659" s="2" t="str">
        <f>HYPERLINK("https://muckrack.com/starwatchtim")</f>
        <v>https://muckrack.com/starwatchtim</v>
      </c>
      <c r="G659" s="2">
        <v>7285</v>
      </c>
      <c r="H659" s="2" t="s">
        <v>2123</v>
      </c>
      <c r="I659" s="2" t="s">
        <v>2124</v>
      </c>
      <c r="J659" s="2" t="s">
        <v>2125</v>
      </c>
      <c r="K659" s="2" t="s">
        <v>321</v>
      </c>
      <c r="L659" s="2" t="s">
        <v>3544</v>
      </c>
      <c r="M659" s="5">
        <v>45420.554756944453</v>
      </c>
      <c r="N659" s="2" t="str">
        <f>HYPERLINK("http://twitter.com/starwatchtim/status/1788257266409365513")</f>
        <v>http://twitter.com/starwatchtim/status/1788257266409365513</v>
      </c>
      <c r="O659" s="2" t="str">
        <f t="shared" si="25"/>
        <v>https://www.indystar.com/story/news/investigations/2024/05/08/fort-wayne-billionaire-joins-eleven-park-ownership-group/73612134007/</v>
      </c>
    </row>
    <row r="660" spans="1:15" ht="52.8" x14ac:dyDescent="0.3">
      <c r="A660" s="2" t="s">
        <v>2119</v>
      </c>
      <c r="B660" s="2" t="s">
        <v>2120</v>
      </c>
      <c r="C660" s="2" t="s">
        <v>2121</v>
      </c>
      <c r="D660" s="2" t="s">
        <v>2122</v>
      </c>
      <c r="E660" s="2" t="str">
        <f>HYPERLINK("http://twitter.com/starwatchtim")</f>
        <v>http://twitter.com/starwatchtim</v>
      </c>
      <c r="F660" s="2" t="str">
        <f>HYPERLINK("https://muckrack.com/starwatchtim")</f>
        <v>https://muckrack.com/starwatchtim</v>
      </c>
      <c r="G660" s="2">
        <v>7285</v>
      </c>
      <c r="H660" s="2" t="s">
        <v>2123</v>
      </c>
      <c r="I660" s="2" t="s">
        <v>2124</v>
      </c>
      <c r="J660" s="2" t="s">
        <v>2125</v>
      </c>
      <c r="K660" s="2" t="s">
        <v>321</v>
      </c>
      <c r="L660" s="2" t="s">
        <v>3545</v>
      </c>
      <c r="M660" s="5">
        <v>45420.558368055557</v>
      </c>
      <c r="N660" s="2" t="str">
        <f>HYPERLINK("http://twitter.com/starwatchtim/status/1788258577146065381")</f>
        <v>http://twitter.com/starwatchtim/status/1788258577146065381</v>
      </c>
      <c r="O660" s="2" t="str">
        <f t="shared" si="25"/>
        <v>https://www.indystar.com/story/news/investigations/2024/05/08/fort-wayne-billionaire-joins-eleven-park-ownership-group/73612134007/</v>
      </c>
    </row>
    <row r="661" spans="1:15" ht="52.8" x14ac:dyDescent="0.3">
      <c r="A661" s="2" t="s">
        <v>2119</v>
      </c>
      <c r="B661" s="2" t="s">
        <v>2120</v>
      </c>
      <c r="C661" s="2" t="s">
        <v>2121</v>
      </c>
      <c r="D661" s="2" t="s">
        <v>2122</v>
      </c>
      <c r="E661" s="2" t="str">
        <f>HYPERLINK("http://twitter.com/starwatchtim")</f>
        <v>http://twitter.com/starwatchtim</v>
      </c>
      <c r="F661" s="2" t="str">
        <f>HYPERLINK("https://muckrack.com/starwatchtim")</f>
        <v>https://muckrack.com/starwatchtim</v>
      </c>
      <c r="G661" s="2">
        <v>7285</v>
      </c>
      <c r="H661" s="2" t="s">
        <v>2123</v>
      </c>
      <c r="I661" s="2" t="s">
        <v>2124</v>
      </c>
      <c r="J661" s="2" t="s">
        <v>2125</v>
      </c>
      <c r="K661" s="2" t="s">
        <v>321</v>
      </c>
      <c r="L661" s="2" t="s">
        <v>3546</v>
      </c>
      <c r="M661" s="5">
        <v>45421.375300925924</v>
      </c>
      <c r="N661" s="2" t="str">
        <f>HYPERLINK("http://twitter.com/starwatchtim/status/1788554623998960089")</f>
        <v>http://twitter.com/starwatchtim/status/1788554623998960089</v>
      </c>
      <c r="O661" s="2" t="str">
        <f t="shared" si="25"/>
        <v>https://www.indystar.com/story/news/investigations/2024/05/08/fort-wayne-billionaire-joins-eleven-park-ownership-group/73612134007/</v>
      </c>
    </row>
    <row r="662" spans="1:15" ht="52.8" x14ac:dyDescent="0.3">
      <c r="A662" s="2" t="s">
        <v>3547</v>
      </c>
      <c r="B662" s="2" t="s">
        <v>2524</v>
      </c>
      <c r="C662" s="2" t="s">
        <v>3548</v>
      </c>
      <c r="D662" s="2" t="s">
        <v>3549</v>
      </c>
      <c r="E662" s="2" t="str">
        <f>HYPERLINK("http://twitter.com/ericlarsen_news")</f>
        <v>http://twitter.com/ericlarsen_news</v>
      </c>
      <c r="F662" s="2" t="str">
        <f>HYPERLINK("https://muckrack.com/eric-larsen")</f>
        <v>https://muckrack.com/eric-larsen</v>
      </c>
      <c r="G662" s="2">
        <v>1482</v>
      </c>
      <c r="H662" s="2" t="s">
        <v>2123</v>
      </c>
      <c r="I662" s="2" t="s">
        <v>3550</v>
      </c>
      <c r="J662" s="2" t="s">
        <v>1954</v>
      </c>
      <c r="K662" s="2" t="s">
        <v>321</v>
      </c>
      <c r="L662" s="2" t="s">
        <v>3551</v>
      </c>
      <c r="M662" s="5">
        <v>45420.653726851851</v>
      </c>
      <c r="N662" s="2" t="str">
        <f>HYPERLINK("http://twitter.com/ericlarsen_news/status/1788293132804600211")</f>
        <v>http://twitter.com/ericlarsen_news/status/1788293132804600211</v>
      </c>
      <c r="O662" s="2" t="str">
        <f t="shared" si="25"/>
        <v>https://www.indystar.com/story/news/investigations/2024/05/08/fort-wayne-billionaire-joins-eleven-park-ownership-group/73612134007/</v>
      </c>
    </row>
    <row r="663" spans="1:15" ht="52.8" x14ac:dyDescent="0.3">
      <c r="A663" s="2" t="s">
        <v>1023</v>
      </c>
      <c r="B663" s="2" t="s">
        <v>2544</v>
      </c>
      <c r="C663" s="2" t="s">
        <v>2545</v>
      </c>
      <c r="D663" s="2" t="s">
        <v>2546</v>
      </c>
      <c r="E663" s="2" t="str">
        <f>HYPERLINK("http://twitter.com/AllyBurris")</f>
        <v>http://twitter.com/AllyBurris</v>
      </c>
      <c r="F663" s="2" t="str">
        <f>HYPERLINK("https://muckrack.com/allyburris")</f>
        <v>https://muckrack.com/allyburris</v>
      </c>
      <c r="G663" s="2">
        <v>1524</v>
      </c>
      <c r="H663" s="2" t="s">
        <v>1972</v>
      </c>
      <c r="I663" s="2" t="s">
        <v>2547</v>
      </c>
      <c r="J663" s="2" t="s">
        <v>2141</v>
      </c>
      <c r="K663" s="2" t="s">
        <v>321</v>
      </c>
      <c r="L663" s="2" t="s">
        <v>3552</v>
      </c>
      <c r="M663" s="5">
        <v>45420.666203703702</v>
      </c>
      <c r="N663" s="2" t="str">
        <f>HYPERLINK("http://twitter.com/AllyBurris/status/1788297654234980792")</f>
        <v>http://twitter.com/AllyBurris/status/1788297654234980792</v>
      </c>
      <c r="O663" s="2" t="str">
        <f t="shared" si="25"/>
        <v>https://www.indystar.com/story/news/investigations/2024/05/08/fort-wayne-billionaire-joins-eleven-park-ownership-group/73612134007/</v>
      </c>
    </row>
    <row r="664" spans="1:15" ht="52.8" x14ac:dyDescent="0.3">
      <c r="A664" s="2" t="s">
        <v>1023</v>
      </c>
      <c r="B664" s="2" t="s">
        <v>2544</v>
      </c>
      <c r="C664" s="2" t="s">
        <v>2545</v>
      </c>
      <c r="D664" s="2" t="s">
        <v>2546</v>
      </c>
      <c r="E664" s="2" t="str">
        <f>HYPERLINK("http://twitter.com/AllyBurris")</f>
        <v>http://twitter.com/AllyBurris</v>
      </c>
      <c r="F664" s="2" t="str">
        <f>HYPERLINK("https://muckrack.com/allyburris")</f>
        <v>https://muckrack.com/allyburris</v>
      </c>
      <c r="G664" s="2">
        <v>1524</v>
      </c>
      <c r="H664" s="2" t="s">
        <v>1972</v>
      </c>
      <c r="I664" s="2" t="s">
        <v>2547</v>
      </c>
      <c r="J664" s="2" t="s">
        <v>2141</v>
      </c>
      <c r="K664" s="2" t="s">
        <v>321</v>
      </c>
      <c r="L664" s="2" t="s">
        <v>3553</v>
      </c>
      <c r="M664" s="5">
        <v>45420.666319444441</v>
      </c>
      <c r="N664" s="2" t="str">
        <f>HYPERLINK("http://twitter.com/AllyBurris/status/1788297697734119771")</f>
        <v>http://twitter.com/AllyBurris/status/1788297697734119771</v>
      </c>
      <c r="O664" s="2" t="str">
        <f t="shared" si="25"/>
        <v>https://www.indystar.com/story/news/investigations/2024/05/08/fort-wayne-billionaire-joins-eleven-park-ownership-group/73612134007/</v>
      </c>
    </row>
    <row r="665" spans="1:15" ht="52.8" x14ac:dyDescent="0.3">
      <c r="A665" s="2" t="s">
        <v>664</v>
      </c>
      <c r="B665" s="2" t="s">
        <v>2289</v>
      </c>
      <c r="C665" s="2" t="s">
        <v>2425</v>
      </c>
      <c r="D665" s="2" t="s">
        <v>2426</v>
      </c>
      <c r="E665" s="2" t="str">
        <f>HYPERLINK("http://twitter.com/Brian_Haenchen")</f>
        <v>http://twitter.com/Brian_Haenchen</v>
      </c>
      <c r="F665" s="2" t="str">
        <f>HYPERLINK("https://muckrack.com/brian_haenchen")</f>
        <v>https://muckrack.com/brian_haenchen</v>
      </c>
      <c r="G665" s="2">
        <v>10028</v>
      </c>
      <c r="H665" s="2" t="s">
        <v>1972</v>
      </c>
      <c r="I665" s="2" t="s">
        <v>2427</v>
      </c>
      <c r="J665" s="2" t="s">
        <v>2000</v>
      </c>
      <c r="K665" s="2" t="s">
        <v>321</v>
      </c>
      <c r="L665" s="2" t="s">
        <v>3554</v>
      </c>
      <c r="M665" s="5">
        <v>45421.376886574071</v>
      </c>
      <c r="N665" s="2" t="str">
        <f>HYPERLINK("http://twitter.com/Brian_Haenchen/status/1788555198454972564")</f>
        <v>http://twitter.com/Brian_Haenchen/status/1788555198454972564</v>
      </c>
      <c r="O665" s="2" t="str">
        <f t="shared" si="25"/>
        <v>https://www.indystar.com/story/news/investigations/2024/05/08/fort-wayne-billionaire-joins-eleven-park-ownership-group/73612134007/</v>
      </c>
    </row>
    <row r="666" spans="1:15" ht="39.6" x14ac:dyDescent="0.3">
      <c r="A666" s="2" t="s">
        <v>456</v>
      </c>
      <c r="B666" s="2" t="s">
        <v>2208</v>
      </c>
      <c r="C666" s="2"/>
      <c r="D666" s="2" t="s">
        <v>2209</v>
      </c>
      <c r="E666" s="2" t="str">
        <f>HYPERLINK("http://twitter.com/JeremiahOshan")</f>
        <v>http://twitter.com/JeremiahOshan</v>
      </c>
      <c r="F666" s="2" t="str">
        <f>HYPERLINK("https://muckrack.com/jeremiah-oshan")</f>
        <v>https://muckrack.com/jeremiah-oshan</v>
      </c>
      <c r="G666" s="2">
        <v>14367</v>
      </c>
      <c r="H666" s="2" t="s">
        <v>2210</v>
      </c>
      <c r="I666" s="2" t="s">
        <v>2211</v>
      </c>
      <c r="J666" s="2" t="s">
        <v>1929</v>
      </c>
      <c r="K666" s="2" t="s">
        <v>2212</v>
      </c>
      <c r="L666" s="2" t="s">
        <v>3555</v>
      </c>
      <c r="M666" s="5">
        <v>45420.639166666668</v>
      </c>
      <c r="N666" s="2" t="str">
        <f>HYPERLINK("http://twitter.com/JeremiahOshan/status/1788287855225348183")</f>
        <v>http://twitter.com/JeremiahOshan/status/1788287855225348183</v>
      </c>
      <c r="O666" s="2" t="str">
        <f>HYPERLINK("https://www.indyeleven.com/news/2024/05/08/indiana-billionaire-joins-indy-eleven-ownership-group/")</f>
        <v>https://www.indyeleven.com/news/2024/05/08/indiana-billionaire-joins-indy-eleven-ownership-group/</v>
      </c>
    </row>
    <row r="667" spans="1:15" ht="52.8" x14ac:dyDescent="0.3">
      <c r="A667" s="2" t="s">
        <v>3556</v>
      </c>
      <c r="B667" s="2" t="s">
        <v>1949</v>
      </c>
      <c r="C667" s="2" t="s">
        <v>3557</v>
      </c>
      <c r="D667" s="2" t="s">
        <v>3558</v>
      </c>
      <c r="E667" s="2" t="str">
        <f>HYPERLINK("http://twitter.com/jcmack03")</f>
        <v>http://twitter.com/jcmack03</v>
      </c>
      <c r="F667" s="2" t="str">
        <f>HYPERLINK("https://muckrack.com/jimmy-mack-3")</f>
        <v>https://muckrack.com/jimmy-mack-3</v>
      </c>
      <c r="G667" s="2">
        <v>2631</v>
      </c>
      <c r="H667" s="2" t="s">
        <v>2307</v>
      </c>
      <c r="I667" s="2" t="s">
        <v>3559</v>
      </c>
      <c r="J667" s="2" t="s">
        <v>2033</v>
      </c>
      <c r="K667" s="2" t="s">
        <v>3560</v>
      </c>
      <c r="L667" s="2" t="s">
        <v>3561</v>
      </c>
      <c r="M667" s="5">
        <v>45420.650393518517</v>
      </c>
      <c r="N667" s="2" t="str">
        <f>HYPERLINK("http://twitter.com/jcmack03/status/1788291924283023617")</f>
        <v>http://twitter.com/jcmack03/status/1788291924283023617</v>
      </c>
      <c r="O667" s="2" t="str">
        <f>HYPERLINK("https://www.indyeleven.com/news/2024/05/08/indiana-billionaire-joins-indy-eleven-ownership-group/")</f>
        <v>https://www.indyeleven.com/news/2024/05/08/indiana-billionaire-joins-indy-eleven-ownership-group/</v>
      </c>
    </row>
    <row r="668" spans="1:15" ht="52.8" x14ac:dyDescent="0.3">
      <c r="A668" s="2" t="s">
        <v>1252</v>
      </c>
      <c r="B668" s="2" t="s">
        <v>3338</v>
      </c>
      <c r="C668" s="2" t="s">
        <v>3339</v>
      </c>
      <c r="D668" s="2" t="s">
        <v>3340</v>
      </c>
      <c r="E668" s="2" t="str">
        <f>HYPERLINK("http://twitter.com/jared_ramsey22")</f>
        <v>http://twitter.com/jared_ramsey22</v>
      </c>
      <c r="F668" s="2" t="str">
        <f>HYPERLINK("https://muckrack.com/jared-ramsey-4")</f>
        <v>https://muckrack.com/jared-ramsey-4</v>
      </c>
      <c r="G668" s="2">
        <v>1237</v>
      </c>
      <c r="H668" s="2" t="s">
        <v>2039</v>
      </c>
      <c r="I668" s="2" t="s">
        <v>3341</v>
      </c>
      <c r="J668" s="2" t="s">
        <v>2706</v>
      </c>
      <c r="K668" s="2" t="s">
        <v>688</v>
      </c>
      <c r="L668" s="2" t="s">
        <v>3562</v>
      </c>
      <c r="M668" s="5">
        <v>45420.513854166667</v>
      </c>
      <c r="N668" s="2" t="str">
        <f>HYPERLINK("http://twitter.com/jared_ramsey22/status/1788242446113026393")</f>
        <v>http://twitter.com/jared_ramsey22/status/1788242446113026393</v>
      </c>
      <c r="O668" s="2" t="str">
        <f>HYPERLINK("https://www.freep.com/story/sports/2024/05/08/detroit-city-fc-upset-us-open-cup-houston-dynamo-social-media-reaction/73612350007/")</f>
        <v>https://www.freep.com/story/sports/2024/05/08/detroit-city-fc-upset-us-open-cup-houston-dynamo-social-media-reaction/73612350007/</v>
      </c>
    </row>
    <row r="669" spans="1:15" ht="52.8" x14ac:dyDescent="0.3">
      <c r="A669" s="2" t="s">
        <v>3563</v>
      </c>
      <c r="B669" s="2" t="s">
        <v>3564</v>
      </c>
      <c r="C669" s="2" t="s">
        <v>3565</v>
      </c>
      <c r="D669" s="2" t="s">
        <v>3566</v>
      </c>
      <c r="E669" s="2" t="str">
        <f>HYPERLINK("http://twitter.com/elrick")</f>
        <v>http://twitter.com/elrick</v>
      </c>
      <c r="F669" s="2" t="str">
        <f>HYPERLINK("https://muckrack.com/elrick")</f>
        <v>https://muckrack.com/elrick</v>
      </c>
      <c r="G669" s="2">
        <v>12508</v>
      </c>
      <c r="H669" s="2" t="s">
        <v>3567</v>
      </c>
      <c r="I669" s="2" t="s">
        <v>3568</v>
      </c>
      <c r="J669" s="2" t="s">
        <v>3569</v>
      </c>
      <c r="K669" s="2" t="s">
        <v>3570</v>
      </c>
      <c r="L669" s="2" t="s">
        <v>3571</v>
      </c>
      <c r="M669" s="5">
        <v>45421.233298611107</v>
      </c>
      <c r="N669" s="2" t="str">
        <f>HYPERLINK("http://twitter.com/elrick/status/1788503162103492652")</f>
        <v>http://twitter.com/elrick/status/1788503162103492652</v>
      </c>
      <c r="O669" s="2" t="str">
        <f>HYPERLINK("https://www.freep.com/story/sports/2024/05/08/detroit-city-fc-upset-us-open-cup-houston-dynamo-social-media-reaction/73612350007/")</f>
        <v>https://www.freep.com/story/sports/2024/05/08/detroit-city-fc-upset-us-open-cup-houston-dynamo-social-media-reaction/73612350007/</v>
      </c>
    </row>
    <row r="670" spans="1:15" ht="52.8" x14ac:dyDescent="0.3">
      <c r="A670" s="2" t="s">
        <v>993</v>
      </c>
      <c r="B670" s="2" t="s">
        <v>2289</v>
      </c>
      <c r="C670" s="2" t="s">
        <v>2981</v>
      </c>
      <c r="D670" s="2" t="s">
        <v>2982</v>
      </c>
      <c r="E670" s="2" t="str">
        <f>HYPERLINK("http://twitter.com/StephenWhit89")</f>
        <v>http://twitter.com/StephenWhit89</v>
      </c>
      <c r="F670" s="2" t="str">
        <f>HYPERLINK("https://muckrack.com/stephen-whitaker")</f>
        <v>https://muckrack.com/stephen-whitaker</v>
      </c>
      <c r="G670" s="2">
        <v>1127</v>
      </c>
      <c r="H670" s="2" t="s">
        <v>2983</v>
      </c>
      <c r="I670" s="2" t="s">
        <v>2984</v>
      </c>
      <c r="J670" s="2" t="s">
        <v>2033</v>
      </c>
      <c r="K670" s="2" t="s">
        <v>2985</v>
      </c>
      <c r="L670" s="2" t="s">
        <v>3572</v>
      </c>
      <c r="M670" s="5">
        <v>45420.490914351853</v>
      </c>
      <c r="N670" s="2" t="str">
        <f>HYPERLINK("http://twitter.com/StephenWhit89/status/1788234133556097367")</f>
        <v>http://twitter.com/StephenWhit89/status/1788234133556097367</v>
      </c>
      <c r="O670" s="2" t="str">
        <f>HYPERLINK("https://www.sanantoniofc.com/news/2024/05/08/san-antonio-fc-adds-five-on-usl-academy-agreements/")</f>
        <v>https://www.sanantoniofc.com/news/2024/05/08/san-antonio-fc-adds-five-on-usl-academy-agreements/</v>
      </c>
    </row>
    <row r="671" spans="1:15" ht="79.2" x14ac:dyDescent="0.3">
      <c r="A671" s="2" t="s">
        <v>1455</v>
      </c>
      <c r="B671" s="2" t="s">
        <v>3573</v>
      </c>
      <c r="C671" s="2" t="s">
        <v>3574</v>
      </c>
      <c r="D671" s="2" t="s">
        <v>3575</v>
      </c>
      <c r="E671" s="2" t="str">
        <f>HYPERLINK("http://twitter.com/emilyskeogh")</f>
        <v>http://twitter.com/emilyskeogh</v>
      </c>
      <c r="F671" s="2" t="str">
        <f>HYPERLINK("https://muckrack.com/emily-keogh-1")</f>
        <v>https://muckrack.com/emily-keogh-1</v>
      </c>
      <c r="G671" s="2">
        <v>2409</v>
      </c>
      <c r="H671" s="2" t="s">
        <v>3576</v>
      </c>
      <c r="I671" s="2" t="s">
        <v>3577</v>
      </c>
      <c r="J671" s="2" t="s">
        <v>2033</v>
      </c>
      <c r="K671" s="2" t="s">
        <v>209</v>
      </c>
      <c r="L671" s="2" t="s">
        <v>3578</v>
      </c>
      <c r="M671" s="5">
        <v>45420.419976851852</v>
      </c>
      <c r="N671" s="2" t="str">
        <f>HYPERLINK("http://twitter.com/emilyskeogh/status/1788208425995845855")</f>
        <v>http://twitter.com/emilyskeogh/status/1788208425995845855</v>
      </c>
      <c r="O671" s="2" t="str">
        <f t="shared" ref="O671:O676" si="26">HYPERLINK("https://www.espn.com/soccer/story/_/id/40104835/welcome-wrexham-women-bright-future-ahead-mcelhenney-reynolds")</f>
        <v>https://www.espn.com/soccer/story/_/id/40104835/welcome-wrexham-women-bright-future-ahead-mcelhenney-reynolds</v>
      </c>
    </row>
    <row r="672" spans="1:15" ht="52.8" x14ac:dyDescent="0.3">
      <c r="A672" s="2" t="s">
        <v>1455</v>
      </c>
      <c r="B672" s="2" t="s">
        <v>3573</v>
      </c>
      <c r="C672" s="2" t="s">
        <v>3574</v>
      </c>
      <c r="D672" s="2" t="s">
        <v>3575</v>
      </c>
      <c r="E672" s="2" t="str">
        <f>HYPERLINK("http://twitter.com/emilyskeogh")</f>
        <v>http://twitter.com/emilyskeogh</v>
      </c>
      <c r="F672" s="2" t="str">
        <f>HYPERLINK("https://muckrack.com/emily-keogh-1")</f>
        <v>https://muckrack.com/emily-keogh-1</v>
      </c>
      <c r="G672" s="2">
        <v>2409</v>
      </c>
      <c r="H672" s="2" t="s">
        <v>3576</v>
      </c>
      <c r="I672" s="2" t="s">
        <v>3577</v>
      </c>
      <c r="J672" s="2" t="s">
        <v>2033</v>
      </c>
      <c r="K672" s="2" t="s">
        <v>209</v>
      </c>
      <c r="L672" s="2" t="s">
        <v>3579</v>
      </c>
      <c r="M672" s="5">
        <v>45420.49046296296</v>
      </c>
      <c r="N672" s="2" t="str">
        <f>HYPERLINK("http://twitter.com/emilyskeogh/status/1788233966765424945")</f>
        <v>http://twitter.com/emilyskeogh/status/1788233966765424945</v>
      </c>
      <c r="O672" s="2" t="str">
        <f t="shared" si="26"/>
        <v>https://www.espn.com/soccer/story/_/id/40104835/welcome-wrexham-women-bright-future-ahead-mcelhenney-reynolds</v>
      </c>
    </row>
    <row r="673" spans="1:15" ht="52.8" x14ac:dyDescent="0.3">
      <c r="A673" s="2" t="s">
        <v>1455</v>
      </c>
      <c r="B673" s="2" t="s">
        <v>3573</v>
      </c>
      <c r="C673" s="2" t="s">
        <v>3574</v>
      </c>
      <c r="D673" s="2" t="s">
        <v>3575</v>
      </c>
      <c r="E673" s="2" t="str">
        <f>HYPERLINK("http://twitter.com/emilyskeogh")</f>
        <v>http://twitter.com/emilyskeogh</v>
      </c>
      <c r="F673" s="2" t="str">
        <f>HYPERLINK("https://muckrack.com/emily-keogh-1")</f>
        <v>https://muckrack.com/emily-keogh-1</v>
      </c>
      <c r="G673" s="2">
        <v>2409</v>
      </c>
      <c r="H673" s="2" t="s">
        <v>3576</v>
      </c>
      <c r="I673" s="2" t="s">
        <v>3577</v>
      </c>
      <c r="J673" s="2" t="s">
        <v>2033</v>
      </c>
      <c r="K673" s="2" t="s">
        <v>209</v>
      </c>
      <c r="L673" s="2" t="s">
        <v>3580</v>
      </c>
      <c r="M673" s="5">
        <v>45426.427847222221</v>
      </c>
      <c r="N673" s="2" t="str">
        <f>HYPERLINK("http://twitter.com/emilyskeogh/status/1790385602338189510")</f>
        <v>http://twitter.com/emilyskeogh/status/1790385602338189510</v>
      </c>
      <c r="O673" s="2" t="str">
        <f t="shared" si="26"/>
        <v>https://www.espn.com/soccer/story/_/id/40104835/welcome-wrexham-women-bright-future-ahead-mcelhenney-reynolds</v>
      </c>
    </row>
    <row r="674" spans="1:15" ht="79.2" x14ac:dyDescent="0.3">
      <c r="A674" s="2" t="s">
        <v>3581</v>
      </c>
      <c r="B674" s="2" t="s">
        <v>3582</v>
      </c>
      <c r="C674" s="2" t="s">
        <v>3583</v>
      </c>
      <c r="D674" s="2" t="s">
        <v>3584</v>
      </c>
      <c r="E674" s="2" t="str">
        <f>HYPERLINK("http://twitter.com/JamesTylerESPN")</f>
        <v>http://twitter.com/JamesTylerESPN</v>
      </c>
      <c r="F674" s="2" t="str">
        <f>HYPERLINK("https://muckrack.com/james-tyler")</f>
        <v>https://muckrack.com/james-tyler</v>
      </c>
      <c r="G674" s="2">
        <v>14388</v>
      </c>
      <c r="H674" s="2" t="s">
        <v>3585</v>
      </c>
      <c r="I674" s="2" t="s">
        <v>3586</v>
      </c>
      <c r="J674" s="2" t="s">
        <v>2033</v>
      </c>
      <c r="K674" s="2" t="s">
        <v>3587</v>
      </c>
      <c r="L674" s="2" t="s">
        <v>3588</v>
      </c>
      <c r="M674" s="5">
        <v>45420.725682870368</v>
      </c>
      <c r="N674" s="2" t="str">
        <f>HYPERLINK("http://twitter.com/JamesTylerESPN/status/1788319209375543504")</f>
        <v>http://twitter.com/JamesTylerESPN/status/1788319209375543504</v>
      </c>
      <c r="O674" s="2" t="str">
        <f t="shared" si="26"/>
        <v>https://www.espn.com/soccer/story/_/id/40104835/welcome-wrexham-women-bright-future-ahead-mcelhenney-reynolds</v>
      </c>
    </row>
    <row r="675" spans="1:15" ht="79.2" x14ac:dyDescent="0.3">
      <c r="A675" s="2" t="s">
        <v>3589</v>
      </c>
      <c r="B675" s="2" t="s">
        <v>2343</v>
      </c>
      <c r="C675" s="2" t="s">
        <v>3590</v>
      </c>
      <c r="D675" s="2" t="s">
        <v>3591</v>
      </c>
      <c r="E675" s="2" t="str">
        <f>HYPERLINK("http://twitter.com/ByCSauertieg")</f>
        <v>http://twitter.com/ByCSauertieg</v>
      </c>
      <c r="F675" s="2" t="str">
        <f>HYPERLINK("https://muckrack.com/clay-sauertieg")</f>
        <v>https://muckrack.com/clay-sauertieg</v>
      </c>
      <c r="G675" s="2">
        <v>1512</v>
      </c>
      <c r="H675" s="2" t="s">
        <v>3592</v>
      </c>
      <c r="I675" s="2" t="s">
        <v>3593</v>
      </c>
      <c r="J675" s="2" t="s">
        <v>2033</v>
      </c>
      <c r="K675" s="2" t="s">
        <v>3594</v>
      </c>
      <c r="L675" s="2" t="s">
        <v>3588</v>
      </c>
      <c r="M675" s="5">
        <v>45420.729317129633</v>
      </c>
      <c r="N675" s="2" t="str">
        <f>HYPERLINK("http://twitter.com/ByCSauertieg/status/1788320525862748655")</f>
        <v>http://twitter.com/ByCSauertieg/status/1788320525862748655</v>
      </c>
      <c r="O675" s="2" t="str">
        <f t="shared" si="26"/>
        <v>https://www.espn.com/soccer/story/_/id/40104835/welcome-wrexham-women-bright-future-ahead-mcelhenney-reynolds</v>
      </c>
    </row>
    <row r="676" spans="1:15" ht="79.2" x14ac:dyDescent="0.3">
      <c r="A676" s="2" t="s">
        <v>1483</v>
      </c>
      <c r="B676" s="2" t="s">
        <v>3595</v>
      </c>
      <c r="C676" s="2" t="s">
        <v>3596</v>
      </c>
      <c r="D676" s="2" t="s">
        <v>3597</v>
      </c>
      <c r="E676" s="2" t="str">
        <f>HYPERLINK("http://twitter.com/lawson_sv")</f>
        <v>http://twitter.com/lawson_sv</v>
      </c>
      <c r="F676" s="2" t="str">
        <f>HYPERLINK("https://muckrack.com/sophie-lawson")</f>
        <v>https://muckrack.com/sophie-lawson</v>
      </c>
      <c r="G676" s="2">
        <v>6837</v>
      </c>
      <c r="H676" s="2" t="s">
        <v>3598</v>
      </c>
      <c r="I676" s="2" t="s">
        <v>3599</v>
      </c>
      <c r="J676" s="2" t="s">
        <v>2515</v>
      </c>
      <c r="K676" s="2" t="s">
        <v>209</v>
      </c>
      <c r="L676" s="2" t="s">
        <v>3588</v>
      </c>
      <c r="M676" s="5">
        <v>45422.563854166663</v>
      </c>
      <c r="N676" s="2" t="str">
        <f>HYPERLINK("http://twitter.com/lawson_sv/status/1788985341216505955")</f>
        <v>http://twitter.com/lawson_sv/status/1788985341216505955</v>
      </c>
      <c r="O676" s="2" t="str">
        <f t="shared" si="26"/>
        <v>https://www.espn.com/soccer/story/_/id/40104835/welcome-wrexham-women-bright-future-ahead-mcelhenney-reynolds</v>
      </c>
    </row>
    <row r="677" spans="1:15" ht="52.8" x14ac:dyDescent="0.3">
      <c r="A677" s="2" t="s">
        <v>1457</v>
      </c>
      <c r="B677" s="2" t="s">
        <v>2045</v>
      </c>
      <c r="C677" s="2" t="s">
        <v>3600</v>
      </c>
      <c r="D677" s="2" t="s">
        <v>3601</v>
      </c>
      <c r="E677" s="2" t="str">
        <f>HYPERLINK("http://twitter.com/JamesOlley")</f>
        <v>http://twitter.com/JamesOlley</v>
      </c>
      <c r="F677" s="2" t="str">
        <f>HYPERLINK("https://muckrack.com/jamesolley")</f>
        <v>https://muckrack.com/jamesolley</v>
      </c>
      <c r="G677" s="2">
        <v>131546</v>
      </c>
      <c r="H677" s="2" t="s">
        <v>3598</v>
      </c>
      <c r="I677" s="2" t="s">
        <v>3602</v>
      </c>
      <c r="J677" s="2" t="s">
        <v>2515</v>
      </c>
      <c r="K677" s="2" t="s">
        <v>209</v>
      </c>
      <c r="L677" s="2" t="s">
        <v>3603</v>
      </c>
      <c r="M677" s="5">
        <v>45420.216979166667</v>
      </c>
      <c r="N677" s="2" t="str">
        <f>HYPERLINK("http://twitter.com/JamesOlley/status/1788134860864868737")</f>
        <v>http://twitter.com/JamesOlley/status/1788134860864868737</v>
      </c>
      <c r="O677" s="2" t="str">
        <f>HYPERLINK("https://www.espn.com/soccer/story/_/id/40069726/how-brightons-transfer-mastery-broke-premier-league-profit-record")</f>
        <v>https://www.espn.com/soccer/story/_/id/40069726/how-brightons-transfer-mastery-broke-premier-league-profit-record</v>
      </c>
    </row>
    <row r="678" spans="1:15" ht="52.8" x14ac:dyDescent="0.3">
      <c r="A678" s="2" t="s">
        <v>3604</v>
      </c>
      <c r="B678" s="2" t="s">
        <v>3605</v>
      </c>
      <c r="C678" s="2" t="s">
        <v>3606</v>
      </c>
      <c r="D678" s="2" t="s">
        <v>3607</v>
      </c>
      <c r="E678" s="2" t="str">
        <f>HYPERLINK("http://twitter.com/TonyMabertESPN")</f>
        <v>http://twitter.com/TonyMabertESPN</v>
      </c>
      <c r="F678" s="2" t="str">
        <f>HYPERLINK("https://muckrack.com/tony-mabert")</f>
        <v>https://muckrack.com/tony-mabert</v>
      </c>
      <c r="G678" s="2">
        <v>2189</v>
      </c>
      <c r="H678" s="2" t="s">
        <v>3608</v>
      </c>
      <c r="I678" s="2" t="s">
        <v>3609</v>
      </c>
      <c r="J678" s="2" t="s">
        <v>2515</v>
      </c>
      <c r="K678" s="2" t="s">
        <v>209</v>
      </c>
      <c r="L678" s="2" t="s">
        <v>3610</v>
      </c>
      <c r="M678" s="5">
        <v>45420.422256944446</v>
      </c>
      <c r="N678" s="2" t="str">
        <f>HYPERLINK("http://twitter.com/TonyMabertESPN/status/1788209249421816036")</f>
        <v>http://twitter.com/TonyMabertESPN/status/1788209249421816036</v>
      </c>
      <c r="O678" s="2" t="str">
        <f>HYPERLINK("https://www.espn.com/soccer/story/_/id/40069726/how-brightons-transfer-mastery-broke-premier-league-profit-record")</f>
        <v>https://www.espn.com/soccer/story/_/id/40069726/how-brightons-transfer-mastery-broke-premier-league-profit-record</v>
      </c>
    </row>
    <row r="679" spans="1:15" ht="52.8" x14ac:dyDescent="0.3">
      <c r="A679" s="2" t="s">
        <v>3611</v>
      </c>
      <c r="B679" s="2" t="s">
        <v>2068</v>
      </c>
      <c r="C679" s="2" t="s">
        <v>3612</v>
      </c>
      <c r="D679" s="2" t="s">
        <v>3613</v>
      </c>
      <c r="E679" s="2" t="str">
        <f>HYPERLINK("http://twitter.com/tomhamiltonespn")</f>
        <v>http://twitter.com/tomhamiltonespn</v>
      </c>
      <c r="F679" s="2" t="str">
        <f>HYPERLINK("https://muckrack.com/tom-hamilton")</f>
        <v>https://muckrack.com/tom-hamilton</v>
      </c>
      <c r="G679" s="2">
        <v>9803</v>
      </c>
      <c r="H679" s="2" t="s">
        <v>2075</v>
      </c>
      <c r="I679" s="2" t="s">
        <v>3614</v>
      </c>
      <c r="J679" s="2" t="s">
        <v>2515</v>
      </c>
      <c r="K679" s="2" t="s">
        <v>209</v>
      </c>
      <c r="L679" s="2" t="s">
        <v>3615</v>
      </c>
      <c r="M679" s="5">
        <v>45420.264166666668</v>
      </c>
      <c r="N679" s="2" t="str">
        <f>HYPERLINK("http://twitter.com/tomhamiltonespn/status/1788151962921304334")</f>
        <v>http://twitter.com/tomhamiltonespn/status/1788151962921304334</v>
      </c>
      <c r="O679" s="2" t="str">
        <f>HYPERLINK("https://www.espn.co.uk/football/story/_/id/40069726/how-brightons-transfer-mastery-broke-premier-league-profit-record")</f>
        <v>https://www.espn.co.uk/football/story/_/id/40069726/how-brightons-transfer-mastery-broke-premier-league-profit-record</v>
      </c>
    </row>
    <row r="680" spans="1:15" ht="52.8" x14ac:dyDescent="0.3">
      <c r="A680" s="2" t="s">
        <v>3616</v>
      </c>
      <c r="B680" s="2" t="s">
        <v>3617</v>
      </c>
      <c r="C680" s="2" t="s">
        <v>3618</v>
      </c>
      <c r="D680" s="2" t="s">
        <v>3619</v>
      </c>
      <c r="E680" s="2" t="str">
        <f>HYPERLINK("http://twitter.com/vtuss")</f>
        <v>http://twitter.com/vtuss</v>
      </c>
      <c r="F680" s="2" t="str">
        <f>HYPERLINK("https://muckrack.com/vtuss")</f>
        <v>https://muckrack.com/vtuss</v>
      </c>
      <c r="G680" s="2">
        <v>2661</v>
      </c>
      <c r="H680" s="2" t="s">
        <v>3620</v>
      </c>
      <c r="I680" s="2" t="s">
        <v>3621</v>
      </c>
      <c r="J680" s="2" t="s">
        <v>3622</v>
      </c>
      <c r="K680" s="2" t="s">
        <v>932</v>
      </c>
      <c r="L680" s="2" t="s">
        <v>3623</v>
      </c>
      <c r="M680" s="5">
        <v>45419.993483796286</v>
      </c>
      <c r="N680" s="2" t="str">
        <f>HYPERLINK("http://twitter.com/vtuss/status/1788053869722775554")</f>
        <v>http://twitter.com/vtuss/status/1788053869722775554</v>
      </c>
      <c r="O680" s="2" t="str">
        <f>HYPERLINK("https://www.freep.com/story/sports/2024/05/07/detroit-city-fc-history-game-score-recap-houston-us-open-cup/73609312007/")</f>
        <v>https://www.freep.com/story/sports/2024/05/07/detroit-city-fc-history-game-score-recap-houston-us-open-cup/73609312007/</v>
      </c>
    </row>
    <row r="681" spans="1:15" ht="66" x14ac:dyDescent="0.3">
      <c r="A681" s="2" t="s">
        <v>1464</v>
      </c>
      <c r="B681" s="2" t="s">
        <v>2363</v>
      </c>
      <c r="C681" s="2"/>
      <c r="D681" s="2" t="s">
        <v>3624</v>
      </c>
      <c r="E681" s="2" t="str">
        <f>HYPERLINK("http://twitter.com/cesarhfutbol")</f>
        <v>http://twitter.com/cesarhfutbol</v>
      </c>
      <c r="F681" s="2" t="str">
        <f>HYPERLINK("https://muckrack.com/cesar-hernandez-1")</f>
        <v>https://muckrack.com/cesar-hernandez-1</v>
      </c>
      <c r="G681" s="2">
        <v>11656</v>
      </c>
      <c r="H681" s="2" t="s">
        <v>3625</v>
      </c>
      <c r="I681" s="2" t="s">
        <v>3626</v>
      </c>
      <c r="J681" s="2" t="s">
        <v>2529</v>
      </c>
      <c r="K681" s="2" t="s">
        <v>209</v>
      </c>
      <c r="L681" s="2" t="s">
        <v>3627</v>
      </c>
      <c r="M681" s="5">
        <v>45419.466724537036</v>
      </c>
      <c r="N681" s="2" t="str">
        <f>HYPERLINK("http://twitter.com/cesarhfutbol/status/1787862976260923553")</f>
        <v>http://twitter.com/cesarhfutbol/status/1787862976260923553</v>
      </c>
      <c r="O681" s="2" t="str">
        <f>HYPERLINK("https://www.espn.com/soccer/story/_/id/40083423/us-open-cup-crossroads-mls-change-lies-ahead-americas-oldest-tournament")</f>
        <v>https://www.espn.com/soccer/story/_/id/40083423/us-open-cup-crossroads-mls-change-lies-ahead-americas-oldest-tournament</v>
      </c>
    </row>
    <row r="682" spans="1:15" ht="52.8" x14ac:dyDescent="0.3">
      <c r="A682" s="2" t="s">
        <v>3279</v>
      </c>
      <c r="B682" s="2" t="s">
        <v>3280</v>
      </c>
      <c r="C682" s="2" t="s">
        <v>3281</v>
      </c>
      <c r="D682" s="2" t="s">
        <v>3282</v>
      </c>
      <c r="E682" s="2" t="str">
        <f>HYPERLINK("http://twitter.com/JeffreyCarlisle")</f>
        <v>http://twitter.com/JeffreyCarlisle</v>
      </c>
      <c r="F682" s="2" t="str">
        <f>HYPERLINK("https://muckrack.com/jeff-carlisle")</f>
        <v>https://muckrack.com/jeff-carlisle</v>
      </c>
      <c r="G682" s="2">
        <v>56780</v>
      </c>
      <c r="H682" s="2"/>
      <c r="I682" s="2" t="s">
        <v>3283</v>
      </c>
      <c r="J682" s="2" t="s">
        <v>2033</v>
      </c>
      <c r="K682" s="2" t="s">
        <v>209</v>
      </c>
      <c r="L682" s="2" t="s">
        <v>3628</v>
      </c>
      <c r="M682" s="5">
        <v>45419.574895833342</v>
      </c>
      <c r="N682" s="2" t="str">
        <f>HYPERLINK("http://twitter.com/JeffreyCarlisle/status/1787902178830827708")</f>
        <v>http://twitter.com/JeffreyCarlisle/status/1787902178830827708</v>
      </c>
      <c r="O682" s="2" t="str">
        <f>HYPERLINK("https://www.espn.com/soccer/story/_/id/40083423/us-open-cup-crossroads-mls-change-lies-ahead-americas-oldest-tournament")</f>
        <v>https://www.espn.com/soccer/story/_/id/40083423/us-open-cup-crossroads-mls-change-lies-ahead-americas-oldest-tournament</v>
      </c>
    </row>
    <row r="683" spans="1:15" ht="52.8" x14ac:dyDescent="0.3">
      <c r="A683" s="2" t="s">
        <v>2245</v>
      </c>
      <c r="B683" s="2" t="s">
        <v>2246</v>
      </c>
      <c r="C683" s="2" t="s">
        <v>2247</v>
      </c>
      <c r="D683" s="2" t="s">
        <v>2248</v>
      </c>
      <c r="E683" s="2" t="str">
        <f>HYPERLINK("http://twitter.com/thegoalkeeper")</f>
        <v>http://twitter.com/thegoalkeeper</v>
      </c>
      <c r="F683" s="2" t="str">
        <f>HYPERLINK("https://muckrack.com/jonathan-tannenwald")</f>
        <v>https://muckrack.com/jonathan-tannenwald</v>
      </c>
      <c r="G683" s="2">
        <v>29037</v>
      </c>
      <c r="H683" s="2" t="s">
        <v>2249</v>
      </c>
      <c r="I683" s="2" t="s">
        <v>2250</v>
      </c>
      <c r="J683" s="2" t="s">
        <v>2251</v>
      </c>
      <c r="K683" s="2" t="s">
        <v>2252</v>
      </c>
      <c r="L683" s="2" t="s">
        <v>3628</v>
      </c>
      <c r="M683" s="5">
        <v>45419.578148148154</v>
      </c>
      <c r="N683" s="2" t="str">
        <f>HYPERLINK("http://twitter.com/thegoalkeeper/status/1787903358348509690")</f>
        <v>http://twitter.com/thegoalkeeper/status/1787903358348509690</v>
      </c>
      <c r="O683" s="2" t="str">
        <f>HYPERLINK("https://www.espn.com/soccer/story/_/id/40083423/us-open-cup-crossroads-mls-change-lies-ahead-americas-oldest-tournament")</f>
        <v>https://www.espn.com/soccer/story/_/id/40083423/us-open-cup-crossroads-mls-change-lies-ahead-americas-oldest-tournament</v>
      </c>
    </row>
    <row r="684" spans="1:15" ht="52.8" x14ac:dyDescent="0.3">
      <c r="A684" s="2" t="s">
        <v>3581</v>
      </c>
      <c r="B684" s="2" t="s">
        <v>3582</v>
      </c>
      <c r="C684" s="2" t="s">
        <v>3583</v>
      </c>
      <c r="D684" s="2" t="s">
        <v>3584</v>
      </c>
      <c r="E684" s="2" t="str">
        <f>HYPERLINK("http://twitter.com/JamesTylerESPN")</f>
        <v>http://twitter.com/JamesTylerESPN</v>
      </c>
      <c r="F684" s="2" t="str">
        <f>HYPERLINK("https://muckrack.com/james-tyler")</f>
        <v>https://muckrack.com/james-tyler</v>
      </c>
      <c r="G684" s="2">
        <v>14388</v>
      </c>
      <c r="H684" s="2" t="s">
        <v>3585</v>
      </c>
      <c r="I684" s="2" t="s">
        <v>3586</v>
      </c>
      <c r="J684" s="2" t="s">
        <v>2033</v>
      </c>
      <c r="K684" s="2" t="s">
        <v>3587</v>
      </c>
      <c r="L684" s="2" t="s">
        <v>3628</v>
      </c>
      <c r="M684" s="5">
        <v>45419.704143518517</v>
      </c>
      <c r="N684" s="2" t="str">
        <f>HYPERLINK("http://twitter.com/JamesTylerESPN/status/1787949015809532366")</f>
        <v>http://twitter.com/JamesTylerESPN/status/1787949015809532366</v>
      </c>
      <c r="O684" s="2" t="str">
        <f>HYPERLINK("https://www.espn.com/soccer/story/_/id/40083423/us-open-cup-crossroads-mls-change-lies-ahead-americas-oldest-tournament")</f>
        <v>https://www.espn.com/soccer/story/_/id/40083423/us-open-cup-crossroads-mls-change-lies-ahead-americas-oldest-tournament</v>
      </c>
    </row>
    <row r="685" spans="1:15" ht="66" x14ac:dyDescent="0.3">
      <c r="A685" s="2" t="s">
        <v>2119</v>
      </c>
      <c r="B685" s="2" t="s">
        <v>2120</v>
      </c>
      <c r="C685" s="2" t="s">
        <v>2121</v>
      </c>
      <c r="D685" s="2" t="s">
        <v>2122</v>
      </c>
      <c r="E685" s="2" t="str">
        <f>HYPERLINK("http://twitter.com/starwatchtim")</f>
        <v>http://twitter.com/starwatchtim</v>
      </c>
      <c r="F685" s="2" t="str">
        <f>HYPERLINK("https://muckrack.com/starwatchtim")</f>
        <v>https://muckrack.com/starwatchtim</v>
      </c>
      <c r="G685" s="2">
        <v>7285</v>
      </c>
      <c r="H685" s="2" t="s">
        <v>2123</v>
      </c>
      <c r="I685" s="2" t="s">
        <v>2124</v>
      </c>
      <c r="J685" s="2" t="s">
        <v>2125</v>
      </c>
      <c r="K685" s="2" t="s">
        <v>321</v>
      </c>
      <c r="L685" s="2" t="s">
        <v>3629</v>
      </c>
      <c r="M685" s="5">
        <v>45419.280624999999</v>
      </c>
      <c r="N685" s="2" t="str">
        <f>HYPERLINK("http://twitter.com/starwatchtim/status/1787795536273138093")</f>
        <v>http://twitter.com/starwatchtim/status/1787795536273138093</v>
      </c>
      <c r="O685" s="2" t="str">
        <f t="shared" ref="O685:O694" si="27">HYPERLINK("https://www.indystar.com/story/opinion/columnists/james-briggs/2024/05/07/indianapolis-mls-bid-is-stronger-without-indy-eleven/73586265007/")</f>
        <v>https://www.indystar.com/story/opinion/columnists/james-briggs/2024/05/07/indianapolis-mls-bid-is-stronger-without-indy-eleven/73586265007/</v>
      </c>
    </row>
    <row r="686" spans="1:15" ht="66" x14ac:dyDescent="0.3">
      <c r="A686" s="2" t="s">
        <v>2119</v>
      </c>
      <c r="B686" s="2" t="s">
        <v>2120</v>
      </c>
      <c r="C686" s="2" t="s">
        <v>2121</v>
      </c>
      <c r="D686" s="2" t="s">
        <v>2122</v>
      </c>
      <c r="E686" s="2" t="str">
        <f>HYPERLINK("http://twitter.com/starwatchtim")</f>
        <v>http://twitter.com/starwatchtim</v>
      </c>
      <c r="F686" s="2" t="str">
        <f>HYPERLINK("https://muckrack.com/starwatchtim")</f>
        <v>https://muckrack.com/starwatchtim</v>
      </c>
      <c r="G686" s="2">
        <v>7285</v>
      </c>
      <c r="H686" s="2" t="s">
        <v>2123</v>
      </c>
      <c r="I686" s="2" t="s">
        <v>2124</v>
      </c>
      <c r="J686" s="2" t="s">
        <v>2125</v>
      </c>
      <c r="K686" s="2" t="s">
        <v>321</v>
      </c>
      <c r="L686" s="2" t="s">
        <v>3630</v>
      </c>
      <c r="M686" s="5">
        <v>45419.426608796297</v>
      </c>
      <c r="N686" s="2" t="str">
        <f>HYPERLINK("http://twitter.com/starwatchtim/status/1787848440853962848")</f>
        <v>http://twitter.com/starwatchtim/status/1787848440853962848</v>
      </c>
      <c r="O686" s="2" t="str">
        <f t="shared" si="27"/>
        <v>https://www.indystar.com/story/opinion/columnists/james-briggs/2024/05/07/indianapolis-mls-bid-is-stronger-without-indy-eleven/73586265007/</v>
      </c>
    </row>
    <row r="687" spans="1:15" ht="66" x14ac:dyDescent="0.3">
      <c r="A687" s="2" t="s">
        <v>2119</v>
      </c>
      <c r="B687" s="2" t="s">
        <v>2120</v>
      </c>
      <c r="C687" s="2" t="s">
        <v>2121</v>
      </c>
      <c r="D687" s="2" t="s">
        <v>2122</v>
      </c>
      <c r="E687" s="2" t="str">
        <f>HYPERLINK("http://twitter.com/starwatchtim")</f>
        <v>http://twitter.com/starwatchtim</v>
      </c>
      <c r="F687" s="2" t="str">
        <f>HYPERLINK("https://muckrack.com/starwatchtim")</f>
        <v>https://muckrack.com/starwatchtim</v>
      </c>
      <c r="G687" s="2">
        <v>7285</v>
      </c>
      <c r="H687" s="2" t="s">
        <v>2123</v>
      </c>
      <c r="I687" s="2" t="s">
        <v>2124</v>
      </c>
      <c r="J687" s="2" t="s">
        <v>2125</v>
      </c>
      <c r="K687" s="2" t="s">
        <v>321</v>
      </c>
      <c r="L687" s="2" t="s">
        <v>3631</v>
      </c>
      <c r="M687" s="5">
        <v>45419.458749999998</v>
      </c>
      <c r="N687" s="2" t="str">
        <f>HYPERLINK("http://twitter.com/starwatchtim/status/1787860087131758895")</f>
        <v>http://twitter.com/starwatchtim/status/1787860087131758895</v>
      </c>
      <c r="O687" s="2" t="str">
        <f t="shared" si="27"/>
        <v>https://www.indystar.com/story/opinion/columnists/james-briggs/2024/05/07/indianapolis-mls-bid-is-stronger-without-indy-eleven/73586265007/</v>
      </c>
    </row>
    <row r="688" spans="1:15" ht="66" x14ac:dyDescent="0.3">
      <c r="A688" s="2" t="s">
        <v>2119</v>
      </c>
      <c r="B688" s="2" t="s">
        <v>2120</v>
      </c>
      <c r="C688" s="2" t="s">
        <v>2121</v>
      </c>
      <c r="D688" s="2" t="s">
        <v>2122</v>
      </c>
      <c r="E688" s="2" t="str">
        <f>HYPERLINK("http://twitter.com/starwatchtim")</f>
        <v>http://twitter.com/starwatchtim</v>
      </c>
      <c r="F688" s="2" t="str">
        <f>HYPERLINK("https://muckrack.com/starwatchtim")</f>
        <v>https://muckrack.com/starwatchtim</v>
      </c>
      <c r="G688" s="2">
        <v>7285</v>
      </c>
      <c r="H688" s="2" t="s">
        <v>2123</v>
      </c>
      <c r="I688" s="2" t="s">
        <v>2124</v>
      </c>
      <c r="J688" s="2" t="s">
        <v>2125</v>
      </c>
      <c r="K688" s="2" t="s">
        <v>321</v>
      </c>
      <c r="L688" s="2" t="s">
        <v>3632</v>
      </c>
      <c r="M688" s="5">
        <v>45419.624641203707</v>
      </c>
      <c r="N688" s="2" t="str">
        <f>HYPERLINK("http://twitter.com/starwatchtim/status/1787920206301450262")</f>
        <v>http://twitter.com/starwatchtim/status/1787920206301450262</v>
      </c>
      <c r="O688" s="2" t="str">
        <f t="shared" si="27"/>
        <v>https://www.indystar.com/story/opinion/columnists/james-briggs/2024/05/07/indianapolis-mls-bid-is-stronger-without-indy-eleven/73586265007/</v>
      </c>
    </row>
    <row r="689" spans="1:15" ht="66" x14ac:dyDescent="0.3">
      <c r="A689" s="2" t="s">
        <v>664</v>
      </c>
      <c r="B689" s="2" t="s">
        <v>2289</v>
      </c>
      <c r="C689" s="2" t="s">
        <v>2425</v>
      </c>
      <c r="D689" s="2" t="s">
        <v>2426</v>
      </c>
      <c r="E689" s="2" t="str">
        <f>HYPERLINK("http://twitter.com/Brian_Haenchen")</f>
        <v>http://twitter.com/Brian_Haenchen</v>
      </c>
      <c r="F689" s="2" t="str">
        <f>HYPERLINK("https://muckrack.com/brian_haenchen")</f>
        <v>https://muckrack.com/brian_haenchen</v>
      </c>
      <c r="G689" s="2">
        <v>10028</v>
      </c>
      <c r="H689" s="2" t="s">
        <v>1972</v>
      </c>
      <c r="I689" s="2" t="s">
        <v>2427</v>
      </c>
      <c r="J689" s="2" t="s">
        <v>2000</v>
      </c>
      <c r="K689" s="2" t="s">
        <v>321</v>
      </c>
      <c r="L689" s="2" t="s">
        <v>3633</v>
      </c>
      <c r="M689" s="5">
        <v>45419.295844907407</v>
      </c>
      <c r="N689" s="2" t="str">
        <f>HYPERLINK("http://twitter.com/Brian_Haenchen/status/1787801051862602061")</f>
        <v>http://twitter.com/Brian_Haenchen/status/1787801051862602061</v>
      </c>
      <c r="O689" s="2" t="str">
        <f t="shared" si="27"/>
        <v>https://www.indystar.com/story/opinion/columnists/james-briggs/2024/05/07/indianapolis-mls-bid-is-stronger-without-indy-eleven/73586265007/</v>
      </c>
    </row>
    <row r="690" spans="1:15" ht="66" x14ac:dyDescent="0.3">
      <c r="A690" s="2" t="s">
        <v>1535</v>
      </c>
      <c r="B690" s="2" t="s">
        <v>3499</v>
      </c>
      <c r="C690" s="2" t="s">
        <v>3500</v>
      </c>
      <c r="D690" s="2" t="s">
        <v>3501</v>
      </c>
      <c r="E690" s="2" t="str">
        <f>HYPERLINK("http://twitter.com/adamwren")</f>
        <v>http://twitter.com/adamwren</v>
      </c>
      <c r="F690" s="2" t="str">
        <f>HYPERLINK("https://muckrack.com/adam-wren")</f>
        <v>https://muckrack.com/adam-wren</v>
      </c>
      <c r="G690" s="2">
        <v>39813</v>
      </c>
      <c r="H690" s="2"/>
      <c r="I690" s="2" t="s">
        <v>3502</v>
      </c>
      <c r="J690" s="2" t="s">
        <v>3407</v>
      </c>
      <c r="K690" s="2" t="s">
        <v>3503</v>
      </c>
      <c r="L690" s="2" t="s">
        <v>3634</v>
      </c>
      <c r="M690" s="5">
        <v>45419.403981481482</v>
      </c>
      <c r="N690" s="2" t="str">
        <f>HYPERLINK("http://twitter.com/adamwren/status/1787840239265845616")</f>
        <v>http://twitter.com/adamwren/status/1787840239265845616</v>
      </c>
      <c r="O690" s="2" t="str">
        <f t="shared" si="27"/>
        <v>https://www.indystar.com/story/opinion/columnists/james-briggs/2024/05/07/indianapolis-mls-bid-is-stronger-without-indy-eleven/73586265007/</v>
      </c>
    </row>
    <row r="691" spans="1:15" ht="66" x14ac:dyDescent="0.3">
      <c r="A691" s="2" t="s">
        <v>3635</v>
      </c>
      <c r="B691" s="2" t="s">
        <v>3636</v>
      </c>
      <c r="C691" s="2" t="s">
        <v>3637</v>
      </c>
      <c r="D691" s="2" t="s">
        <v>3638</v>
      </c>
      <c r="E691" s="2" t="str">
        <f>HYPERLINK("http://twitter.com/AttyAbdul")</f>
        <v>http://twitter.com/AttyAbdul</v>
      </c>
      <c r="F691" s="2" t="str">
        <f>HYPERLINK("https://muckrack.com/abdul-hakim-shabazz")</f>
        <v>https://muckrack.com/abdul-hakim-shabazz</v>
      </c>
      <c r="G691" s="2">
        <v>30730</v>
      </c>
      <c r="H691" s="2" t="s">
        <v>2132</v>
      </c>
      <c r="I691" s="2" t="s">
        <v>3639</v>
      </c>
      <c r="J691" s="2" t="s">
        <v>2008</v>
      </c>
      <c r="K691" s="2" t="s">
        <v>3640</v>
      </c>
      <c r="L691" s="2" t="s">
        <v>3641</v>
      </c>
      <c r="M691" s="5">
        <v>45419.415208333332</v>
      </c>
      <c r="N691" s="2" t="str">
        <f>HYPERLINK("http://twitter.com/AttyAbdul/status/1787844308734783807")</f>
        <v>http://twitter.com/AttyAbdul/status/1787844308734783807</v>
      </c>
      <c r="O691" s="2" t="str">
        <f t="shared" si="27"/>
        <v>https://www.indystar.com/story/opinion/columnists/james-briggs/2024/05/07/indianapolis-mls-bid-is-stronger-without-indy-eleven/73586265007/</v>
      </c>
    </row>
    <row r="692" spans="1:15" ht="66" x14ac:dyDescent="0.3">
      <c r="A692" s="2" t="s">
        <v>616</v>
      </c>
      <c r="B692" s="2" t="s">
        <v>1976</v>
      </c>
      <c r="C692" s="2" t="s">
        <v>1977</v>
      </c>
      <c r="D692" s="2" t="s">
        <v>1978</v>
      </c>
      <c r="E692" s="2" t="str">
        <f>HYPERLINK("http://twitter.com/ryanmartin")</f>
        <v>http://twitter.com/ryanmartin</v>
      </c>
      <c r="F692" s="2" t="str">
        <f>HYPERLINK("https://muckrack.com/ryanmartin")</f>
        <v>https://muckrack.com/ryanmartin</v>
      </c>
      <c r="G692" s="2">
        <v>11135</v>
      </c>
      <c r="H692" s="2" t="s">
        <v>1972</v>
      </c>
      <c r="I692" s="2" t="s">
        <v>1979</v>
      </c>
      <c r="J692" s="2" t="s">
        <v>1954</v>
      </c>
      <c r="K692" s="2" t="s">
        <v>1974</v>
      </c>
      <c r="L692" s="2" t="s">
        <v>3642</v>
      </c>
      <c r="M692" s="5">
        <v>45419.424629629633</v>
      </c>
      <c r="N692" s="2" t="str">
        <f>HYPERLINK("http://twitter.com/ryanmartin/status/1787847724609507783")</f>
        <v>http://twitter.com/ryanmartin/status/1787847724609507783</v>
      </c>
      <c r="O692" s="2" t="str">
        <f t="shared" si="27"/>
        <v>https://www.indystar.com/story/opinion/columnists/james-briggs/2024/05/07/indianapolis-mls-bid-is-stronger-without-indy-eleven/73586265007/</v>
      </c>
    </row>
    <row r="693" spans="1:15" ht="66" x14ac:dyDescent="0.3">
      <c r="A693" s="2" t="s">
        <v>2436</v>
      </c>
      <c r="B693" s="2" t="s">
        <v>2437</v>
      </c>
      <c r="C693" s="2" t="s">
        <v>2438</v>
      </c>
      <c r="D693" s="2" t="s">
        <v>2439</v>
      </c>
      <c r="E693" s="2" t="str">
        <f>HYPERLINK("http://twitter.com/MattGlenesk")</f>
        <v>http://twitter.com/MattGlenesk</v>
      </c>
      <c r="F693" s="2" t="str">
        <f>HYPERLINK("https://muckrack.com/matthew-glenesk")</f>
        <v>https://muckrack.com/matthew-glenesk</v>
      </c>
      <c r="G693" s="2">
        <v>8773</v>
      </c>
      <c r="H693" s="2" t="s">
        <v>2440</v>
      </c>
      <c r="I693" s="2" t="s">
        <v>2441</v>
      </c>
      <c r="J693" s="2" t="s">
        <v>2000</v>
      </c>
      <c r="K693" s="2" t="s">
        <v>321</v>
      </c>
      <c r="L693" s="2" t="s">
        <v>3643</v>
      </c>
      <c r="M693" s="5">
        <v>45419.604826388888</v>
      </c>
      <c r="N693" s="2" t="str">
        <f>HYPERLINK("http://twitter.com/MattGlenesk/status/1787913024113701337")</f>
        <v>http://twitter.com/MattGlenesk/status/1787913024113701337</v>
      </c>
      <c r="O693" s="2" t="str">
        <f t="shared" si="27"/>
        <v>https://www.indystar.com/story/opinion/columnists/james-briggs/2024/05/07/indianapolis-mls-bid-is-stronger-without-indy-eleven/73586265007/</v>
      </c>
    </row>
    <row r="694" spans="1:15" ht="66" x14ac:dyDescent="0.3">
      <c r="A694" s="2" t="s">
        <v>3547</v>
      </c>
      <c r="B694" s="2" t="s">
        <v>2524</v>
      </c>
      <c r="C694" s="2" t="s">
        <v>3548</v>
      </c>
      <c r="D694" s="2" t="s">
        <v>3549</v>
      </c>
      <c r="E694" s="2" t="str">
        <f>HYPERLINK("http://twitter.com/ericlarsen_news")</f>
        <v>http://twitter.com/ericlarsen_news</v>
      </c>
      <c r="F694" s="2" t="str">
        <f>HYPERLINK("https://muckrack.com/eric-larsen")</f>
        <v>https://muckrack.com/eric-larsen</v>
      </c>
      <c r="G694" s="2">
        <v>1482</v>
      </c>
      <c r="H694" s="2" t="s">
        <v>2123</v>
      </c>
      <c r="I694" s="2" t="s">
        <v>3550</v>
      </c>
      <c r="J694" s="2" t="s">
        <v>1954</v>
      </c>
      <c r="K694" s="2" t="s">
        <v>321</v>
      </c>
      <c r="L694" s="2" t="s">
        <v>3644</v>
      </c>
      <c r="M694" s="5">
        <v>45419.886550925927</v>
      </c>
      <c r="N694" s="2" t="str">
        <f>HYPERLINK("http://twitter.com/ericlarsen_news/status/1788015118124519511")</f>
        <v>http://twitter.com/ericlarsen_news/status/1788015118124519511</v>
      </c>
      <c r="O694" s="2" t="str">
        <f t="shared" si="27"/>
        <v>https://www.indystar.com/story/opinion/columnists/james-briggs/2024/05/07/indianapolis-mls-bid-is-stronger-without-indy-eleven/73586265007/</v>
      </c>
    </row>
    <row r="695" spans="1:15" ht="39.6" x14ac:dyDescent="0.3">
      <c r="A695" s="2" t="s">
        <v>1656</v>
      </c>
      <c r="B695" s="2" t="s">
        <v>3415</v>
      </c>
      <c r="C695" s="2" t="s">
        <v>3416</v>
      </c>
      <c r="D695" s="2" t="s">
        <v>3417</v>
      </c>
      <c r="E695" s="2" t="str">
        <f>HYPERLINK("http://twitter.com/kkfla737")</f>
        <v>http://twitter.com/kkfla737</v>
      </c>
      <c r="F695" s="2" t="str">
        <f>HYPERLINK("https://muckrack.com/kartik-krishnaiyer")</f>
        <v>https://muckrack.com/kartik-krishnaiyer</v>
      </c>
      <c r="G695" s="2">
        <v>8469</v>
      </c>
      <c r="H695" s="2" t="s">
        <v>3418</v>
      </c>
      <c r="I695" s="2" t="s">
        <v>3419</v>
      </c>
      <c r="J695" s="2" t="s">
        <v>2033</v>
      </c>
      <c r="K695" s="2" t="s">
        <v>3420</v>
      </c>
      <c r="L695" s="2" t="s">
        <v>3645</v>
      </c>
      <c r="M695" s="5">
        <v>45418.829618055563</v>
      </c>
      <c r="N695" s="2" t="str">
        <f>HYPERLINK("http://twitter.com/kkfla737/status/1787632098129412304")</f>
        <v>http://twitter.com/kkfla737/status/1787632098129412304</v>
      </c>
      <c r="O695" s="2" t="str">
        <f>HYPERLINK("https://shorturl.at/cejEG")</f>
        <v>https://shorturl.at/cejEG</v>
      </c>
    </row>
    <row r="696" spans="1:15" ht="39.6" x14ac:dyDescent="0.3">
      <c r="A696" s="2" t="s">
        <v>616</v>
      </c>
      <c r="B696" s="2" t="s">
        <v>1976</v>
      </c>
      <c r="C696" s="2" t="s">
        <v>1977</v>
      </c>
      <c r="D696" s="2" t="s">
        <v>1978</v>
      </c>
      <c r="E696" s="2" t="str">
        <f>HYPERLINK("http://twitter.com/ryanmartin")</f>
        <v>http://twitter.com/ryanmartin</v>
      </c>
      <c r="F696" s="2" t="str">
        <f>HYPERLINK("https://muckrack.com/ryanmartin")</f>
        <v>https://muckrack.com/ryanmartin</v>
      </c>
      <c r="G696" s="2">
        <v>11135</v>
      </c>
      <c r="H696" s="2" t="s">
        <v>1972</v>
      </c>
      <c r="I696" s="2" t="s">
        <v>1979</v>
      </c>
      <c r="J696" s="2" t="s">
        <v>1954</v>
      </c>
      <c r="K696" s="2" t="s">
        <v>1974</v>
      </c>
      <c r="L696" s="2" t="s">
        <v>3646</v>
      </c>
      <c r="M696" s="5">
        <v>45419.349814814806</v>
      </c>
      <c r="N696" s="2" t="str">
        <f>HYPERLINK("http://twitter.com/ryanmartin/status/1787820612003529075")</f>
        <v>http://twitter.com/ryanmartin/status/1787820612003529075</v>
      </c>
      <c r="O696" s="2" t="str">
        <f t="shared" ref="O696:O701" si="28">HYPERLINK("https://mirrorindy.org/eleven-park-indianapolis-soccer-greenlawn-cemetery-brickyard-battalion/")</f>
        <v>https://mirrorindy.org/eleven-park-indianapolis-soccer-greenlawn-cemetery-brickyard-battalion/</v>
      </c>
    </row>
    <row r="697" spans="1:15" ht="39.6" x14ac:dyDescent="0.3">
      <c r="A697" s="2" t="s">
        <v>107</v>
      </c>
      <c r="B697" s="2" t="s">
        <v>1969</v>
      </c>
      <c r="C697" s="2" t="s">
        <v>1970</v>
      </c>
      <c r="D697" s="2" t="s">
        <v>1971</v>
      </c>
      <c r="E697" s="2" t="str">
        <f>HYPERLINK("http://twitter.com/indyemapolis")</f>
        <v>http://twitter.com/indyemapolis</v>
      </c>
      <c r="F697" s="2" t="str">
        <f>HYPERLINK("https://muckrack.com/emily-hopkins-2")</f>
        <v>https://muckrack.com/emily-hopkins-2</v>
      </c>
      <c r="G697" s="2">
        <v>3414</v>
      </c>
      <c r="H697" s="2" t="s">
        <v>1972</v>
      </c>
      <c r="I697" s="2" t="s">
        <v>1973</v>
      </c>
      <c r="J697" s="2" t="s">
        <v>1954</v>
      </c>
      <c r="K697" s="2" t="s">
        <v>1974</v>
      </c>
      <c r="L697" s="2" t="s">
        <v>3647</v>
      </c>
      <c r="M697" s="5">
        <v>45419.352141203701</v>
      </c>
      <c r="N697" s="2" t="str">
        <f>HYPERLINK("http://twitter.com/indyemapolis/status/1787821452344930485")</f>
        <v>http://twitter.com/indyemapolis/status/1787821452344930485</v>
      </c>
      <c r="O697" s="2" t="str">
        <f t="shared" si="28"/>
        <v>https://mirrorindy.org/eleven-park-indianapolis-soccer-greenlawn-cemetery-brickyard-battalion/</v>
      </c>
    </row>
    <row r="698" spans="1:15" ht="39.6" x14ac:dyDescent="0.3">
      <c r="A698" s="2" t="s">
        <v>1986</v>
      </c>
      <c r="B698" s="2" t="s">
        <v>1987</v>
      </c>
      <c r="C698" s="2" t="s">
        <v>1988</v>
      </c>
      <c r="D698" s="2" t="s">
        <v>1989</v>
      </c>
      <c r="E698" s="2" t="str">
        <f>HYPERLINK("http://twitter.com/clairerafford")</f>
        <v>http://twitter.com/clairerafford</v>
      </c>
      <c r="F698" s="2" t="str">
        <f>HYPERLINK("https://muckrack.com/claire-rafford")</f>
        <v>https://muckrack.com/claire-rafford</v>
      </c>
      <c r="G698" s="2">
        <v>1224</v>
      </c>
      <c r="H698" s="2" t="s">
        <v>1990</v>
      </c>
      <c r="I698" s="2" t="s">
        <v>1991</v>
      </c>
      <c r="J698" s="2" t="s">
        <v>1992</v>
      </c>
      <c r="K698" s="2" t="s">
        <v>132</v>
      </c>
      <c r="L698" s="2" t="s">
        <v>3648</v>
      </c>
      <c r="M698" s="5">
        <v>45419.364814814813</v>
      </c>
      <c r="N698" s="2" t="str">
        <f>HYPERLINK("http://twitter.com/clairerafford/status/1787826046596784528")</f>
        <v>http://twitter.com/clairerafford/status/1787826046596784528</v>
      </c>
      <c r="O698" s="2" t="str">
        <f t="shared" si="28"/>
        <v>https://mirrorindy.org/eleven-park-indianapolis-soccer-greenlawn-cemetery-brickyard-battalion/</v>
      </c>
    </row>
    <row r="699" spans="1:15" ht="52.8" x14ac:dyDescent="0.3">
      <c r="A699" s="2" t="s">
        <v>2937</v>
      </c>
      <c r="B699" s="2" t="s">
        <v>2938</v>
      </c>
      <c r="C699" s="2" t="s">
        <v>2939</v>
      </c>
      <c r="D699" s="2" t="s">
        <v>2940</v>
      </c>
      <c r="E699" s="2" t="str">
        <f>HYPERLINK("http://twitter.com/DanArndtWrites")</f>
        <v>http://twitter.com/DanArndtWrites</v>
      </c>
      <c r="F699" s="2" t="str">
        <f>HYPERLINK("https://muckrack.com/dan-arndt-1")</f>
        <v>https://muckrack.com/dan-arndt-1</v>
      </c>
      <c r="G699" s="2">
        <v>1235</v>
      </c>
      <c r="H699" s="2" t="s">
        <v>1972</v>
      </c>
      <c r="I699" s="2" t="s">
        <v>2941</v>
      </c>
      <c r="J699" s="2" t="s">
        <v>2942</v>
      </c>
      <c r="K699" s="2" t="s">
        <v>2943</v>
      </c>
      <c r="L699" s="2" t="s">
        <v>3646</v>
      </c>
      <c r="M699" s="5">
        <v>45419.443368055552</v>
      </c>
      <c r="N699" s="2" t="str">
        <f>HYPERLINK("http://twitter.com/DanArndtWrites/status/1787854515586085218")</f>
        <v>http://twitter.com/DanArndtWrites/status/1787854515586085218</v>
      </c>
      <c r="O699" s="2" t="str">
        <f t="shared" si="28"/>
        <v>https://mirrorindy.org/eleven-park-indianapolis-soccer-greenlawn-cemetery-brickyard-battalion/</v>
      </c>
    </row>
    <row r="700" spans="1:15" ht="39.6" x14ac:dyDescent="0.3">
      <c r="A700" s="2" t="s">
        <v>3306</v>
      </c>
      <c r="B700" s="2" t="s">
        <v>2467</v>
      </c>
      <c r="C700" s="2" t="s">
        <v>3307</v>
      </c>
      <c r="D700" s="2" t="s">
        <v>3308</v>
      </c>
      <c r="E700" s="2" t="str">
        <f>HYPERLINK("http://twitter.com/ChrisSikich")</f>
        <v>http://twitter.com/ChrisSikich</v>
      </c>
      <c r="F700" s="2" t="str">
        <f>HYPERLINK("https://muckrack.com/chrissikich")</f>
        <v>https://muckrack.com/chrissikich</v>
      </c>
      <c r="G700" s="2">
        <v>7531</v>
      </c>
      <c r="H700" s="2" t="s">
        <v>2132</v>
      </c>
      <c r="I700" s="2" t="s">
        <v>3309</v>
      </c>
      <c r="J700" s="2" t="s">
        <v>2008</v>
      </c>
      <c r="K700" s="2" t="s">
        <v>1974</v>
      </c>
      <c r="L700" s="2" t="s">
        <v>3649</v>
      </c>
      <c r="M700" s="5">
        <v>45419.588252314818</v>
      </c>
      <c r="N700" s="2" t="str">
        <f>HYPERLINK("http://twitter.com/ChrisSikich/status/1787907018977599510")</f>
        <v>http://twitter.com/ChrisSikich/status/1787907018977599510</v>
      </c>
      <c r="O700" s="2" t="str">
        <f t="shared" si="28"/>
        <v>https://mirrorindy.org/eleven-park-indianapolis-soccer-greenlawn-cemetery-brickyard-battalion/</v>
      </c>
    </row>
    <row r="701" spans="1:15" ht="39.6" x14ac:dyDescent="0.3">
      <c r="A701" s="2" t="s">
        <v>3650</v>
      </c>
      <c r="B701" s="2" t="s">
        <v>2137</v>
      </c>
      <c r="C701" s="2" t="s">
        <v>3651</v>
      </c>
      <c r="D701" s="2" t="s">
        <v>3652</v>
      </c>
      <c r="E701" s="2" t="str">
        <f>HYPERLINK("http://twitter.com/nwi_jsp")</f>
        <v>http://twitter.com/nwi_jsp</v>
      </c>
      <c r="F701" s="2" t="str">
        <f>HYPERLINK("https://muckrack.com/nwi_jsp")</f>
        <v>https://muckrack.com/nwi_jsp</v>
      </c>
      <c r="G701" s="2">
        <v>5847</v>
      </c>
      <c r="H701" s="2"/>
      <c r="I701" s="2" t="s">
        <v>3653</v>
      </c>
      <c r="J701" s="2" t="s">
        <v>2141</v>
      </c>
      <c r="K701" s="2" t="s">
        <v>3654</v>
      </c>
      <c r="L701" s="2" t="s">
        <v>3655</v>
      </c>
      <c r="M701" s="5">
        <v>45423.865324074082</v>
      </c>
      <c r="N701" s="2" t="str">
        <f>HYPERLINK("http://twitter.com/nwi_jsp/status/1789456977225007359")</f>
        <v>http://twitter.com/nwi_jsp/status/1789456977225007359</v>
      </c>
      <c r="O701" s="2" t="str">
        <f t="shared" si="28"/>
        <v>https://mirrorindy.org/eleven-park-indianapolis-soccer-greenlawn-cemetery-brickyard-battalion/</v>
      </c>
    </row>
    <row r="702" spans="1:15" ht="66" x14ac:dyDescent="0.3">
      <c r="A702" s="2" t="s">
        <v>1656</v>
      </c>
      <c r="B702" s="2" t="s">
        <v>3415</v>
      </c>
      <c r="C702" s="2" t="s">
        <v>3416</v>
      </c>
      <c r="D702" s="2" t="s">
        <v>3417</v>
      </c>
      <c r="E702" s="2" t="str">
        <f>HYPERLINK("http://twitter.com/kkfla737")</f>
        <v>http://twitter.com/kkfla737</v>
      </c>
      <c r="F702" s="2" t="str">
        <f>HYPERLINK("https://muckrack.com/kartik-krishnaiyer")</f>
        <v>https://muckrack.com/kartik-krishnaiyer</v>
      </c>
      <c r="G702" s="2">
        <v>8469</v>
      </c>
      <c r="H702" s="2" t="s">
        <v>3418</v>
      </c>
      <c r="I702" s="2" t="s">
        <v>3419</v>
      </c>
      <c r="J702" s="2" t="s">
        <v>2033</v>
      </c>
      <c r="K702" s="2" t="s">
        <v>3420</v>
      </c>
      <c r="L702" s="2" t="s">
        <v>3656</v>
      </c>
      <c r="M702" s="5">
        <v>45419.372349537043</v>
      </c>
      <c r="N702" s="2" t="str">
        <f>HYPERLINK("http://twitter.com/kkfla737/status/1787828778833441021")</f>
        <v>http://twitter.com/kkfla737/status/1787828778833441021</v>
      </c>
      <c r="O702" s="2" t="str">
        <f>HYPERLINK("https://beyondthe90.substack.com/p/usl-championship-power-rankings-week")</f>
        <v>https://beyondthe90.substack.com/p/usl-championship-power-rankings-week</v>
      </c>
    </row>
    <row r="703" spans="1:15" ht="66" x14ac:dyDescent="0.3">
      <c r="A703" s="2" t="s">
        <v>2667</v>
      </c>
      <c r="B703" s="2" t="s">
        <v>2668</v>
      </c>
      <c r="C703" s="2" t="s">
        <v>2669</v>
      </c>
      <c r="D703" s="2" t="s">
        <v>2670</v>
      </c>
      <c r="E703" s="2" t="str">
        <f>HYPERLINK("http://twitter.com/RobAbramowitz")</f>
        <v>http://twitter.com/RobAbramowitz</v>
      </c>
      <c r="F703" s="2" t="str">
        <f>HYPERLINK("https://muckrack.com/roberto-abramowitz")</f>
        <v>https://muckrack.com/roberto-abramowitz</v>
      </c>
      <c r="G703" s="2">
        <v>19451</v>
      </c>
      <c r="H703" s="2" t="s">
        <v>2671</v>
      </c>
      <c r="I703" s="2" t="s">
        <v>2672</v>
      </c>
      <c r="J703" s="2" t="s">
        <v>2033</v>
      </c>
      <c r="K703" s="2" t="s">
        <v>2034</v>
      </c>
      <c r="L703" s="2" t="s">
        <v>3657</v>
      </c>
      <c r="M703" s="5">
        <v>45418.692048611112</v>
      </c>
      <c r="N703" s="2" t="str">
        <f>HYPERLINK("http://twitter.com/RobAbramowitz/status/1787582245789655504")</f>
        <v>http://twitter.com/RobAbramowitz/status/1787582245789655504</v>
      </c>
      <c r="O703" s="2" t="str">
        <f>HYPERLINK("https://www.espn.com/soccer/story/_/id/40095243/mls-power-rankings-arango-helps-real-salt-lake-move-philadelphia-union-disappoint")</f>
        <v>https://www.espn.com/soccer/story/_/id/40095243/mls-power-rankings-arango-helps-real-salt-lake-move-philadelphia-union-disappoint</v>
      </c>
    </row>
    <row r="704" spans="1:15" ht="52.8" x14ac:dyDescent="0.3">
      <c r="A704" s="2" t="s">
        <v>1471</v>
      </c>
      <c r="B704" s="2" t="s">
        <v>3658</v>
      </c>
      <c r="C704" s="2" t="s">
        <v>3659</v>
      </c>
      <c r="D704" s="2" t="s">
        <v>3660</v>
      </c>
      <c r="E704" s="2" t="str">
        <f>HYPERLINK("http://twitter.com/Meg_Swanick")</f>
        <v>http://twitter.com/Meg_Swanick</v>
      </c>
      <c r="F704" s="2" t="str">
        <f>HYPERLINK("https://muckrack.com/megan-swanick-1")</f>
        <v>https://muckrack.com/megan-swanick-1</v>
      </c>
      <c r="G704" s="2">
        <v>9602</v>
      </c>
      <c r="H704" s="2" t="s">
        <v>3661</v>
      </c>
      <c r="I704" s="2" t="s">
        <v>3662</v>
      </c>
      <c r="J704" s="2" t="s">
        <v>1954</v>
      </c>
      <c r="K704" s="2" t="s">
        <v>3663</v>
      </c>
      <c r="L704" s="2" t="s">
        <v>3664</v>
      </c>
      <c r="M704" s="5">
        <v>45418.856469907398</v>
      </c>
      <c r="N704" s="2" t="str">
        <f>HYPERLINK("http://twitter.com/Meg_Swanick/status/1787641829011202132")</f>
        <v>http://twitter.com/Meg_Swanick/status/1787641829011202132</v>
      </c>
      <c r="O704" s="2" t="str">
        <f>HYPERLINK("https://www.espn.com/soccer/story/_/id/40095243/mls-power-rankings-arango-helps-real-salt-lake-move-philadelphia-union-disappoint")</f>
        <v>https://www.espn.com/soccer/story/_/id/40095243/mls-power-rankings-arango-helps-real-salt-lake-move-philadelphia-union-disappoint</v>
      </c>
    </row>
    <row r="705" spans="1:15" ht="52.8" x14ac:dyDescent="0.3">
      <c r="A705" s="2" t="s">
        <v>993</v>
      </c>
      <c r="B705" s="2" t="s">
        <v>2289</v>
      </c>
      <c r="C705" s="2" t="s">
        <v>2981</v>
      </c>
      <c r="D705" s="2" t="s">
        <v>2982</v>
      </c>
      <c r="E705" s="2" t="str">
        <f>HYPERLINK("http://twitter.com/StephenWhit89")</f>
        <v>http://twitter.com/StephenWhit89</v>
      </c>
      <c r="F705" s="2" t="str">
        <f>HYPERLINK("https://muckrack.com/stephen-whitaker")</f>
        <v>https://muckrack.com/stephen-whitaker</v>
      </c>
      <c r="G705" s="2">
        <v>1127</v>
      </c>
      <c r="H705" s="2" t="s">
        <v>2983</v>
      </c>
      <c r="I705" s="2" t="s">
        <v>2984</v>
      </c>
      <c r="J705" s="2" t="s">
        <v>2033</v>
      </c>
      <c r="K705" s="2" t="s">
        <v>2985</v>
      </c>
      <c r="L705" s="2" t="s">
        <v>3665</v>
      </c>
      <c r="M705" s="5">
        <v>45418.753078703703</v>
      </c>
      <c r="N705" s="2" t="str">
        <f>HYPERLINK("http://twitter.com/StephenWhit89/status/1787604361603874890")</f>
        <v>http://twitter.com/StephenWhit89/status/1787604361603874890</v>
      </c>
      <c r="O705" s="2" t="str">
        <f>HYPERLINK("https://www.expressnews.com/sports/article/san-antonio-fc-heads-indy-eleven-u-s-open-cup-19442136.php")</f>
        <v>https://www.expressnews.com/sports/article/san-antonio-fc-heads-indy-eleven-u-s-open-cup-19442136.php</v>
      </c>
    </row>
    <row r="706" spans="1:15" ht="92.4" x14ac:dyDescent="0.3">
      <c r="A706" s="2" t="s">
        <v>3092</v>
      </c>
      <c r="B706" s="2" t="s">
        <v>1910</v>
      </c>
      <c r="C706" s="2" t="s">
        <v>3093</v>
      </c>
      <c r="D706" s="2" t="s">
        <v>3094</v>
      </c>
      <c r="E706" s="2" t="str">
        <f>HYPERLINK("http://twitter.com/RichNye13")</f>
        <v>http://twitter.com/RichNye13</v>
      </c>
      <c r="F706" s="2" t="str">
        <f>HYPERLINK("https://muckrack.com/rich-nye")</f>
        <v>https://muckrack.com/rich-nye</v>
      </c>
      <c r="G706" s="2">
        <v>15206</v>
      </c>
      <c r="H706" s="2" t="s">
        <v>2123</v>
      </c>
      <c r="I706" s="2" t="s">
        <v>3095</v>
      </c>
      <c r="J706" s="2" t="s">
        <v>2033</v>
      </c>
      <c r="K706" s="2" t="s">
        <v>130</v>
      </c>
      <c r="L706" s="2" t="s">
        <v>3666</v>
      </c>
      <c r="M706" s="5">
        <v>45418.879803240743</v>
      </c>
      <c r="N706" s="2" t="str">
        <f>HYPERLINK("http://twitter.com/RichNye13/status/1787650285667512463")</f>
        <v>http://twitter.com/RichNye13/status/1787650285667512463</v>
      </c>
      <c r="O706" s="2" t="str">
        <f>HYPERLINK("https://www.wthr.com/article/sports/soccer/indy-eleven/indy-eleven-development-group-make-case-move-forward-stadium-major-league-soccer-bid-expansion-team-indianapolis/531-0a712d75-438c-48a6-888c-3101c84a28f9")</f>
        <v>https://www.wthr.com/article/sports/soccer/indy-eleven/indy-eleven-development-group-make-case-move-forward-stadium-major-league-soccer-bid-expansion-team-indianapolis/531-0a712d75-438c-48a6-888c-3101c84a28f9</v>
      </c>
    </row>
    <row r="707" spans="1:15" ht="92.4" x14ac:dyDescent="0.3">
      <c r="A707" s="2" t="s">
        <v>2151</v>
      </c>
      <c r="B707" s="2" t="s">
        <v>1949</v>
      </c>
      <c r="C707" s="2" t="s">
        <v>2152</v>
      </c>
      <c r="D707" s="2" t="s">
        <v>2153</v>
      </c>
      <c r="E707" s="2" t="str">
        <f>HYPERLINK("http://twitter.com/tonykatz")</f>
        <v>http://twitter.com/tonykatz</v>
      </c>
      <c r="F707" s="2" t="str">
        <f>HYPERLINK("https://muckrack.com/tony-katz")</f>
        <v>https://muckrack.com/tony-katz</v>
      </c>
      <c r="G707" s="2">
        <v>41898</v>
      </c>
      <c r="H707" s="2" t="s">
        <v>2154</v>
      </c>
      <c r="I707" s="2" t="s">
        <v>2155</v>
      </c>
      <c r="J707" s="2" t="s">
        <v>1954</v>
      </c>
      <c r="K707" s="2" t="s">
        <v>2156</v>
      </c>
      <c r="L707" s="2" t="s">
        <v>3667</v>
      </c>
      <c r="M707" s="5">
        <v>45418.436435185176</v>
      </c>
      <c r="N707" s="2" t="str">
        <f>HYPERLINK("http://twitter.com/tonykatz/status/1787489611888972094")</f>
        <v>http://twitter.com/tonykatz/status/1787489611888972094</v>
      </c>
      <c r="O707" s="2" t="str">
        <f>HYPERLINK("https://wibc.com/playlist/tony-katz-and-the-morning-news-3rd-hr-5-6-24-u-s-halts-ammunition-to-israel-madonna-economics-of-the-may-races-status-of-indy-eleven-and-the-city-of-indianapolis-gm-sales-down-in-china-vp/")</f>
        <v>https://wibc.com/playlist/tony-katz-and-the-morning-news-3rd-hr-5-6-24-u-s-halts-ammunition-to-israel-madonna-economics-of-the-may-races-status-of-indy-eleven-and-the-city-of-indianapolis-gm-sales-down-in-china-vp/</v>
      </c>
    </row>
    <row r="708" spans="1:15" ht="92.4" x14ac:dyDescent="0.3">
      <c r="A708" s="2" t="s">
        <v>2151</v>
      </c>
      <c r="B708" s="2" t="s">
        <v>1949</v>
      </c>
      <c r="C708" s="2" t="s">
        <v>2152</v>
      </c>
      <c r="D708" s="2" t="s">
        <v>2153</v>
      </c>
      <c r="E708" s="2" t="str">
        <f>HYPERLINK("http://twitter.com/tonykatz")</f>
        <v>http://twitter.com/tonykatz</v>
      </c>
      <c r="F708" s="2" t="str">
        <f>HYPERLINK("https://muckrack.com/tony-katz")</f>
        <v>https://muckrack.com/tony-katz</v>
      </c>
      <c r="G708" s="2">
        <v>41898</v>
      </c>
      <c r="H708" s="2" t="s">
        <v>2154</v>
      </c>
      <c r="I708" s="2" t="s">
        <v>2155</v>
      </c>
      <c r="J708" s="2" t="s">
        <v>1954</v>
      </c>
      <c r="K708" s="2" t="s">
        <v>2156</v>
      </c>
      <c r="L708" s="2" t="s">
        <v>3668</v>
      </c>
      <c r="M708" s="5">
        <v>45418.436469907407</v>
      </c>
      <c r="N708" s="2" t="str">
        <f>HYPERLINK("http://twitter.com/tonykatz/status/1787489625298080113")</f>
        <v>http://twitter.com/tonykatz/status/1787489625298080113</v>
      </c>
      <c r="O708" s="2" t="str">
        <f>HYPERLINK("https://wibc.com/playlist/tony-katz-and-the-morning-news-3rd-hr-5-6-24-u-s-halts-ammunition-to-israel-madonna-economics-of-the-may-races-status-of-indy-eleven-and-the-city-of-indianapolis-gm-sales-down-in-china-vp/")</f>
        <v>https://wibc.com/playlist/tony-katz-and-the-morning-news-3rd-hr-5-6-24-u-s-halts-ammunition-to-israel-madonna-economics-of-the-may-races-status-of-indy-eleven-and-the-city-of-indianapolis-gm-sales-down-in-china-vp/</v>
      </c>
    </row>
    <row r="709" spans="1:15" ht="52.8" x14ac:dyDescent="0.3">
      <c r="A709" s="2" t="s">
        <v>1483</v>
      </c>
      <c r="B709" s="2" t="s">
        <v>3595</v>
      </c>
      <c r="C709" s="2" t="s">
        <v>3596</v>
      </c>
      <c r="D709" s="2" t="s">
        <v>3597</v>
      </c>
      <c r="E709" s="2" t="str">
        <f>HYPERLINK("http://twitter.com/lawson_sv")</f>
        <v>http://twitter.com/lawson_sv</v>
      </c>
      <c r="F709" s="2" t="str">
        <f>HYPERLINK("https://muckrack.com/sophie-lawson")</f>
        <v>https://muckrack.com/sophie-lawson</v>
      </c>
      <c r="G709" s="2">
        <v>6837</v>
      </c>
      <c r="H709" s="2" t="s">
        <v>3598</v>
      </c>
      <c r="I709" s="2" t="s">
        <v>3599</v>
      </c>
      <c r="J709" s="2" t="s">
        <v>2515</v>
      </c>
      <c r="K709" s="2" t="s">
        <v>209</v>
      </c>
      <c r="L709" s="2" t="s">
        <v>3669</v>
      </c>
      <c r="M709" s="5">
        <v>45418.419259259259</v>
      </c>
      <c r="N709" s="2" t="str">
        <f>HYPERLINK("http://twitter.com/lawson_sv/status/1787483388007321842")</f>
        <v>http://twitter.com/lawson_sv/status/1787483388007321842</v>
      </c>
      <c r="O709" s="2" t="str">
        <f>HYPERLINK("https://www.espn.com/soccer/story/_/id/40092730/7-things-womens-soccer-wsl-title-race-back-barca-bayern-seal-titles")</f>
        <v>https://www.espn.com/soccer/story/_/id/40092730/7-things-womens-soccer-wsl-title-race-back-barca-bayern-seal-titles</v>
      </c>
    </row>
    <row r="710" spans="1:15" ht="39.6" x14ac:dyDescent="0.3">
      <c r="A710" s="2" t="s">
        <v>208</v>
      </c>
      <c r="B710" s="2" t="s">
        <v>2045</v>
      </c>
      <c r="C710" s="2" t="s">
        <v>2046</v>
      </c>
      <c r="D710" s="2" t="s">
        <v>2047</v>
      </c>
      <c r="E710" s="2" t="str">
        <f>HYPERLINK("http://twitter.com/MarkOgden_")</f>
        <v>http://twitter.com/MarkOgden_</v>
      </c>
      <c r="F710" s="2" t="str">
        <f>HYPERLINK("https://muckrack.com/mogdentelegraph")</f>
        <v>https://muckrack.com/mogdentelegraph</v>
      </c>
      <c r="G710" s="2">
        <v>289571</v>
      </c>
      <c r="H710" s="2"/>
      <c r="I710" s="2" t="s">
        <v>2048</v>
      </c>
      <c r="J710" s="2" t="s">
        <v>2049</v>
      </c>
      <c r="K710" s="2" t="s">
        <v>210</v>
      </c>
      <c r="L710" s="2" t="s">
        <v>3670</v>
      </c>
      <c r="M710" s="5">
        <v>45418.323101851849</v>
      </c>
      <c r="N710" s="2" t="str">
        <f>HYPERLINK("http://twitter.com/MarkOgden_/status/1787448543206051931")</f>
        <v>http://twitter.com/MarkOgden_/status/1787448543206051931</v>
      </c>
      <c r="O710" s="2" t="str">
        <f>HYPERLINK("https://www.espn.com/soccer/story/_/id/40092641/why-chelsea-keeping-mauricio-pochettino-limbo-future")</f>
        <v>https://www.espn.com/soccer/story/_/id/40092641/why-chelsea-keeping-mauricio-pochettino-limbo-future</v>
      </c>
    </row>
    <row r="711" spans="1:15" ht="66" x14ac:dyDescent="0.3">
      <c r="A711" s="2" t="s">
        <v>356</v>
      </c>
      <c r="B711" s="2" t="s">
        <v>3671</v>
      </c>
      <c r="C711" s="2" t="s">
        <v>3672</v>
      </c>
      <c r="D711" s="2" t="s">
        <v>3673</v>
      </c>
      <c r="E711" s="2" t="str">
        <f>HYPERLINK("http://twitter.com/ArikaHerron")</f>
        <v>http://twitter.com/ArikaHerron</v>
      </c>
      <c r="F711" s="2" t="str">
        <f>HYPERLINK("https://muckrack.com/arika-herron")</f>
        <v>https://muckrack.com/arika-herron</v>
      </c>
      <c r="G711" s="2">
        <v>6597</v>
      </c>
      <c r="H711" s="2" t="s">
        <v>1972</v>
      </c>
      <c r="I711" s="2" t="s">
        <v>3674</v>
      </c>
      <c r="J711" s="2" t="s">
        <v>3675</v>
      </c>
      <c r="K711" s="2" t="s">
        <v>3676</v>
      </c>
      <c r="L711" s="2" t="s">
        <v>3677</v>
      </c>
      <c r="M711" s="5">
        <v>45418.370023148149</v>
      </c>
      <c r="N711" s="2" t="str">
        <f>HYPERLINK("http://twitter.com/ArikaHerron/status/1787465545882779726")</f>
        <v>http://twitter.com/ArikaHerron/status/1787465545882779726</v>
      </c>
      <c r="O711" s="2" t="str">
        <f>HYPERLINK("https://www.axios.com/local/indianapolis/2024/05/06/indy-eleven-usl-future-uncertain-mls")</f>
        <v>https://www.axios.com/local/indianapolis/2024/05/06/indy-eleven-usl-future-uncertain-mls</v>
      </c>
    </row>
    <row r="712" spans="1:15" ht="66" x14ac:dyDescent="0.3">
      <c r="A712" s="2" t="s">
        <v>993</v>
      </c>
      <c r="B712" s="2" t="s">
        <v>2289</v>
      </c>
      <c r="C712" s="2" t="s">
        <v>2981</v>
      </c>
      <c r="D712" s="2" t="s">
        <v>2982</v>
      </c>
      <c r="E712" s="2" t="str">
        <f>HYPERLINK("http://twitter.com/StephenWhit89")</f>
        <v>http://twitter.com/StephenWhit89</v>
      </c>
      <c r="F712" s="2" t="str">
        <f>HYPERLINK("https://muckrack.com/stephen-whitaker")</f>
        <v>https://muckrack.com/stephen-whitaker</v>
      </c>
      <c r="G712" s="2">
        <v>1127</v>
      </c>
      <c r="H712" s="2" t="s">
        <v>2983</v>
      </c>
      <c r="I712" s="2" t="s">
        <v>2984</v>
      </c>
      <c r="J712" s="2" t="s">
        <v>2033</v>
      </c>
      <c r="K712" s="2" t="s">
        <v>2985</v>
      </c>
      <c r="L712" s="2" t="s">
        <v>3678</v>
      </c>
      <c r="M712" s="5">
        <v>45417.672592592593</v>
      </c>
      <c r="N712" s="2" t="str">
        <f>HYPERLINK("http://twitter.com/StephenWhit89/status/1787212806422425600")</f>
        <v>http://twitter.com/StephenWhit89/status/1787212806422425600</v>
      </c>
      <c r="O712" s="2" t="str">
        <f>HYPERLINK("https://www.expressnews.com/sports/article/san-antonio-fc-battles-oakland-roots-2-2-draw-19438570.php")</f>
        <v>https://www.expressnews.com/sports/article/san-antonio-fc-battles-oakland-roots-2-2-draw-19438570.php</v>
      </c>
    </row>
    <row r="713" spans="1:15" ht="39.6" x14ac:dyDescent="0.3">
      <c r="A713" s="2" t="s">
        <v>1490</v>
      </c>
      <c r="B713" s="2" t="s">
        <v>2024</v>
      </c>
      <c r="C713" s="2" t="s">
        <v>3679</v>
      </c>
      <c r="D713" s="2" t="s">
        <v>3680</v>
      </c>
      <c r="E713" s="2" t="str">
        <f>HYPERLINK("http://twitter.com/JohnJDevine")</f>
        <v>http://twitter.com/JohnJDevine</v>
      </c>
      <c r="F713" s="2" t="str">
        <f>HYPERLINK("https://muckrack.com/john-devine-1")</f>
        <v>https://muckrack.com/john-devine-1</v>
      </c>
      <c r="G713" s="2">
        <v>18287</v>
      </c>
      <c r="H713" s="2" t="s">
        <v>3681</v>
      </c>
      <c r="I713" s="2" t="s">
        <v>3682</v>
      </c>
      <c r="J713" s="2" t="s">
        <v>1929</v>
      </c>
      <c r="K713" s="2" t="s">
        <v>1491</v>
      </c>
      <c r="L713" s="2" t="s">
        <v>3683</v>
      </c>
      <c r="M713" s="5">
        <v>45417.027951388889</v>
      </c>
      <c r="N713" s="2" t="str">
        <f>HYPERLINK("http://twitter.com/JohnJDevine/status/1786979195538563533")</f>
        <v>http://twitter.com/JohnJDevine/status/1786979195538563533</v>
      </c>
      <c r="O713" s="2" t="str">
        <f>HYPERLINK("https://www.montereyherald.com/2024/05/04/pro-soccer-late-goal-lifts-indy-eleven-past-monterey-bay-f-c/")</f>
        <v>https://www.montereyherald.com/2024/05/04/pro-soccer-late-goal-lifts-indy-eleven-past-monterey-bay-f-c/</v>
      </c>
    </row>
    <row r="714" spans="1:15" ht="52.8" x14ac:dyDescent="0.3">
      <c r="A714" s="2" t="s">
        <v>654</v>
      </c>
      <c r="B714" s="2" t="s">
        <v>2482</v>
      </c>
      <c r="C714" s="2"/>
      <c r="D714" s="2" t="s">
        <v>2483</v>
      </c>
      <c r="E714" s="2" t="str">
        <f>HYPERLINK("http://twitter.com/ldock93")</f>
        <v>http://twitter.com/ldock93</v>
      </c>
      <c r="F714" s="2" t="str">
        <f>HYPERLINK("https://muckrack.com/lawrence-dockery")</f>
        <v>https://muckrack.com/lawrence-dockery</v>
      </c>
      <c r="G714" s="2">
        <v>1147</v>
      </c>
      <c r="H714" s="2" t="s">
        <v>2484</v>
      </c>
      <c r="I714" s="2" t="s">
        <v>2485</v>
      </c>
      <c r="J714" s="2" t="s">
        <v>2033</v>
      </c>
      <c r="K714" s="2" t="s">
        <v>2486</v>
      </c>
      <c r="L714" s="2" t="s">
        <v>3684</v>
      </c>
      <c r="M714" s="5">
        <v>45416.306388888886</v>
      </c>
      <c r="N714" s="2" t="str">
        <f>HYPERLINK("http://twitter.com/ldock93/status/1786717708777566556")</f>
        <v>http://twitter.com/ldock93/status/1786717708777566556</v>
      </c>
      <c r="O714" s="2" t="str">
        <f>HYPERLINK("https://bluffcitymedia.co/memphis-901-fc-vs-tampa-bay-rowdies-preview/")</f>
        <v>https://bluffcitymedia.co/memphis-901-fc-vs-tampa-bay-rowdies-preview/</v>
      </c>
    </row>
    <row r="715" spans="1:15" ht="52.8" x14ac:dyDescent="0.3">
      <c r="A715" s="2" t="s">
        <v>654</v>
      </c>
      <c r="B715" s="2" t="s">
        <v>2482</v>
      </c>
      <c r="C715" s="2"/>
      <c r="D715" s="2" t="s">
        <v>2483</v>
      </c>
      <c r="E715" s="2" t="str">
        <f>HYPERLINK("http://twitter.com/ldock93")</f>
        <v>http://twitter.com/ldock93</v>
      </c>
      <c r="F715" s="2" t="str">
        <f>HYPERLINK("https://muckrack.com/lawrence-dockery")</f>
        <v>https://muckrack.com/lawrence-dockery</v>
      </c>
      <c r="G715" s="2">
        <v>1147</v>
      </c>
      <c r="H715" s="2" t="s">
        <v>2484</v>
      </c>
      <c r="I715" s="2" t="s">
        <v>2485</v>
      </c>
      <c r="J715" s="2" t="s">
        <v>2033</v>
      </c>
      <c r="K715" s="2" t="s">
        <v>2486</v>
      </c>
      <c r="L715" s="2" t="s">
        <v>3685</v>
      </c>
      <c r="M715" s="5">
        <v>45416.309930555559</v>
      </c>
      <c r="N715" s="2" t="str">
        <f>HYPERLINK("http://twitter.com/ldock93/status/1786718993253863558")</f>
        <v>http://twitter.com/ldock93/status/1786718993253863558</v>
      </c>
      <c r="O715" s="2" t="str">
        <f>HYPERLINK("https://bluffcitymedia.co/memphis-901-fc-vs-tampa-bay-rowdies-preview/")</f>
        <v>https://bluffcitymedia.co/memphis-901-fc-vs-tampa-bay-rowdies-preview/</v>
      </c>
    </row>
    <row r="716" spans="1:15" ht="39.6" x14ac:dyDescent="0.3">
      <c r="A716" s="2" t="s">
        <v>263</v>
      </c>
      <c r="B716" s="2" t="s">
        <v>2221</v>
      </c>
      <c r="C716" s="2" t="s">
        <v>2222</v>
      </c>
      <c r="D716" s="2" t="s">
        <v>2223</v>
      </c>
      <c r="E716" s="2" t="str">
        <f>HYPERLINK("http://twitter.com/pkedit")</f>
        <v>http://twitter.com/pkedit</v>
      </c>
      <c r="F716" s="2" t="str">
        <f>HYPERLINK("https://muckrack.com/paul-kennedy")</f>
        <v>https://muckrack.com/paul-kennedy</v>
      </c>
      <c r="G716" s="2">
        <v>10080</v>
      </c>
      <c r="H716" s="2"/>
      <c r="I716" s="2" t="s">
        <v>2224</v>
      </c>
      <c r="J716" s="2" t="s">
        <v>1929</v>
      </c>
      <c r="K716" s="2" t="s">
        <v>264</v>
      </c>
      <c r="L716" s="2" t="s">
        <v>3686</v>
      </c>
      <c r="M716" s="5">
        <v>45416.463888888888</v>
      </c>
      <c r="N716" s="2" t="str">
        <f>HYPERLINK("http://twitter.com/pkedit/status/1786774785835638790")</f>
        <v>http://twitter.com/pkedit/status/1786774785835638790</v>
      </c>
      <c r="O716" s="2" t="str">
        <f>HYPERLINK("https://www.socceramerica.com/the-american-soccer-weekend-preview-5/")</f>
        <v>https://www.socceramerica.com/the-american-soccer-weekend-preview-5/</v>
      </c>
    </row>
    <row r="717" spans="1:15" ht="39.6" x14ac:dyDescent="0.3">
      <c r="A717" s="2" t="s">
        <v>263</v>
      </c>
      <c r="B717" s="2" t="s">
        <v>2221</v>
      </c>
      <c r="C717" s="2" t="s">
        <v>2222</v>
      </c>
      <c r="D717" s="2" t="s">
        <v>2223</v>
      </c>
      <c r="E717" s="2" t="str">
        <f>HYPERLINK("http://twitter.com/pkedit")</f>
        <v>http://twitter.com/pkedit</v>
      </c>
      <c r="F717" s="2" t="str">
        <f>HYPERLINK("https://muckrack.com/paul-kennedy")</f>
        <v>https://muckrack.com/paul-kennedy</v>
      </c>
      <c r="G717" s="2">
        <v>10080</v>
      </c>
      <c r="H717" s="2"/>
      <c r="I717" s="2" t="s">
        <v>2224</v>
      </c>
      <c r="J717" s="2" t="s">
        <v>1929</v>
      </c>
      <c r="K717" s="2" t="s">
        <v>264</v>
      </c>
      <c r="L717" s="2" t="s">
        <v>3687</v>
      </c>
      <c r="M717" s="5">
        <v>45416.715277777781</v>
      </c>
      <c r="N717" s="2" t="str">
        <f>HYPERLINK("http://twitter.com/pkedit/status/1786865886101397950")</f>
        <v>http://twitter.com/pkedit/status/1786865886101397950</v>
      </c>
      <c r="O717" s="2" t="str">
        <f>HYPERLINK("https://www.socceramerica.com/the-american-soccer-weekend-preview-5/")</f>
        <v>https://www.socceramerica.com/the-american-soccer-weekend-preview-5/</v>
      </c>
    </row>
    <row r="718" spans="1:15" ht="52.8" x14ac:dyDescent="0.3">
      <c r="A718" s="2" t="s">
        <v>267</v>
      </c>
      <c r="B718" s="2" t="s">
        <v>2061</v>
      </c>
      <c r="C718" s="2" t="s">
        <v>2062</v>
      </c>
      <c r="D718" s="2" t="s">
        <v>2063</v>
      </c>
      <c r="E718" s="2" t="str">
        <f>HYPERLINK("http://twitter.com/MickeyShuey")</f>
        <v>http://twitter.com/MickeyShuey</v>
      </c>
      <c r="F718" s="2" t="str">
        <f>HYPERLINK("https://muckrack.com/mickeyshuey")</f>
        <v>https://muckrack.com/mickeyshuey</v>
      </c>
      <c r="G718" s="2">
        <v>1868</v>
      </c>
      <c r="H718" s="2" t="s">
        <v>1972</v>
      </c>
      <c r="I718" s="2" t="s">
        <v>2064</v>
      </c>
      <c r="J718" s="2" t="s">
        <v>2065</v>
      </c>
      <c r="K718" s="2" t="s">
        <v>268</v>
      </c>
      <c r="L718" s="2" t="s">
        <v>3688</v>
      </c>
      <c r="M718" s="5">
        <v>45415.668900462973</v>
      </c>
      <c r="N718" s="2" t="str">
        <f>HYPERLINK("http://twitter.com/MickeyShuey/status/1786486692427243730")</f>
        <v>http://twitter.com/MickeyShuey/status/1786486692427243730</v>
      </c>
      <c r="O718" s="2" t="str">
        <f>HYPERLINK("https://www.ibj.com/articles/how-the-citys-negotiations-with-keystone-group-broke-down")</f>
        <v>https://www.ibj.com/articles/how-the-citys-negotiations-with-keystone-group-broke-down</v>
      </c>
    </row>
    <row r="719" spans="1:15" ht="66" x14ac:dyDescent="0.3">
      <c r="A719" s="2" t="s">
        <v>1069</v>
      </c>
      <c r="B719" s="2" t="s">
        <v>2297</v>
      </c>
      <c r="C719" s="2" t="s">
        <v>3689</v>
      </c>
      <c r="D719" s="2" t="s">
        <v>3690</v>
      </c>
      <c r="E719" s="2" t="str">
        <f>HYPERLINK("http://twitter.com/SusanOrr")</f>
        <v>http://twitter.com/SusanOrr</v>
      </c>
      <c r="F719" s="2" t="str">
        <f>HYPERLINK("https://muckrack.com/susan-orr")</f>
        <v>https://muckrack.com/susan-orr</v>
      </c>
      <c r="G719" s="2">
        <v>2664</v>
      </c>
      <c r="H719" s="2" t="s">
        <v>1972</v>
      </c>
      <c r="I719" s="2" t="s">
        <v>3691</v>
      </c>
      <c r="J719" s="2" t="s">
        <v>3692</v>
      </c>
      <c r="K719" s="2" t="s">
        <v>268</v>
      </c>
      <c r="L719" s="2" t="s">
        <v>3693</v>
      </c>
      <c r="M719" s="5">
        <v>45415.788252314807</v>
      </c>
      <c r="N719" s="2" t="str">
        <f>HYPERLINK("http://twitter.com/SusanOrr/status/1786529943339278540")</f>
        <v>http://twitter.com/SusanOrr/status/1786529943339278540</v>
      </c>
      <c r="O719" s="2" t="str">
        <f>HYPERLINK("https://www.ibj.com/articles/how-the-citys-negotiations-with-keystone-group-broke-down")</f>
        <v>https://www.ibj.com/articles/how-the-citys-negotiations-with-keystone-group-broke-down</v>
      </c>
    </row>
    <row r="720" spans="1:15" ht="52.8" x14ac:dyDescent="0.3">
      <c r="A720" s="2" t="s">
        <v>267</v>
      </c>
      <c r="B720" s="2" t="s">
        <v>2061</v>
      </c>
      <c r="C720" s="2" t="s">
        <v>2062</v>
      </c>
      <c r="D720" s="2" t="s">
        <v>2063</v>
      </c>
      <c r="E720" s="2" t="str">
        <f>HYPERLINK("http://twitter.com/MickeyShuey")</f>
        <v>http://twitter.com/MickeyShuey</v>
      </c>
      <c r="F720" s="2" t="str">
        <f>HYPERLINK("https://muckrack.com/mickeyshuey")</f>
        <v>https://muckrack.com/mickeyshuey</v>
      </c>
      <c r="G720" s="2">
        <v>1868</v>
      </c>
      <c r="H720" s="2" t="s">
        <v>1972</v>
      </c>
      <c r="I720" s="2" t="s">
        <v>2064</v>
      </c>
      <c r="J720" s="2" t="s">
        <v>2065</v>
      </c>
      <c r="K720" s="2" t="s">
        <v>268</v>
      </c>
      <c r="L720" s="2" t="s">
        <v>3688</v>
      </c>
      <c r="M720" s="5">
        <v>45415.668900462973</v>
      </c>
      <c r="N720" s="2" t="str">
        <f>HYPERLINK("http://twitter.com/MickeyShuey/status/1786486692427243730")</f>
        <v>http://twitter.com/MickeyShuey/status/1786486692427243730</v>
      </c>
      <c r="O720" s="2" t="str">
        <f>HYPERLINK("https://www.ibj.com/articles/with-indys-soccer-future-in-balance-city-to-go-all-in-on-mls")</f>
        <v>https://www.ibj.com/articles/with-indys-soccer-future-in-balance-city-to-go-all-in-on-mls</v>
      </c>
    </row>
    <row r="721" spans="1:15" ht="66" x14ac:dyDescent="0.3">
      <c r="A721" s="2" t="s">
        <v>1069</v>
      </c>
      <c r="B721" s="2" t="s">
        <v>2297</v>
      </c>
      <c r="C721" s="2" t="s">
        <v>3689</v>
      </c>
      <c r="D721" s="2" t="s">
        <v>3690</v>
      </c>
      <c r="E721" s="2" t="str">
        <f>HYPERLINK("http://twitter.com/SusanOrr")</f>
        <v>http://twitter.com/SusanOrr</v>
      </c>
      <c r="F721" s="2" t="str">
        <f>HYPERLINK("https://muckrack.com/susan-orr")</f>
        <v>https://muckrack.com/susan-orr</v>
      </c>
      <c r="G721" s="2">
        <v>2664</v>
      </c>
      <c r="H721" s="2" t="s">
        <v>1972</v>
      </c>
      <c r="I721" s="2" t="s">
        <v>3691</v>
      </c>
      <c r="J721" s="2" t="s">
        <v>3692</v>
      </c>
      <c r="K721" s="2" t="s">
        <v>268</v>
      </c>
      <c r="L721" s="2" t="s">
        <v>3693</v>
      </c>
      <c r="M721" s="5">
        <v>45415.788252314807</v>
      </c>
      <c r="N721" s="2" t="str">
        <f>HYPERLINK("http://twitter.com/SusanOrr/status/1786529943339278540")</f>
        <v>http://twitter.com/SusanOrr/status/1786529943339278540</v>
      </c>
      <c r="O721" s="2" t="str">
        <f>HYPERLINK("https://www.ibj.com/articles/with-indys-soccer-future-in-balance-city-to-go-all-in-on-mls")</f>
        <v>https://www.ibj.com/articles/with-indys-soccer-future-in-balance-city-to-go-all-in-on-mls</v>
      </c>
    </row>
    <row r="722" spans="1:15" ht="39.6" x14ac:dyDescent="0.3">
      <c r="A722" s="2" t="s">
        <v>267</v>
      </c>
      <c r="B722" s="2" t="s">
        <v>2061</v>
      </c>
      <c r="C722" s="2" t="s">
        <v>2062</v>
      </c>
      <c r="D722" s="2" t="s">
        <v>2063</v>
      </c>
      <c r="E722" s="2" t="str">
        <f>HYPERLINK("http://twitter.com/MickeyShuey")</f>
        <v>http://twitter.com/MickeyShuey</v>
      </c>
      <c r="F722" s="2" t="str">
        <f>HYPERLINK("https://muckrack.com/mickeyshuey")</f>
        <v>https://muckrack.com/mickeyshuey</v>
      </c>
      <c r="G722" s="2">
        <v>1868</v>
      </c>
      <c r="H722" s="2" t="s">
        <v>1972</v>
      </c>
      <c r="I722" s="2" t="s">
        <v>2064</v>
      </c>
      <c r="J722" s="2" t="s">
        <v>2065</v>
      </c>
      <c r="K722" s="2" t="s">
        <v>268</v>
      </c>
      <c r="L722" s="2" t="s">
        <v>3694</v>
      </c>
      <c r="M722" s="5">
        <v>45415.324374999997</v>
      </c>
      <c r="N722" s="2" t="str">
        <f>HYPERLINK("http://twitter.com/MickeyShuey/status/1786361842723443144")</f>
        <v>http://twitter.com/MickeyShuey/status/1786361842723443144</v>
      </c>
      <c r="O722" s="2" t="str">
        <f>HYPERLINK("https://www.ibj.com/articles/iedc-seeks-sale-of-51-acres-at-former-gm-stamping-plant-site")</f>
        <v>https://www.ibj.com/articles/iedc-seeks-sale-of-51-acres-at-former-gm-stamping-plant-site</v>
      </c>
    </row>
    <row r="723" spans="1:15" ht="39.6" x14ac:dyDescent="0.3">
      <c r="A723" s="2" t="s">
        <v>1069</v>
      </c>
      <c r="B723" s="2" t="s">
        <v>2297</v>
      </c>
      <c r="C723" s="2" t="s">
        <v>3689</v>
      </c>
      <c r="D723" s="2" t="s">
        <v>3690</v>
      </c>
      <c r="E723" s="2" t="str">
        <f>HYPERLINK("http://twitter.com/SusanOrr")</f>
        <v>http://twitter.com/SusanOrr</v>
      </c>
      <c r="F723" s="2" t="str">
        <f>HYPERLINK("https://muckrack.com/susan-orr")</f>
        <v>https://muckrack.com/susan-orr</v>
      </c>
      <c r="G723" s="2">
        <v>2664</v>
      </c>
      <c r="H723" s="2" t="s">
        <v>1972</v>
      </c>
      <c r="I723" s="2" t="s">
        <v>3691</v>
      </c>
      <c r="J723" s="2" t="s">
        <v>3692</v>
      </c>
      <c r="K723" s="2" t="s">
        <v>268</v>
      </c>
      <c r="L723" s="2" t="s">
        <v>3695</v>
      </c>
      <c r="M723" s="5">
        <v>45415.591736111113</v>
      </c>
      <c r="N723" s="2" t="str">
        <f>HYPERLINK("http://twitter.com/SusanOrr/status/1786458730432713130")</f>
        <v>http://twitter.com/SusanOrr/status/1786458730432713130</v>
      </c>
      <c r="O723" s="2" t="str">
        <f>HYPERLINK("https://www.ibj.com/articles/iedc-seeks-sale-of-51-acres-at-former-gm-stamping-plant-site")</f>
        <v>https://www.ibj.com/articles/iedc-seeks-sale-of-51-acres-at-former-gm-stamping-plant-site</v>
      </c>
    </row>
    <row r="724" spans="1:15" ht="52.8" x14ac:dyDescent="0.3">
      <c r="A724" s="2" t="s">
        <v>993</v>
      </c>
      <c r="B724" s="2" t="s">
        <v>2289</v>
      </c>
      <c r="C724" s="2" t="s">
        <v>2981</v>
      </c>
      <c r="D724" s="2" t="s">
        <v>2982</v>
      </c>
      <c r="E724" s="2" t="str">
        <f>HYPERLINK("http://twitter.com/StephenWhit89")</f>
        <v>http://twitter.com/StephenWhit89</v>
      </c>
      <c r="F724" s="2" t="str">
        <f>HYPERLINK("https://muckrack.com/stephen-whitaker")</f>
        <v>https://muckrack.com/stephen-whitaker</v>
      </c>
      <c r="G724" s="2">
        <v>1127</v>
      </c>
      <c r="H724" s="2" t="s">
        <v>2983</v>
      </c>
      <c r="I724" s="2" t="s">
        <v>2984</v>
      </c>
      <c r="J724" s="2" t="s">
        <v>2033</v>
      </c>
      <c r="K724" s="2" t="s">
        <v>2985</v>
      </c>
      <c r="L724" s="2" t="s">
        <v>3696</v>
      </c>
      <c r="M724" s="5">
        <v>45414.8512962963</v>
      </c>
      <c r="N724" s="2" t="str">
        <f>HYPERLINK("http://twitter.com/StephenWhit89/status/1786190402678059122")</f>
        <v>http://twitter.com/StephenWhit89/status/1786190402678059122</v>
      </c>
      <c r="O724" s="2" t="str">
        <f>HYPERLINK("https://www.expressnews.com/sports/article/san-antonio-fc-returns-home-host-oakland-roots-19436020.php")</f>
        <v>https://www.expressnews.com/sports/article/san-antonio-fc-returns-home-host-oakland-roots-19436020.php</v>
      </c>
    </row>
    <row r="725" spans="1:15" ht="52.8" x14ac:dyDescent="0.3">
      <c r="A725" s="2" t="s">
        <v>1510</v>
      </c>
      <c r="B725" s="2" t="s">
        <v>3697</v>
      </c>
      <c r="C725" s="2" t="s">
        <v>3698</v>
      </c>
      <c r="D725" s="2" t="s">
        <v>3699</v>
      </c>
      <c r="E725" s="2" t="str">
        <f>HYPERLINK("http://twitter.com/loudspeaker19")</f>
        <v>http://twitter.com/loudspeaker19</v>
      </c>
      <c r="F725" s="2" t="str">
        <f>HYPERLINK("https://muckrack.com/shubi-arun")</f>
        <v>https://muckrack.com/shubi-arun</v>
      </c>
      <c r="G725" s="2">
        <v>684</v>
      </c>
      <c r="H725" s="2" t="s">
        <v>3700</v>
      </c>
      <c r="I725" s="2" t="s">
        <v>3701</v>
      </c>
      <c r="J725" s="2" t="s">
        <v>2515</v>
      </c>
      <c r="K725" s="2" t="s">
        <v>210</v>
      </c>
      <c r="L725" s="2" t="s">
        <v>3702</v>
      </c>
      <c r="M725" s="5">
        <v>45414.483113425929</v>
      </c>
      <c r="N725" s="2" t="str">
        <f>HYPERLINK("http://twitter.com/loudspeaker19/status/1786056979015709165")</f>
        <v>http://twitter.com/loudspeaker19/status/1786056979015709165</v>
      </c>
      <c r="O725" s="2" t="str">
        <f>HYPERLINK("https://www.espn.com/soccer/story/_/id/40067958/can-arsenal-record-breaking-fan-base-take-back-top-wsl")</f>
        <v>https://www.espn.com/soccer/story/_/id/40067958/can-arsenal-record-breaking-fan-base-take-back-top-wsl</v>
      </c>
    </row>
    <row r="726" spans="1:15" ht="66" x14ac:dyDescent="0.3">
      <c r="A726" s="2" t="s">
        <v>1510</v>
      </c>
      <c r="B726" s="2" t="s">
        <v>3697</v>
      </c>
      <c r="C726" s="2" t="s">
        <v>3698</v>
      </c>
      <c r="D726" s="2" t="s">
        <v>3699</v>
      </c>
      <c r="E726" s="2" t="str">
        <f>HYPERLINK("http://twitter.com/loudspeaker19")</f>
        <v>http://twitter.com/loudspeaker19</v>
      </c>
      <c r="F726" s="2" t="str">
        <f>HYPERLINK("https://muckrack.com/shubi-arun")</f>
        <v>https://muckrack.com/shubi-arun</v>
      </c>
      <c r="G726" s="2">
        <v>684</v>
      </c>
      <c r="H726" s="2" t="s">
        <v>3700</v>
      </c>
      <c r="I726" s="2" t="s">
        <v>3701</v>
      </c>
      <c r="J726" s="2" t="s">
        <v>2515</v>
      </c>
      <c r="K726" s="2" t="s">
        <v>210</v>
      </c>
      <c r="L726" s="2" t="s">
        <v>3703</v>
      </c>
      <c r="M726" s="5">
        <v>45415.326597222222</v>
      </c>
      <c r="N726" s="2" t="str">
        <f>HYPERLINK("http://twitter.com/loudspeaker19/status/1786362646712795157")</f>
        <v>http://twitter.com/loudspeaker19/status/1786362646712795157</v>
      </c>
      <c r="O726" s="2" t="str">
        <f>HYPERLINK("https://www.espn.com/soccer/story/_/id/40067958/can-arsenal-record-breaking-fan-base-take-back-top-wsl")</f>
        <v>https://www.espn.com/soccer/story/_/id/40067958/can-arsenal-record-breaking-fan-base-take-back-top-wsl</v>
      </c>
    </row>
    <row r="727" spans="1:15" ht="52.8" x14ac:dyDescent="0.3">
      <c r="A727" s="2" t="s">
        <v>1510</v>
      </c>
      <c r="B727" s="2" t="s">
        <v>3697</v>
      </c>
      <c r="C727" s="2" t="s">
        <v>3698</v>
      </c>
      <c r="D727" s="2" t="s">
        <v>3699</v>
      </c>
      <c r="E727" s="2" t="str">
        <f>HYPERLINK("http://twitter.com/loudspeaker19")</f>
        <v>http://twitter.com/loudspeaker19</v>
      </c>
      <c r="F727" s="2" t="str">
        <f>HYPERLINK("https://muckrack.com/shubi-arun")</f>
        <v>https://muckrack.com/shubi-arun</v>
      </c>
      <c r="G727" s="2">
        <v>684</v>
      </c>
      <c r="H727" s="2" t="s">
        <v>3700</v>
      </c>
      <c r="I727" s="2" t="s">
        <v>3701</v>
      </c>
      <c r="J727" s="2" t="s">
        <v>2515</v>
      </c>
      <c r="K727" s="2" t="s">
        <v>210</v>
      </c>
      <c r="L727" s="2" t="s">
        <v>3704</v>
      </c>
      <c r="M727" s="5">
        <v>45417.511203703703</v>
      </c>
      <c r="N727" s="2" t="str">
        <f>HYPERLINK("http://twitter.com/loudspeaker19/status/1787154322049957962")</f>
        <v>http://twitter.com/loudspeaker19/status/1787154322049957962</v>
      </c>
      <c r="O727" s="2" t="str">
        <f>HYPERLINK("https://www.espn.com/soccer/story/_/id/40067958/can-arsenal-record-breaking-fan-base-take-back-top-wsl")</f>
        <v>https://www.espn.com/soccer/story/_/id/40067958/can-arsenal-record-breaking-fan-base-take-back-top-wsl</v>
      </c>
    </row>
    <row r="728" spans="1:15" ht="66" x14ac:dyDescent="0.3">
      <c r="A728" s="2" t="s">
        <v>1510</v>
      </c>
      <c r="B728" s="2" t="s">
        <v>3697</v>
      </c>
      <c r="C728" s="2" t="s">
        <v>3698</v>
      </c>
      <c r="D728" s="2" t="s">
        <v>3699</v>
      </c>
      <c r="E728" s="2" t="str">
        <f>HYPERLINK("http://twitter.com/loudspeaker19")</f>
        <v>http://twitter.com/loudspeaker19</v>
      </c>
      <c r="F728" s="2" t="str">
        <f>HYPERLINK("https://muckrack.com/shubi-arun")</f>
        <v>https://muckrack.com/shubi-arun</v>
      </c>
      <c r="G728" s="2">
        <v>684</v>
      </c>
      <c r="H728" s="2" t="s">
        <v>3700</v>
      </c>
      <c r="I728" s="2" t="s">
        <v>3701</v>
      </c>
      <c r="J728" s="2" t="s">
        <v>2515</v>
      </c>
      <c r="K728" s="2" t="s">
        <v>210</v>
      </c>
      <c r="L728" s="2" t="s">
        <v>3705</v>
      </c>
      <c r="M728" s="5">
        <v>45426.363344907397</v>
      </c>
      <c r="N728" s="2" t="str">
        <f>HYPERLINK("http://twitter.com/loudspeaker19/status/1790362228836676020")</f>
        <v>http://twitter.com/loudspeaker19/status/1790362228836676020</v>
      </c>
      <c r="O728" s="2" t="str">
        <f>HYPERLINK("https://www.espn.com/soccer/story/_/id/40067958/can-arsenal-record-breaking-fan-base-take-back-top-wsl")</f>
        <v>https://www.espn.com/soccer/story/_/id/40067958/can-arsenal-record-breaking-fan-base-take-back-top-wsl</v>
      </c>
    </row>
    <row r="729" spans="1:15" ht="66" x14ac:dyDescent="0.3">
      <c r="A729" s="2" t="s">
        <v>1483</v>
      </c>
      <c r="B729" s="2" t="s">
        <v>3595</v>
      </c>
      <c r="C729" s="2" t="s">
        <v>3596</v>
      </c>
      <c r="D729" s="2" t="s">
        <v>3597</v>
      </c>
      <c r="E729" s="2" t="str">
        <f>HYPERLINK("http://twitter.com/lawson_sv")</f>
        <v>http://twitter.com/lawson_sv</v>
      </c>
      <c r="F729" s="2" t="str">
        <f>HYPERLINK("https://muckrack.com/sophie-lawson")</f>
        <v>https://muckrack.com/sophie-lawson</v>
      </c>
      <c r="G729" s="2">
        <v>6837</v>
      </c>
      <c r="H729" s="2" t="s">
        <v>3598</v>
      </c>
      <c r="I729" s="2" t="s">
        <v>3599</v>
      </c>
      <c r="J729" s="2" t="s">
        <v>2515</v>
      </c>
      <c r="K729" s="2" t="s">
        <v>209</v>
      </c>
      <c r="L729" s="2" t="s">
        <v>3703</v>
      </c>
      <c r="M729" s="5">
        <v>45415.338055555563</v>
      </c>
      <c r="N729" s="2" t="str">
        <f>HYPERLINK("http://twitter.com/lawson_sv/status/1786366798977229308")</f>
        <v>http://twitter.com/lawson_sv/status/1786366798977229308</v>
      </c>
      <c r="O729" s="2" t="str">
        <f>HYPERLINK("https://www.espn.com/soccer/story/_/id/40067958/can-arsenal-record-breaking-fan-base-take-back-top-wsl")</f>
        <v>https://www.espn.com/soccer/story/_/id/40067958/can-arsenal-record-breaking-fan-base-take-back-top-wsl</v>
      </c>
    </row>
    <row r="730" spans="1:15" ht="79.2" x14ac:dyDescent="0.3">
      <c r="A730" s="2" t="s">
        <v>3092</v>
      </c>
      <c r="B730" s="2" t="s">
        <v>1910</v>
      </c>
      <c r="C730" s="2" t="s">
        <v>3093</v>
      </c>
      <c r="D730" s="2" t="s">
        <v>3094</v>
      </c>
      <c r="E730" s="2" t="str">
        <f>HYPERLINK("http://twitter.com/RichNye13")</f>
        <v>http://twitter.com/RichNye13</v>
      </c>
      <c r="F730" s="2" t="str">
        <f>HYPERLINK("https://muckrack.com/rich-nye")</f>
        <v>https://muckrack.com/rich-nye</v>
      </c>
      <c r="G730" s="2">
        <v>15206</v>
      </c>
      <c r="H730" s="2" t="s">
        <v>2123</v>
      </c>
      <c r="I730" s="2" t="s">
        <v>3095</v>
      </c>
      <c r="J730" s="2" t="s">
        <v>2033</v>
      </c>
      <c r="K730" s="2" t="s">
        <v>130</v>
      </c>
      <c r="L730" s="2" t="s">
        <v>3706</v>
      </c>
      <c r="M730" s="5">
        <v>45413.893888888888</v>
      </c>
      <c r="N730" s="2" t="str">
        <f>HYPERLINK("http://twitter.com/RichNye13/status/1785843448018268400")</f>
        <v>http://twitter.com/RichNye13/status/1785843448018268400</v>
      </c>
      <c r="O730" s="2" t="str">
        <f>HYPERLINK("https://www.wthr.com/article/sports/soccer/indy-eleven/mayor-joe-hogsett-negotiations-on-eleven-park-soccer-stadium-terminated-while-his-new-proposal-advances/531-d3c880fd-fa15-47fb-ac44-1b1778fd5b79")</f>
        <v>https://www.wthr.com/article/sports/soccer/indy-eleven/mayor-joe-hogsett-negotiations-on-eleven-park-soccer-stadium-terminated-while-his-new-proposal-advances/531-d3c880fd-fa15-47fb-ac44-1b1778fd5b79</v>
      </c>
    </row>
    <row r="731" spans="1:15" ht="39.6" x14ac:dyDescent="0.3">
      <c r="A731" s="2" t="s">
        <v>3306</v>
      </c>
      <c r="B731" s="2" t="s">
        <v>2467</v>
      </c>
      <c r="C731" s="2" t="s">
        <v>3307</v>
      </c>
      <c r="D731" s="2" t="s">
        <v>3308</v>
      </c>
      <c r="E731" s="2" t="str">
        <f>HYPERLINK("http://twitter.com/ChrisSikich")</f>
        <v>http://twitter.com/ChrisSikich</v>
      </c>
      <c r="F731" s="2" t="str">
        <f>HYPERLINK("https://muckrack.com/chrissikich")</f>
        <v>https://muckrack.com/chrissikich</v>
      </c>
      <c r="G731" s="2">
        <v>7531</v>
      </c>
      <c r="H731" s="2" t="s">
        <v>2132</v>
      </c>
      <c r="I731" s="2" t="s">
        <v>3309</v>
      </c>
      <c r="J731" s="2" t="s">
        <v>2008</v>
      </c>
      <c r="K731" s="2" t="s">
        <v>1974</v>
      </c>
      <c r="L731" s="2" t="s">
        <v>3707</v>
      </c>
      <c r="M731" s="5">
        <v>45414.441238425927</v>
      </c>
      <c r="N731" s="2" t="str">
        <f>HYPERLINK("http://twitter.com/ChrisSikich/status/1786041801654047152")</f>
        <v>http://twitter.com/ChrisSikich/status/1786041801654047152</v>
      </c>
      <c r="O731" s="2" t="str">
        <f>HYPERLINK("https://mirrorindy.org/indianapolis-mayor-joe-hogsett-soccer-stadium-political-support-eleven-park/")</f>
        <v>https://mirrorindy.org/indianapolis-mayor-joe-hogsett-soccer-stadium-political-support-eleven-park/</v>
      </c>
    </row>
    <row r="732" spans="1:15" ht="66" x14ac:dyDescent="0.3">
      <c r="A732" s="2" t="s">
        <v>107</v>
      </c>
      <c r="B732" s="2" t="s">
        <v>1969</v>
      </c>
      <c r="C732" s="2" t="s">
        <v>1970</v>
      </c>
      <c r="D732" s="2" t="s">
        <v>1971</v>
      </c>
      <c r="E732" s="2" t="str">
        <f>HYPERLINK("http://twitter.com/indyemapolis")</f>
        <v>http://twitter.com/indyemapolis</v>
      </c>
      <c r="F732" s="2" t="str">
        <f>HYPERLINK("https://muckrack.com/emily-hopkins-2")</f>
        <v>https://muckrack.com/emily-hopkins-2</v>
      </c>
      <c r="G732" s="2">
        <v>3414</v>
      </c>
      <c r="H732" s="2" t="s">
        <v>1972</v>
      </c>
      <c r="I732" s="2" t="s">
        <v>1973</v>
      </c>
      <c r="J732" s="2" t="s">
        <v>1954</v>
      </c>
      <c r="K732" s="2" t="s">
        <v>1974</v>
      </c>
      <c r="L732" s="2" t="s">
        <v>3708</v>
      </c>
      <c r="M732" s="5">
        <v>45414.495717592603</v>
      </c>
      <c r="N732" s="2" t="str">
        <f>HYPERLINK("http://twitter.com/indyemapolis/status/1786061546310787303")</f>
        <v>http://twitter.com/indyemapolis/status/1786061546310787303</v>
      </c>
      <c r="O732" s="2" t="str">
        <f>HYPERLINK("https://mirrorindy.org/indianapolis-mayor-joe-hogsett-soccer-stadium-political-support-eleven-park/")</f>
        <v>https://mirrorindy.org/indianapolis-mayor-joe-hogsett-soccer-stadium-political-support-eleven-park/</v>
      </c>
    </row>
    <row r="733" spans="1:15" ht="52.8" x14ac:dyDescent="0.3">
      <c r="A733" s="2" t="s">
        <v>966</v>
      </c>
      <c r="B733" s="2" t="s">
        <v>2311</v>
      </c>
      <c r="C733" s="2" t="s">
        <v>2908</v>
      </c>
      <c r="D733" s="2" t="s">
        <v>2909</v>
      </c>
      <c r="E733" s="2" t="str">
        <f>HYPERLINK("http://twitter.com/Ty_Fenwick")</f>
        <v>http://twitter.com/Ty_Fenwick</v>
      </c>
      <c r="F733" s="2" t="str">
        <f>HYPERLINK("https://muckrack.com/tyler-fenwick-1")</f>
        <v>https://muckrack.com/tyler-fenwick-1</v>
      </c>
      <c r="G733" s="2">
        <v>1519</v>
      </c>
      <c r="H733" s="2" t="s">
        <v>1972</v>
      </c>
      <c r="I733" s="2" t="s">
        <v>2910</v>
      </c>
      <c r="J733" s="2" t="s">
        <v>2911</v>
      </c>
      <c r="K733" s="2" t="s">
        <v>1974</v>
      </c>
      <c r="L733" s="2" t="s">
        <v>3709</v>
      </c>
      <c r="M733" s="5">
        <v>45414.506921296299</v>
      </c>
      <c r="N733" s="2" t="str">
        <f>HYPERLINK("http://twitter.com/Ty_Fenwick/status/1786065604031471693")</f>
        <v>http://twitter.com/Ty_Fenwick/status/1786065604031471693</v>
      </c>
      <c r="O733" s="2" t="str">
        <f>HYPERLINK("https://mirrorindy.org/indianapolis-mayor-joe-hogsett-soccer-stadium-political-support-eleven-park/")</f>
        <v>https://mirrorindy.org/indianapolis-mayor-joe-hogsett-soccer-stadium-political-support-eleven-park/</v>
      </c>
    </row>
    <row r="734" spans="1:15" ht="52.8" x14ac:dyDescent="0.3">
      <c r="A734" s="2" t="s">
        <v>616</v>
      </c>
      <c r="B734" s="2" t="s">
        <v>1976</v>
      </c>
      <c r="C734" s="2" t="s">
        <v>1977</v>
      </c>
      <c r="D734" s="2" t="s">
        <v>1978</v>
      </c>
      <c r="E734" s="2" t="str">
        <f>HYPERLINK("http://twitter.com/ryanmartin")</f>
        <v>http://twitter.com/ryanmartin</v>
      </c>
      <c r="F734" s="2" t="str">
        <f>HYPERLINK("https://muckrack.com/ryanmartin")</f>
        <v>https://muckrack.com/ryanmartin</v>
      </c>
      <c r="G734" s="2">
        <v>11135</v>
      </c>
      <c r="H734" s="2" t="s">
        <v>1972</v>
      </c>
      <c r="I734" s="2" t="s">
        <v>1979</v>
      </c>
      <c r="J734" s="2" t="s">
        <v>1954</v>
      </c>
      <c r="K734" s="2" t="s">
        <v>1974</v>
      </c>
      <c r="L734" s="2" t="s">
        <v>3710</v>
      </c>
      <c r="M734" s="5">
        <v>45413.822372685187</v>
      </c>
      <c r="N734" s="2" t="str">
        <f>HYPERLINK("http://twitter.com/ryanmartin/status/1785817532844184014")</f>
        <v>http://twitter.com/ryanmartin/status/1785817532844184014</v>
      </c>
      <c r="O734" s="2" t="str">
        <f t="shared" ref="O734:O756" si="29">HYPERLINK("https://mirrorindy.org/greenlawn-cemetery-keystone-eleven-park-indianapolis/")</f>
        <v>https://mirrorindy.org/greenlawn-cemetery-keystone-eleven-park-indianapolis/</v>
      </c>
    </row>
    <row r="735" spans="1:15" ht="66" x14ac:dyDescent="0.3">
      <c r="A735" s="2" t="s">
        <v>616</v>
      </c>
      <c r="B735" s="2" t="s">
        <v>1976</v>
      </c>
      <c r="C735" s="2" t="s">
        <v>1977</v>
      </c>
      <c r="D735" s="2" t="s">
        <v>1978</v>
      </c>
      <c r="E735" s="2" t="str">
        <f>HYPERLINK("http://twitter.com/ryanmartin")</f>
        <v>http://twitter.com/ryanmartin</v>
      </c>
      <c r="F735" s="2" t="str">
        <f>HYPERLINK("https://muckrack.com/ryanmartin")</f>
        <v>https://muckrack.com/ryanmartin</v>
      </c>
      <c r="G735" s="2">
        <v>11135</v>
      </c>
      <c r="H735" s="2" t="s">
        <v>1972</v>
      </c>
      <c r="I735" s="2" t="s">
        <v>1979</v>
      </c>
      <c r="J735" s="2" t="s">
        <v>1954</v>
      </c>
      <c r="K735" s="2" t="s">
        <v>1974</v>
      </c>
      <c r="L735" s="2" t="s">
        <v>3711</v>
      </c>
      <c r="M735" s="5">
        <v>45414.394375000003</v>
      </c>
      <c r="N735" s="2" t="str">
        <f>HYPERLINK("http://twitter.com/ryanmartin/status/1786024818795589939")</f>
        <v>http://twitter.com/ryanmartin/status/1786024818795589939</v>
      </c>
      <c r="O735" s="2" t="str">
        <f t="shared" si="29"/>
        <v>https://mirrorindy.org/greenlawn-cemetery-keystone-eleven-park-indianapolis/</v>
      </c>
    </row>
    <row r="736" spans="1:15" ht="66" x14ac:dyDescent="0.3">
      <c r="A736" s="2" t="s">
        <v>616</v>
      </c>
      <c r="B736" s="2" t="s">
        <v>1976</v>
      </c>
      <c r="C736" s="2" t="s">
        <v>1977</v>
      </c>
      <c r="D736" s="2" t="s">
        <v>1978</v>
      </c>
      <c r="E736" s="2" t="str">
        <f>HYPERLINK("http://twitter.com/ryanmartin")</f>
        <v>http://twitter.com/ryanmartin</v>
      </c>
      <c r="F736" s="2" t="str">
        <f>HYPERLINK("https://muckrack.com/ryanmartin")</f>
        <v>https://muckrack.com/ryanmartin</v>
      </c>
      <c r="G736" s="2">
        <v>11135</v>
      </c>
      <c r="H736" s="2" t="s">
        <v>1972</v>
      </c>
      <c r="I736" s="2" t="s">
        <v>1979</v>
      </c>
      <c r="J736" s="2" t="s">
        <v>1954</v>
      </c>
      <c r="K736" s="2" t="s">
        <v>1974</v>
      </c>
      <c r="L736" s="2" t="s">
        <v>3712</v>
      </c>
      <c r="M736" s="5">
        <v>45414.436990740738</v>
      </c>
      <c r="N736" s="2" t="str">
        <f>HYPERLINK("http://twitter.com/ryanmartin/status/1786040262763942215")</f>
        <v>http://twitter.com/ryanmartin/status/1786040262763942215</v>
      </c>
      <c r="O736" s="2" t="str">
        <f t="shared" si="29"/>
        <v>https://mirrorindy.org/greenlawn-cemetery-keystone-eleven-park-indianapolis/</v>
      </c>
    </row>
    <row r="737" spans="1:15" ht="39.6" x14ac:dyDescent="0.3">
      <c r="A737" s="2" t="s">
        <v>616</v>
      </c>
      <c r="B737" s="2" t="s">
        <v>1976</v>
      </c>
      <c r="C737" s="2" t="s">
        <v>1977</v>
      </c>
      <c r="D737" s="2" t="s">
        <v>1978</v>
      </c>
      <c r="E737" s="2" t="str">
        <f>HYPERLINK("http://twitter.com/ryanmartin")</f>
        <v>http://twitter.com/ryanmartin</v>
      </c>
      <c r="F737" s="2" t="str">
        <f>HYPERLINK("https://muckrack.com/ryanmartin")</f>
        <v>https://muckrack.com/ryanmartin</v>
      </c>
      <c r="G737" s="2">
        <v>11135</v>
      </c>
      <c r="H737" s="2" t="s">
        <v>1972</v>
      </c>
      <c r="I737" s="2" t="s">
        <v>1979</v>
      </c>
      <c r="J737" s="2" t="s">
        <v>1954</v>
      </c>
      <c r="K737" s="2" t="s">
        <v>1974</v>
      </c>
      <c r="L737" s="2" t="s">
        <v>3713</v>
      </c>
      <c r="M737" s="5">
        <v>45434.705324074072</v>
      </c>
      <c r="N737" s="2" t="str">
        <f>HYPERLINK("http://twitter.com/ryanmartin/status/1793385262677926256")</f>
        <v>http://twitter.com/ryanmartin/status/1793385262677926256</v>
      </c>
      <c r="O737" s="2" t="str">
        <f t="shared" si="29"/>
        <v>https://mirrorindy.org/greenlawn-cemetery-keystone-eleven-park-indianapolis/</v>
      </c>
    </row>
    <row r="738" spans="1:15" ht="52.8" x14ac:dyDescent="0.3">
      <c r="A738" s="2" t="s">
        <v>1986</v>
      </c>
      <c r="B738" s="2" t="s">
        <v>1987</v>
      </c>
      <c r="C738" s="2" t="s">
        <v>1988</v>
      </c>
      <c r="D738" s="2" t="s">
        <v>1989</v>
      </c>
      <c r="E738" s="2" t="str">
        <f>HYPERLINK("http://twitter.com/clairerafford")</f>
        <v>http://twitter.com/clairerafford</v>
      </c>
      <c r="F738" s="2" t="str">
        <f>HYPERLINK("https://muckrack.com/claire-rafford")</f>
        <v>https://muckrack.com/claire-rafford</v>
      </c>
      <c r="G738" s="2">
        <v>1224</v>
      </c>
      <c r="H738" s="2" t="s">
        <v>1990</v>
      </c>
      <c r="I738" s="2" t="s">
        <v>1991</v>
      </c>
      <c r="J738" s="2" t="s">
        <v>1992</v>
      </c>
      <c r="K738" s="2" t="s">
        <v>132</v>
      </c>
      <c r="L738" s="2" t="s">
        <v>3710</v>
      </c>
      <c r="M738" s="5">
        <v>45413.849039351851</v>
      </c>
      <c r="N738" s="2" t="str">
        <f>HYPERLINK("http://twitter.com/clairerafford/status/1785827196562452799")</f>
        <v>http://twitter.com/clairerafford/status/1785827196562452799</v>
      </c>
      <c r="O738" s="2" t="str">
        <f t="shared" si="29"/>
        <v>https://mirrorindy.org/greenlawn-cemetery-keystone-eleven-park-indianapolis/</v>
      </c>
    </row>
    <row r="739" spans="1:15" ht="66" x14ac:dyDescent="0.3">
      <c r="A739" s="2" t="s">
        <v>1986</v>
      </c>
      <c r="B739" s="2" t="s">
        <v>1987</v>
      </c>
      <c r="C739" s="2" t="s">
        <v>1988</v>
      </c>
      <c r="D739" s="2" t="s">
        <v>1989</v>
      </c>
      <c r="E739" s="2" t="str">
        <f>HYPERLINK("http://twitter.com/clairerafford")</f>
        <v>http://twitter.com/clairerafford</v>
      </c>
      <c r="F739" s="2" t="str">
        <f>HYPERLINK("https://muckrack.com/claire-rafford")</f>
        <v>https://muckrack.com/claire-rafford</v>
      </c>
      <c r="G739" s="2">
        <v>1224</v>
      </c>
      <c r="H739" s="2" t="s">
        <v>1990</v>
      </c>
      <c r="I739" s="2" t="s">
        <v>1991</v>
      </c>
      <c r="J739" s="2" t="s">
        <v>1992</v>
      </c>
      <c r="K739" s="2" t="s">
        <v>132</v>
      </c>
      <c r="L739" s="2" t="s">
        <v>3714</v>
      </c>
      <c r="M739" s="5">
        <v>45414.411828703713</v>
      </c>
      <c r="N739" s="2" t="str">
        <f>HYPERLINK("http://twitter.com/clairerafford/status/1786031143365620205")</f>
        <v>http://twitter.com/clairerafford/status/1786031143365620205</v>
      </c>
      <c r="O739" s="2" t="str">
        <f t="shared" si="29"/>
        <v>https://mirrorindy.org/greenlawn-cemetery-keystone-eleven-park-indianapolis/</v>
      </c>
    </row>
    <row r="740" spans="1:15" ht="39.6" x14ac:dyDescent="0.3">
      <c r="A740" s="2" t="s">
        <v>1986</v>
      </c>
      <c r="B740" s="2" t="s">
        <v>1987</v>
      </c>
      <c r="C740" s="2" t="s">
        <v>1988</v>
      </c>
      <c r="D740" s="2" t="s">
        <v>1989</v>
      </c>
      <c r="E740" s="2" t="str">
        <f>HYPERLINK("http://twitter.com/clairerafford")</f>
        <v>http://twitter.com/clairerafford</v>
      </c>
      <c r="F740" s="2" t="str">
        <f>HYPERLINK("https://muckrack.com/claire-rafford")</f>
        <v>https://muckrack.com/claire-rafford</v>
      </c>
      <c r="G740" s="2">
        <v>1224</v>
      </c>
      <c r="H740" s="2" t="s">
        <v>1990</v>
      </c>
      <c r="I740" s="2" t="s">
        <v>1991</v>
      </c>
      <c r="J740" s="2" t="s">
        <v>1992</v>
      </c>
      <c r="K740" s="2" t="s">
        <v>132</v>
      </c>
      <c r="L740" s="2" t="s">
        <v>3715</v>
      </c>
      <c r="M740" s="5">
        <v>45414.422442129631</v>
      </c>
      <c r="N740" s="2" t="str">
        <f>HYPERLINK("http://twitter.com/clairerafford/status/1786034989257171149")</f>
        <v>http://twitter.com/clairerafford/status/1786034989257171149</v>
      </c>
      <c r="O740" s="2" t="str">
        <f t="shared" si="29"/>
        <v>https://mirrorindy.org/greenlawn-cemetery-keystone-eleven-park-indianapolis/</v>
      </c>
    </row>
    <row r="741" spans="1:15" ht="52.8" x14ac:dyDescent="0.3">
      <c r="A741" s="2" t="s">
        <v>3716</v>
      </c>
      <c r="B741" s="2" t="s">
        <v>3717</v>
      </c>
      <c r="C741" s="2" t="s">
        <v>3718</v>
      </c>
      <c r="D741" s="2" t="s">
        <v>3719</v>
      </c>
      <c r="E741" s="2" t="str">
        <f>HYPERLINK("http://twitter.com/Wesley___Wright")</f>
        <v>http://twitter.com/Wesley___Wright</v>
      </c>
      <c r="F741" s="2" t="str">
        <f>HYPERLINK("https://muckrack.com/wesley-wright-5")</f>
        <v>https://muckrack.com/wesley-wright-5</v>
      </c>
      <c r="G741" s="2">
        <v>1276</v>
      </c>
      <c r="H741" s="2"/>
      <c r="I741" s="2" t="s">
        <v>3720</v>
      </c>
      <c r="J741" s="2" t="s">
        <v>1954</v>
      </c>
      <c r="K741" s="2" t="s">
        <v>3721</v>
      </c>
      <c r="L741" s="2" t="s">
        <v>3710</v>
      </c>
      <c r="M741" s="5">
        <v>45414.253692129627</v>
      </c>
      <c r="N741" s="2" t="str">
        <f>HYPERLINK("http://twitter.com/Wesley___Wright/status/1785973837345005870")</f>
        <v>http://twitter.com/Wesley___Wright/status/1785973837345005870</v>
      </c>
      <c r="O741" s="2" t="str">
        <f t="shared" si="29"/>
        <v>https://mirrorindy.org/greenlawn-cemetery-keystone-eleven-park-indianapolis/</v>
      </c>
    </row>
    <row r="742" spans="1:15" ht="39.6" x14ac:dyDescent="0.3">
      <c r="A742" s="2" t="s">
        <v>3306</v>
      </c>
      <c r="B742" s="2" t="s">
        <v>2467</v>
      </c>
      <c r="C742" s="2" t="s">
        <v>3307</v>
      </c>
      <c r="D742" s="2" t="s">
        <v>3308</v>
      </c>
      <c r="E742" s="2" t="str">
        <f>HYPERLINK("http://twitter.com/ChrisSikich")</f>
        <v>http://twitter.com/ChrisSikich</v>
      </c>
      <c r="F742" s="2" t="str">
        <f>HYPERLINK("https://muckrack.com/chrissikich")</f>
        <v>https://muckrack.com/chrissikich</v>
      </c>
      <c r="G742" s="2">
        <v>7531</v>
      </c>
      <c r="H742" s="2" t="s">
        <v>2132</v>
      </c>
      <c r="I742" s="2" t="s">
        <v>3309</v>
      </c>
      <c r="J742" s="2" t="s">
        <v>2008</v>
      </c>
      <c r="K742" s="2" t="s">
        <v>1974</v>
      </c>
      <c r="L742" s="2" t="s">
        <v>3722</v>
      </c>
      <c r="M742" s="5">
        <v>45414.319675925923</v>
      </c>
      <c r="N742" s="2" t="str">
        <f>HYPERLINK("http://twitter.com/ChrisSikich/status/1785997749671874586")</f>
        <v>http://twitter.com/ChrisSikich/status/1785997749671874586</v>
      </c>
      <c r="O742" s="2" t="str">
        <f t="shared" si="29"/>
        <v>https://mirrorindy.org/greenlawn-cemetery-keystone-eleven-park-indianapolis/</v>
      </c>
    </row>
    <row r="743" spans="1:15" ht="52.8" x14ac:dyDescent="0.3">
      <c r="A743" s="2" t="s">
        <v>3723</v>
      </c>
      <c r="B743" s="2" t="s">
        <v>3671</v>
      </c>
      <c r="C743" s="2" t="s">
        <v>3724</v>
      </c>
      <c r="D743" s="2" t="s">
        <v>3725</v>
      </c>
      <c r="E743" s="2" t="str">
        <f>HYPERLINK("http://twitter.com/JournoJay")</f>
        <v>http://twitter.com/JournoJay</v>
      </c>
      <c r="F743" s="2" t="str">
        <f>HYPERLINK("https://muckrack.com/jaydenk")</f>
        <v>https://muckrack.com/jaydenk</v>
      </c>
      <c r="G743" s="2">
        <v>491</v>
      </c>
      <c r="H743" s="2" t="s">
        <v>1972</v>
      </c>
      <c r="I743" s="2" t="s">
        <v>3726</v>
      </c>
      <c r="J743" s="2" t="s">
        <v>3727</v>
      </c>
      <c r="K743" s="2" t="s">
        <v>3728</v>
      </c>
      <c r="L743" s="2" t="s">
        <v>3710</v>
      </c>
      <c r="M743" s="5">
        <v>45414.337488425917</v>
      </c>
      <c r="N743" s="2" t="str">
        <f>HYPERLINK("http://twitter.com/JournoJay/status/1786004207071334747")</f>
        <v>http://twitter.com/JournoJay/status/1786004207071334747</v>
      </c>
      <c r="O743" s="2" t="str">
        <f t="shared" si="29"/>
        <v>https://mirrorindy.org/greenlawn-cemetery-keystone-eleven-park-indianapolis/</v>
      </c>
    </row>
    <row r="744" spans="1:15" ht="39.6" x14ac:dyDescent="0.3">
      <c r="A744" s="2" t="s">
        <v>107</v>
      </c>
      <c r="B744" s="2" t="s">
        <v>1969</v>
      </c>
      <c r="C744" s="2" t="s">
        <v>1970</v>
      </c>
      <c r="D744" s="2" t="s">
        <v>1971</v>
      </c>
      <c r="E744" s="2" t="str">
        <f>HYPERLINK("http://twitter.com/indyemapolis")</f>
        <v>http://twitter.com/indyemapolis</v>
      </c>
      <c r="F744" s="2" t="str">
        <f>HYPERLINK("https://muckrack.com/emily-hopkins-2")</f>
        <v>https://muckrack.com/emily-hopkins-2</v>
      </c>
      <c r="G744" s="2">
        <v>3414</v>
      </c>
      <c r="H744" s="2" t="s">
        <v>1972</v>
      </c>
      <c r="I744" s="2" t="s">
        <v>1973</v>
      </c>
      <c r="J744" s="2" t="s">
        <v>1954</v>
      </c>
      <c r="K744" s="2" t="s">
        <v>1974</v>
      </c>
      <c r="L744" s="2" t="s">
        <v>3729</v>
      </c>
      <c r="M744" s="5">
        <v>45414.343842592592</v>
      </c>
      <c r="N744" s="2" t="str">
        <f>HYPERLINK("http://twitter.com/indyemapolis/status/1786006508901163379")</f>
        <v>http://twitter.com/indyemapolis/status/1786006508901163379</v>
      </c>
      <c r="O744" s="2" t="str">
        <f t="shared" si="29"/>
        <v>https://mirrorindy.org/greenlawn-cemetery-keystone-eleven-park-indianapolis/</v>
      </c>
    </row>
    <row r="745" spans="1:15" ht="39.6" x14ac:dyDescent="0.3">
      <c r="A745" s="2" t="s">
        <v>107</v>
      </c>
      <c r="B745" s="2" t="s">
        <v>1969</v>
      </c>
      <c r="C745" s="2" t="s">
        <v>1970</v>
      </c>
      <c r="D745" s="2" t="s">
        <v>1971</v>
      </c>
      <c r="E745" s="2" t="str">
        <f>HYPERLINK("http://twitter.com/indyemapolis")</f>
        <v>http://twitter.com/indyemapolis</v>
      </c>
      <c r="F745" s="2" t="str">
        <f>HYPERLINK("https://muckrack.com/emily-hopkins-2")</f>
        <v>https://muckrack.com/emily-hopkins-2</v>
      </c>
      <c r="G745" s="2">
        <v>3414</v>
      </c>
      <c r="H745" s="2" t="s">
        <v>1972</v>
      </c>
      <c r="I745" s="2" t="s">
        <v>1973</v>
      </c>
      <c r="J745" s="2" t="s">
        <v>1954</v>
      </c>
      <c r="K745" s="2" t="s">
        <v>1974</v>
      </c>
      <c r="L745" s="2" t="s">
        <v>3730</v>
      </c>
      <c r="M745" s="5">
        <v>45414.428194444437</v>
      </c>
      <c r="N745" s="2" t="str">
        <f>HYPERLINK("http://twitter.com/indyemapolis/status/1786037077886345652")</f>
        <v>http://twitter.com/indyemapolis/status/1786037077886345652</v>
      </c>
      <c r="O745" s="2" t="str">
        <f t="shared" si="29"/>
        <v>https://mirrorindy.org/greenlawn-cemetery-keystone-eleven-park-indianapolis/</v>
      </c>
    </row>
    <row r="746" spans="1:15" ht="66" x14ac:dyDescent="0.3">
      <c r="A746" s="2" t="s">
        <v>107</v>
      </c>
      <c r="B746" s="2" t="s">
        <v>1969</v>
      </c>
      <c r="C746" s="2" t="s">
        <v>1970</v>
      </c>
      <c r="D746" s="2" t="s">
        <v>1971</v>
      </c>
      <c r="E746" s="2" t="str">
        <f>HYPERLINK("http://twitter.com/indyemapolis")</f>
        <v>http://twitter.com/indyemapolis</v>
      </c>
      <c r="F746" s="2" t="str">
        <f>HYPERLINK("https://muckrack.com/emily-hopkins-2")</f>
        <v>https://muckrack.com/emily-hopkins-2</v>
      </c>
      <c r="G746" s="2">
        <v>3414</v>
      </c>
      <c r="H746" s="2" t="s">
        <v>1972</v>
      </c>
      <c r="I746" s="2" t="s">
        <v>1973</v>
      </c>
      <c r="J746" s="2" t="s">
        <v>1954</v>
      </c>
      <c r="K746" s="2" t="s">
        <v>1974</v>
      </c>
      <c r="L746" s="2" t="s">
        <v>3712</v>
      </c>
      <c r="M746" s="5">
        <v>45414.440671296303</v>
      </c>
      <c r="N746" s="2" t="str">
        <f>HYPERLINK("http://twitter.com/indyemapolis/status/1786041596388974602")</f>
        <v>http://twitter.com/indyemapolis/status/1786041596388974602</v>
      </c>
      <c r="O746" s="2" t="str">
        <f t="shared" si="29"/>
        <v>https://mirrorindy.org/greenlawn-cemetery-keystone-eleven-park-indianapolis/</v>
      </c>
    </row>
    <row r="747" spans="1:15" ht="39.6" x14ac:dyDescent="0.3">
      <c r="A747" s="2" t="s">
        <v>107</v>
      </c>
      <c r="B747" s="2" t="s">
        <v>1969</v>
      </c>
      <c r="C747" s="2" t="s">
        <v>1970</v>
      </c>
      <c r="D747" s="2" t="s">
        <v>1971</v>
      </c>
      <c r="E747" s="2" t="str">
        <f>HYPERLINK("http://twitter.com/indyemapolis")</f>
        <v>http://twitter.com/indyemapolis</v>
      </c>
      <c r="F747" s="2" t="str">
        <f>HYPERLINK("https://muckrack.com/emily-hopkins-2")</f>
        <v>https://muckrack.com/emily-hopkins-2</v>
      </c>
      <c r="G747" s="2">
        <v>3414</v>
      </c>
      <c r="H747" s="2" t="s">
        <v>1972</v>
      </c>
      <c r="I747" s="2" t="s">
        <v>1973</v>
      </c>
      <c r="J747" s="2" t="s">
        <v>1954</v>
      </c>
      <c r="K747" s="2" t="s">
        <v>1974</v>
      </c>
      <c r="L747" s="2" t="s">
        <v>3731</v>
      </c>
      <c r="M747" s="5">
        <v>45414.512569444443</v>
      </c>
      <c r="N747" s="2" t="str">
        <f>HYPERLINK("http://twitter.com/indyemapolis/status/1786067653104119905")</f>
        <v>http://twitter.com/indyemapolis/status/1786067653104119905</v>
      </c>
      <c r="O747" s="2" t="str">
        <f t="shared" si="29"/>
        <v>https://mirrorindy.org/greenlawn-cemetery-keystone-eleven-park-indianapolis/</v>
      </c>
    </row>
    <row r="748" spans="1:15" ht="105.6" x14ac:dyDescent="0.3">
      <c r="A748" s="2" t="s">
        <v>107</v>
      </c>
      <c r="B748" s="2" t="s">
        <v>1969</v>
      </c>
      <c r="C748" s="2" t="s">
        <v>1970</v>
      </c>
      <c r="D748" s="2" t="s">
        <v>1971</v>
      </c>
      <c r="E748" s="2" t="str">
        <f>HYPERLINK("http://twitter.com/indyemapolis")</f>
        <v>http://twitter.com/indyemapolis</v>
      </c>
      <c r="F748" s="2" t="str">
        <f>HYPERLINK("https://muckrack.com/emily-hopkins-2")</f>
        <v>https://muckrack.com/emily-hopkins-2</v>
      </c>
      <c r="G748" s="2">
        <v>3414</v>
      </c>
      <c r="H748" s="2" t="s">
        <v>1972</v>
      </c>
      <c r="I748" s="2" t="s">
        <v>1973</v>
      </c>
      <c r="J748" s="2" t="s">
        <v>1954</v>
      </c>
      <c r="K748" s="2" t="s">
        <v>1974</v>
      </c>
      <c r="L748" s="2" t="s">
        <v>3732</v>
      </c>
      <c r="M748" s="5">
        <v>45467.413518518522</v>
      </c>
      <c r="N748" s="2" t="str">
        <f>HYPERLINK("http://twitter.com/indyemapolis/status/1805238313730584955")</f>
        <v>http://twitter.com/indyemapolis/status/1805238313730584955</v>
      </c>
      <c r="O748" s="2" t="str">
        <f t="shared" si="29"/>
        <v>https://mirrorindy.org/greenlawn-cemetery-keystone-eleven-park-indianapolis/</v>
      </c>
    </row>
    <row r="749" spans="1:15" ht="52.8" x14ac:dyDescent="0.3">
      <c r="A749" s="2" t="s">
        <v>618</v>
      </c>
      <c r="B749" s="2" t="s">
        <v>2061</v>
      </c>
      <c r="C749" s="2" t="s">
        <v>3203</v>
      </c>
      <c r="D749" s="2" t="s">
        <v>3204</v>
      </c>
      <c r="E749" s="2" t="str">
        <f>HYPERLINK("http://twitter.com/carleylanich")</f>
        <v>http://twitter.com/carleylanich</v>
      </c>
      <c r="F749" s="2" t="str">
        <f>HYPERLINK("https://muckrack.com/carley-lanich")</f>
        <v>https://muckrack.com/carley-lanich</v>
      </c>
      <c r="G749" s="2">
        <v>1722</v>
      </c>
      <c r="H749" s="2" t="s">
        <v>2132</v>
      </c>
      <c r="I749" s="2" t="s">
        <v>3205</v>
      </c>
      <c r="J749" s="2" t="s">
        <v>3206</v>
      </c>
      <c r="K749" s="2" t="s">
        <v>1974</v>
      </c>
      <c r="L749" s="2" t="s">
        <v>3710</v>
      </c>
      <c r="M749" s="5">
        <v>45414.375821759262</v>
      </c>
      <c r="N749" s="2" t="str">
        <f>HYPERLINK("http://twitter.com/carleylanich/status/1786018095523373524")</f>
        <v>http://twitter.com/carleylanich/status/1786018095523373524</v>
      </c>
      <c r="O749" s="2" t="str">
        <f t="shared" si="29"/>
        <v>https://mirrorindy.org/greenlawn-cemetery-keystone-eleven-park-indianapolis/</v>
      </c>
    </row>
    <row r="750" spans="1:15" ht="66" x14ac:dyDescent="0.3">
      <c r="A750" s="2" t="s">
        <v>3733</v>
      </c>
      <c r="B750" s="2" t="s">
        <v>3734</v>
      </c>
      <c r="C750" s="2" t="s">
        <v>3735</v>
      </c>
      <c r="D750" s="2" t="s">
        <v>3736</v>
      </c>
      <c r="E750" s="2" t="str">
        <f>HYPERLINK("http://twitter.com/smmills1960")</f>
        <v>http://twitter.com/smmills1960</v>
      </c>
      <c r="F750" s="2" t="str">
        <f>HYPERLINK("https://muckrack.com/steve-mills")</f>
        <v>https://muckrack.com/steve-mills</v>
      </c>
      <c r="G750" s="2">
        <v>2813</v>
      </c>
      <c r="H750" s="2" t="s">
        <v>3737</v>
      </c>
      <c r="I750" s="2" t="s">
        <v>3738</v>
      </c>
      <c r="J750" s="2" t="s">
        <v>3739</v>
      </c>
      <c r="K750" s="2" t="s">
        <v>3740</v>
      </c>
      <c r="L750" s="2" t="s">
        <v>3741</v>
      </c>
      <c r="M750" s="5">
        <v>45414.433437500003</v>
      </c>
      <c r="N750" s="2" t="str">
        <f>HYPERLINK("http://twitter.com/smmills1960/status/1786038977054548236")</f>
        <v>http://twitter.com/smmills1960/status/1786038977054548236</v>
      </c>
      <c r="O750" s="2" t="str">
        <f t="shared" si="29"/>
        <v>https://mirrorindy.org/greenlawn-cemetery-keystone-eleven-park-indianapolis/</v>
      </c>
    </row>
    <row r="751" spans="1:15" ht="39.6" x14ac:dyDescent="0.3">
      <c r="A751" s="2" t="s">
        <v>3742</v>
      </c>
      <c r="B751" s="2" t="s">
        <v>3743</v>
      </c>
      <c r="C751" s="2" t="s">
        <v>3744</v>
      </c>
      <c r="D751" s="2" t="s">
        <v>3745</v>
      </c>
      <c r="E751" s="2" t="str">
        <f>HYPERLINK("http://twitter.com/kayla_dwyer17")</f>
        <v>http://twitter.com/kayla_dwyer17</v>
      </c>
      <c r="F751" s="2" t="str">
        <f>HYPERLINK("https://muckrack.com/kayla-dwyer")</f>
        <v>https://muckrack.com/kayla-dwyer</v>
      </c>
      <c r="G751" s="2">
        <v>3675</v>
      </c>
      <c r="H751" s="2" t="s">
        <v>1972</v>
      </c>
      <c r="I751" s="2" t="s">
        <v>3746</v>
      </c>
      <c r="J751" s="2" t="s">
        <v>2008</v>
      </c>
      <c r="K751" s="2" t="s">
        <v>321</v>
      </c>
      <c r="L751" s="2" t="s">
        <v>3747</v>
      </c>
      <c r="M751" s="5">
        <v>45414.439641203702</v>
      </c>
      <c r="N751" s="2" t="str">
        <f>HYPERLINK("http://twitter.com/kayla_dwyer17/status/1786041225860067533")</f>
        <v>http://twitter.com/kayla_dwyer17/status/1786041225860067533</v>
      </c>
      <c r="O751" s="2" t="str">
        <f t="shared" si="29"/>
        <v>https://mirrorindy.org/greenlawn-cemetery-keystone-eleven-park-indianapolis/</v>
      </c>
    </row>
    <row r="752" spans="1:15" ht="52.8" x14ac:dyDescent="0.3">
      <c r="A752" s="2" t="s">
        <v>1981</v>
      </c>
      <c r="B752" s="2" t="s">
        <v>1982</v>
      </c>
      <c r="C752" s="2" t="s">
        <v>1983</v>
      </c>
      <c r="D752" s="2" t="s">
        <v>1984</v>
      </c>
      <c r="E752" s="2" t="str">
        <f>HYPERLINK("http://twitter.com/HelloImDarian")</f>
        <v>http://twitter.com/HelloImDarian</v>
      </c>
      <c r="F752" s="2" t="str">
        <f>HYPERLINK("https://muckrack.com/darian-benson-1")</f>
        <v>https://muckrack.com/darian-benson-1</v>
      </c>
      <c r="G752" s="2">
        <v>1367</v>
      </c>
      <c r="H752" s="2" t="s">
        <v>1972</v>
      </c>
      <c r="I752" s="2" t="s">
        <v>1985</v>
      </c>
      <c r="J752" s="2" t="s">
        <v>1954</v>
      </c>
      <c r="K752" s="2" t="s">
        <v>132</v>
      </c>
      <c r="L752" s="2" t="s">
        <v>3748</v>
      </c>
      <c r="M752" s="5">
        <v>45414.446180555547</v>
      </c>
      <c r="N752" s="2" t="str">
        <f>HYPERLINK("http://twitter.com/HelloImDarian/status/1786043594022756696")</f>
        <v>http://twitter.com/HelloImDarian/status/1786043594022756696</v>
      </c>
      <c r="O752" s="2" t="str">
        <f t="shared" si="29"/>
        <v>https://mirrorindy.org/greenlawn-cemetery-keystone-eleven-park-indianapolis/</v>
      </c>
    </row>
    <row r="753" spans="1:15" ht="52.8" x14ac:dyDescent="0.3">
      <c r="A753" s="2" t="s">
        <v>3749</v>
      </c>
      <c r="B753" s="2" t="s">
        <v>2372</v>
      </c>
      <c r="C753" s="2" t="s">
        <v>3750</v>
      </c>
      <c r="D753" s="2" t="s">
        <v>3751</v>
      </c>
      <c r="E753" s="2" t="str">
        <f>HYPERLINK("http://twitter.com/dmarieolsen")</f>
        <v>http://twitter.com/dmarieolsen</v>
      </c>
      <c r="F753" s="2" t="str">
        <f>HYPERLINK("https://muckrack.com/dawn-olsen")</f>
        <v>https://muckrack.com/dawn-olsen</v>
      </c>
      <c r="G753" s="2">
        <v>2468</v>
      </c>
      <c r="H753" s="2" t="s">
        <v>1972</v>
      </c>
      <c r="I753" s="2" t="s">
        <v>3752</v>
      </c>
      <c r="J753" s="2" t="s">
        <v>1915</v>
      </c>
      <c r="K753" s="2" t="s">
        <v>2034</v>
      </c>
      <c r="L753" s="2" t="s">
        <v>3710</v>
      </c>
      <c r="M753" s="5">
        <v>45414.553807870368</v>
      </c>
      <c r="N753" s="2" t="str">
        <f>HYPERLINK("http://twitter.com/dmarieolsen/status/1786082595068879275")</f>
        <v>http://twitter.com/dmarieolsen/status/1786082595068879275</v>
      </c>
      <c r="O753" s="2" t="str">
        <f t="shared" si="29"/>
        <v>https://mirrorindy.org/greenlawn-cemetery-keystone-eleven-park-indianapolis/</v>
      </c>
    </row>
    <row r="754" spans="1:15" ht="39.6" x14ac:dyDescent="0.3">
      <c r="A754" s="2" t="s">
        <v>3753</v>
      </c>
      <c r="B754" s="2" t="s">
        <v>3754</v>
      </c>
      <c r="C754" s="2" t="s">
        <v>3755</v>
      </c>
      <c r="D754" s="2" t="s">
        <v>3756</v>
      </c>
      <c r="E754" s="2" t="str">
        <f>HYPERLINK("http://twitter.com/akingsbury")</f>
        <v>http://twitter.com/akingsbury</v>
      </c>
      <c r="F754" s="2" t="str">
        <f>HYPERLINK("https://muckrack.com/akingsbury")</f>
        <v>https://muckrack.com/akingsbury</v>
      </c>
      <c r="G754" s="2">
        <v>2553</v>
      </c>
      <c r="H754" s="2" t="s">
        <v>2132</v>
      </c>
      <c r="I754" s="2" t="s">
        <v>3757</v>
      </c>
      <c r="J754" s="2" t="s">
        <v>1915</v>
      </c>
      <c r="K754" s="2" t="s">
        <v>1974</v>
      </c>
      <c r="L754" s="2" t="s">
        <v>3758</v>
      </c>
      <c r="M754" s="5">
        <v>45416.522303240738</v>
      </c>
      <c r="N754" s="2" t="str">
        <f>HYPERLINK("http://twitter.com/akingsbury/status/1786795956438028659")</f>
        <v>http://twitter.com/akingsbury/status/1786795956438028659</v>
      </c>
      <c r="O754" s="2" t="str">
        <f t="shared" si="29"/>
        <v>https://mirrorindy.org/greenlawn-cemetery-keystone-eleven-park-indianapolis/</v>
      </c>
    </row>
    <row r="755" spans="1:15" ht="52.8" x14ac:dyDescent="0.3">
      <c r="A755" s="2" t="s">
        <v>966</v>
      </c>
      <c r="B755" s="2" t="s">
        <v>2311</v>
      </c>
      <c r="C755" s="2" t="s">
        <v>2908</v>
      </c>
      <c r="D755" s="2" t="s">
        <v>2909</v>
      </c>
      <c r="E755" s="2" t="str">
        <f>HYPERLINK("http://twitter.com/Ty_Fenwick")</f>
        <v>http://twitter.com/Ty_Fenwick</v>
      </c>
      <c r="F755" s="2" t="str">
        <f>HYPERLINK("https://muckrack.com/tyler-fenwick-1")</f>
        <v>https://muckrack.com/tyler-fenwick-1</v>
      </c>
      <c r="G755" s="2">
        <v>1519</v>
      </c>
      <c r="H755" s="2" t="s">
        <v>1972</v>
      </c>
      <c r="I755" s="2" t="s">
        <v>2910</v>
      </c>
      <c r="J755" s="2" t="s">
        <v>2911</v>
      </c>
      <c r="K755" s="2" t="s">
        <v>1974</v>
      </c>
      <c r="L755" s="2" t="s">
        <v>3759</v>
      </c>
      <c r="M755" s="5">
        <v>45434.794675925928</v>
      </c>
      <c r="N755" s="2" t="str">
        <f>HYPERLINK("http://twitter.com/Ty_Fenwick/status/1793417640691880322")</f>
        <v>http://twitter.com/Ty_Fenwick/status/1793417640691880322</v>
      </c>
      <c r="O755" s="2" t="str">
        <f t="shared" si="29"/>
        <v>https://mirrorindy.org/greenlawn-cemetery-keystone-eleven-park-indianapolis/</v>
      </c>
    </row>
    <row r="756" spans="1:15" ht="39.6" x14ac:dyDescent="0.3">
      <c r="A756" s="2" t="s">
        <v>3402</v>
      </c>
      <c r="B756" s="2" t="s">
        <v>3403</v>
      </c>
      <c r="C756" s="2" t="s">
        <v>3404</v>
      </c>
      <c r="D756" s="2" t="s">
        <v>3405</v>
      </c>
      <c r="E756" s="2" t="str">
        <f>HYPERLINK("http://twitter.com/chrisspangle")</f>
        <v>http://twitter.com/chrisspangle</v>
      </c>
      <c r="F756" s="2" t="str">
        <f>HYPERLINK("https://muckrack.com/chris-spangle")</f>
        <v>https://muckrack.com/chris-spangle</v>
      </c>
      <c r="G756" s="2">
        <v>12472</v>
      </c>
      <c r="H756" s="2" t="s">
        <v>1972</v>
      </c>
      <c r="I756" s="2" t="s">
        <v>3406</v>
      </c>
      <c r="J756" s="2" t="s">
        <v>3407</v>
      </c>
      <c r="K756" s="2" t="s">
        <v>3408</v>
      </c>
      <c r="L756" s="2" t="str">
        <f>HYPERLINK("https://t.co/7kKt18jLuN")</f>
        <v>https://t.co/7kKt18jLuN</v>
      </c>
      <c r="M756" s="5">
        <v>45434.86822916667</v>
      </c>
      <c r="N756" s="2" t="str">
        <f>HYPERLINK("http://twitter.com/chrisspangle/status/1793444296235893226")</f>
        <v>http://twitter.com/chrisspangle/status/1793444296235893226</v>
      </c>
      <c r="O756" s="2" t="str">
        <f t="shared" si="29"/>
        <v>https://mirrorindy.org/greenlawn-cemetery-keystone-eleven-park-indianapolis/</v>
      </c>
    </row>
    <row r="757" spans="1:15" ht="66" x14ac:dyDescent="0.3">
      <c r="A757" s="2" t="s">
        <v>2119</v>
      </c>
      <c r="B757" s="2" t="s">
        <v>2120</v>
      </c>
      <c r="C757" s="2" t="s">
        <v>2121</v>
      </c>
      <c r="D757" s="2" t="s">
        <v>2122</v>
      </c>
      <c r="E757" s="2" t="str">
        <f>HYPERLINK("http://twitter.com/starwatchtim")</f>
        <v>http://twitter.com/starwatchtim</v>
      </c>
      <c r="F757" s="2" t="str">
        <f>HYPERLINK("https://muckrack.com/starwatchtim")</f>
        <v>https://muckrack.com/starwatchtim</v>
      </c>
      <c r="G757" s="2">
        <v>7285</v>
      </c>
      <c r="H757" s="2" t="s">
        <v>2123</v>
      </c>
      <c r="I757" s="2" t="s">
        <v>2124</v>
      </c>
      <c r="J757" s="2" t="s">
        <v>2125</v>
      </c>
      <c r="K757" s="2" t="s">
        <v>321</v>
      </c>
      <c r="L757" s="2" t="s">
        <v>3760</v>
      </c>
      <c r="M757" s="5">
        <v>45413.771898148138</v>
      </c>
      <c r="N757" s="2" t="str">
        <f>HYPERLINK("http://twitter.com/starwatchtim/status/1785799239949230200")</f>
        <v>http://twitter.com/starwatchtim/status/1785799239949230200</v>
      </c>
      <c r="O757" s="2" t="str">
        <f>HYPERLINK("https://www.indystar.com/story/news/local/2024/05/01/metropolitan-development-commission-gives-first-approval-for-citys-soccer-stadium-plan/73526284007/")</f>
        <v>https://www.indystar.com/story/news/local/2024/05/01/metropolitan-development-commission-gives-first-approval-for-citys-soccer-stadium-plan/73526284007/</v>
      </c>
    </row>
    <row r="758" spans="1:15" ht="66" x14ac:dyDescent="0.3">
      <c r="A758" s="2" t="s">
        <v>664</v>
      </c>
      <c r="B758" s="2" t="s">
        <v>2289</v>
      </c>
      <c r="C758" s="2" t="s">
        <v>2425</v>
      </c>
      <c r="D758" s="2" t="s">
        <v>2426</v>
      </c>
      <c r="E758" s="2" t="str">
        <f>HYPERLINK("http://twitter.com/Brian_Haenchen")</f>
        <v>http://twitter.com/Brian_Haenchen</v>
      </c>
      <c r="F758" s="2" t="str">
        <f>HYPERLINK("https://muckrack.com/brian_haenchen")</f>
        <v>https://muckrack.com/brian_haenchen</v>
      </c>
      <c r="G758" s="2">
        <v>10028</v>
      </c>
      <c r="H758" s="2" t="s">
        <v>1972</v>
      </c>
      <c r="I758" s="2" t="s">
        <v>2427</v>
      </c>
      <c r="J758" s="2" t="s">
        <v>2000</v>
      </c>
      <c r="K758" s="2" t="s">
        <v>321</v>
      </c>
      <c r="L758" s="2" t="s">
        <v>3761</v>
      </c>
      <c r="M758" s="5">
        <v>45413.773449074077</v>
      </c>
      <c r="N758" s="2" t="str">
        <f>HYPERLINK("http://twitter.com/Brian_Haenchen/status/1785799804993278332")</f>
        <v>http://twitter.com/Brian_Haenchen/status/1785799804993278332</v>
      </c>
      <c r="O758" s="2" t="str">
        <f>HYPERLINK("https://www.indystar.com/story/news/local/2024/05/01/metropolitan-development-commission-gives-first-approval-for-citys-soccer-stadium-plan/73526284007/")</f>
        <v>https://www.indystar.com/story/news/local/2024/05/01/metropolitan-development-commission-gives-first-approval-for-citys-soccer-stadium-plan/73526284007/</v>
      </c>
    </row>
    <row r="759" spans="1:15" ht="66" x14ac:dyDescent="0.3">
      <c r="A759" s="2" t="s">
        <v>2550</v>
      </c>
      <c r="B759" s="2" t="s">
        <v>2544</v>
      </c>
      <c r="C759" s="2" t="s">
        <v>2551</v>
      </c>
      <c r="D759" s="2" t="s">
        <v>2552</v>
      </c>
      <c r="E759" s="2" t="str">
        <f>HYPERLINK("http://twitter.com/indystartony")</f>
        <v>http://twitter.com/indystartony</v>
      </c>
      <c r="F759" s="2" t="str">
        <f>HYPERLINK("https://muckrack.com/tony-cook")</f>
        <v>https://muckrack.com/tony-cook</v>
      </c>
      <c r="G759" s="2">
        <v>11239</v>
      </c>
      <c r="H759" s="2" t="s">
        <v>1972</v>
      </c>
      <c r="I759" s="2" t="s">
        <v>2553</v>
      </c>
      <c r="J759" s="2" t="s">
        <v>2554</v>
      </c>
      <c r="K759" s="2" t="s">
        <v>321</v>
      </c>
      <c r="L759" s="2" t="s">
        <v>3762</v>
      </c>
      <c r="M759" s="5">
        <v>45413.843124999999</v>
      </c>
      <c r="N759" s="2" t="str">
        <f>HYPERLINK("http://twitter.com/indystartony/status/1785825055487758785")</f>
        <v>http://twitter.com/indystartony/status/1785825055487758785</v>
      </c>
      <c r="O759" s="2" t="str">
        <f>HYPERLINK("https://www.indystar.com/story/news/local/2024/05/01/metropolitan-development-commission-gives-first-approval-for-citys-soccer-stadium-plan/73526284007/")</f>
        <v>https://www.indystar.com/story/news/local/2024/05/01/metropolitan-development-commission-gives-first-approval-for-citys-soccer-stadium-plan/73526284007/</v>
      </c>
    </row>
    <row r="760" spans="1:15" ht="66" x14ac:dyDescent="0.3">
      <c r="A760" s="2" t="s">
        <v>2436</v>
      </c>
      <c r="B760" s="2" t="s">
        <v>2437</v>
      </c>
      <c r="C760" s="2" t="s">
        <v>2438</v>
      </c>
      <c r="D760" s="2" t="s">
        <v>2439</v>
      </c>
      <c r="E760" s="2" t="str">
        <f>HYPERLINK("http://twitter.com/MattGlenesk")</f>
        <v>http://twitter.com/MattGlenesk</v>
      </c>
      <c r="F760" s="2" t="str">
        <f>HYPERLINK("https://muckrack.com/matthew-glenesk")</f>
        <v>https://muckrack.com/matthew-glenesk</v>
      </c>
      <c r="G760" s="2">
        <v>8773</v>
      </c>
      <c r="H760" s="2" t="s">
        <v>2440</v>
      </c>
      <c r="I760" s="2" t="s">
        <v>2441</v>
      </c>
      <c r="J760" s="2" t="s">
        <v>2000</v>
      </c>
      <c r="K760" s="2" t="s">
        <v>321</v>
      </c>
      <c r="L760" s="2" t="s">
        <v>3763</v>
      </c>
      <c r="M760" s="5">
        <v>45414.271874999999</v>
      </c>
      <c r="N760" s="2" t="str">
        <f>HYPERLINK("http://twitter.com/MattGlenesk/status/1785980426466533464")</f>
        <v>http://twitter.com/MattGlenesk/status/1785980426466533464</v>
      </c>
      <c r="O760" s="2" t="str">
        <f>HYPERLINK("https://www.indystar.com/story/news/local/2024/05/01/metropolitan-development-commission-gives-first-approval-for-citys-soccer-stadium-plan/73526284007/")</f>
        <v>https://www.indystar.com/story/news/local/2024/05/01/metropolitan-development-commission-gives-first-approval-for-citys-soccer-stadium-plan/73526284007/</v>
      </c>
    </row>
    <row r="761" spans="1:15" ht="66" x14ac:dyDescent="0.3">
      <c r="A761" s="2" t="s">
        <v>3764</v>
      </c>
      <c r="B761" s="2" t="s">
        <v>3765</v>
      </c>
      <c r="C761" s="2" t="s">
        <v>3766</v>
      </c>
      <c r="D761" s="2" t="s">
        <v>3767</v>
      </c>
      <c r="E761" s="2" t="str">
        <f>HYPERLINK("http://twitter.com/kaitlin_lange")</f>
        <v>http://twitter.com/kaitlin_lange</v>
      </c>
      <c r="F761" s="2" t="str">
        <f>HYPERLINK("https://muckrack.com/kaitlin-lange")</f>
        <v>https://muckrack.com/kaitlin-lange</v>
      </c>
      <c r="G761" s="2">
        <v>8501</v>
      </c>
      <c r="H761" s="2" t="s">
        <v>2132</v>
      </c>
      <c r="I761" s="2" t="s">
        <v>3768</v>
      </c>
      <c r="J761" s="2" t="s">
        <v>2008</v>
      </c>
      <c r="K761" s="2" t="s">
        <v>321</v>
      </c>
      <c r="L761" s="2" t="s">
        <v>3769</v>
      </c>
      <c r="M761" s="5">
        <v>45414.447060185194</v>
      </c>
      <c r="N761" s="2" t="str">
        <f>HYPERLINK("http://twitter.com/kaitlin_lange/status/1786043913477697929")</f>
        <v>http://twitter.com/kaitlin_lange/status/1786043913477697929</v>
      </c>
      <c r="O761" s="2" t="str">
        <f>HYPERLINK("https://www.indystar.com/story/news/local/2024/05/01/metropolitan-development-commission-gives-first-approval-for-citys-soccer-stadium-plan/73526284007/")</f>
        <v>https://www.indystar.com/story/news/local/2024/05/01/metropolitan-development-commission-gives-first-approval-for-citys-soccer-stadium-plan/73526284007/</v>
      </c>
    </row>
    <row r="762" spans="1:15" ht="52.8" x14ac:dyDescent="0.3">
      <c r="A762" s="2" t="s">
        <v>3126</v>
      </c>
      <c r="B762" s="2" t="s">
        <v>3127</v>
      </c>
      <c r="C762" s="2" t="s">
        <v>3128</v>
      </c>
      <c r="D762" s="2" t="s">
        <v>3129</v>
      </c>
      <c r="E762" s="2" t="str">
        <f>HYPERLINK("http://twitter.com/DanSpehler")</f>
        <v>http://twitter.com/DanSpehler</v>
      </c>
      <c r="F762" s="2" t="str">
        <f>HYPERLINK("https://muckrack.com/danspehler")</f>
        <v>https://muckrack.com/danspehler</v>
      </c>
      <c r="G762" s="2">
        <v>5233</v>
      </c>
      <c r="H762" s="2" t="s">
        <v>1972</v>
      </c>
      <c r="I762" s="2" t="s">
        <v>3130</v>
      </c>
      <c r="J762" s="2" t="s">
        <v>2008</v>
      </c>
      <c r="K762" s="2" t="s">
        <v>147</v>
      </c>
      <c r="L762" s="2" t="s">
        <v>3770</v>
      </c>
      <c r="M762" s="5">
        <v>45413.645543981482</v>
      </c>
      <c r="N762" s="2" t="str">
        <f>HYPERLINK("http://twitter.com/DanSpehler/status/1785753451554611419")</f>
        <v>http://twitter.com/DanSpehler/status/1785753451554611419</v>
      </c>
      <c r="O762" s="2" t="str">
        <f>HYPERLINK("https://www.ibj.com/articles/city-commission-approves-proposed-tax-district-map-for-mls-stadium")</f>
        <v>https://www.ibj.com/articles/city-commission-approves-proposed-tax-district-map-for-mls-stadium</v>
      </c>
    </row>
    <row r="763" spans="1:15" ht="39.6" x14ac:dyDescent="0.3">
      <c r="A763" s="2" t="s">
        <v>267</v>
      </c>
      <c r="B763" s="2" t="s">
        <v>2061</v>
      </c>
      <c r="C763" s="2" t="s">
        <v>2062</v>
      </c>
      <c r="D763" s="2" t="s">
        <v>2063</v>
      </c>
      <c r="E763" s="2" t="str">
        <f>HYPERLINK("http://twitter.com/MickeyShuey")</f>
        <v>http://twitter.com/MickeyShuey</v>
      </c>
      <c r="F763" s="2" t="str">
        <f>HYPERLINK("https://muckrack.com/mickeyshuey")</f>
        <v>https://muckrack.com/mickeyshuey</v>
      </c>
      <c r="G763" s="2">
        <v>1868</v>
      </c>
      <c r="H763" s="2" t="s">
        <v>1972</v>
      </c>
      <c r="I763" s="2" t="s">
        <v>2064</v>
      </c>
      <c r="J763" s="2" t="s">
        <v>2065</v>
      </c>
      <c r="K763" s="2" t="s">
        <v>268</v>
      </c>
      <c r="L763" s="2" t="s">
        <v>3771</v>
      </c>
      <c r="M763" s="5">
        <v>45413.653587962966</v>
      </c>
      <c r="N763" s="2" t="str">
        <f>HYPERLINK("http://twitter.com/MickeyShuey/status/1785756368437166579")</f>
        <v>http://twitter.com/MickeyShuey/status/1785756368437166579</v>
      </c>
      <c r="O763" s="2" t="str">
        <f>HYPERLINK("https://www.ibj.com/articles/city-commission-approves-proposed-tax-district-map-for-mls-stadium")</f>
        <v>https://www.ibj.com/articles/city-commission-approves-proposed-tax-district-map-for-mls-stadium</v>
      </c>
    </row>
    <row r="764" spans="1:15" ht="105.6" x14ac:dyDescent="0.3">
      <c r="A764" s="2" t="s">
        <v>1651</v>
      </c>
      <c r="B764" s="2" t="s">
        <v>2619</v>
      </c>
      <c r="C764" s="2" t="s">
        <v>2620</v>
      </c>
      <c r="D764" s="2" t="s">
        <v>2621</v>
      </c>
      <c r="E764" s="2" t="str">
        <f>HYPERLINK("http://twitter.com/worldsoccertalk")</f>
        <v>http://twitter.com/worldsoccertalk</v>
      </c>
      <c r="F764" s="2" t="str">
        <f>HYPERLINK("https://muckrack.com/christophermharris")</f>
        <v>https://muckrack.com/christophermharris</v>
      </c>
      <c r="G764" s="2">
        <v>81386</v>
      </c>
      <c r="H764" s="2" t="s">
        <v>2622</v>
      </c>
      <c r="I764" s="2" t="s">
        <v>2623</v>
      </c>
      <c r="J764" s="2" t="s">
        <v>2624</v>
      </c>
      <c r="K764" s="2" t="s">
        <v>2625</v>
      </c>
      <c r="L764" s="2" t="s">
        <v>3772</v>
      </c>
      <c r="M764" s="5">
        <v>45413.500532407408</v>
      </c>
      <c r="N764" s="2" t="str">
        <f>HYPERLINK("http://twitter.com/worldsoccertalk/status/1785700902017384827")</f>
        <v>http://twitter.com/worldsoccertalk/status/1785700902017384827</v>
      </c>
      <c r="O764" s="2" t="str">
        <f>HYPERLINK("https://shows.acast.com/world-soccer-talk-premier-league-mls-champions-league-efl-and-more/episodes/why-arent-fans-signing-up-to-mls-season-pass")</f>
        <v>https://shows.acast.com/world-soccer-talk-premier-league-mls-champions-league-efl-and-more/episodes/why-arent-fans-signing-up-to-mls-season-pass</v>
      </c>
    </row>
    <row r="765" spans="1:15" ht="39.6" x14ac:dyDescent="0.3">
      <c r="A765" s="2" t="s">
        <v>1089</v>
      </c>
      <c r="B765" s="2" t="s">
        <v>2061</v>
      </c>
      <c r="C765" s="2" t="s">
        <v>3102</v>
      </c>
      <c r="D765" s="2" t="s">
        <v>3103</v>
      </c>
      <c r="E765" s="2" t="str">
        <f>HYPERLINK("http://twitter.com/DZulkosky")</f>
        <v>http://twitter.com/DZulkosky</v>
      </c>
      <c r="F765" s="2" t="str">
        <f>HYPERLINK("https://muckrack.com/danielle-zulkosky")</f>
        <v>https://muckrack.com/danielle-zulkosky</v>
      </c>
      <c r="G765" s="2">
        <v>1461</v>
      </c>
      <c r="H765" s="2" t="s">
        <v>1972</v>
      </c>
      <c r="I765" s="2" t="s">
        <v>3104</v>
      </c>
      <c r="J765" s="2" t="s">
        <v>2361</v>
      </c>
      <c r="K765" s="2" t="s">
        <v>2283</v>
      </c>
      <c r="L765" s="2" t="s">
        <v>3773</v>
      </c>
      <c r="M765" s="5">
        <v>45413.023194444453</v>
      </c>
      <c r="N765" s="2" t="str">
        <f>HYPERLINK("http://twitter.com/DZulkosky/status/1785527921186058625")</f>
        <v>http://twitter.com/DZulkosky/status/1785527921186058625</v>
      </c>
      <c r="O765" s="2" t="str">
        <f>HYPERLINK("https://www.wishtv.com/sports/building-owner-at-potential-mls-stadium-site-refuses-to-sell/")</f>
        <v>https://www.wishtv.com/sports/building-owner-at-potential-mls-stadium-site-refuses-to-sell/</v>
      </c>
    </row>
    <row r="766" spans="1:15" ht="39.6" x14ac:dyDescent="0.3">
      <c r="A766" s="2" t="s">
        <v>267</v>
      </c>
      <c r="B766" s="2" t="s">
        <v>2061</v>
      </c>
      <c r="C766" s="2" t="s">
        <v>2062</v>
      </c>
      <c r="D766" s="2" t="s">
        <v>2063</v>
      </c>
      <c r="E766" s="2" t="str">
        <f>HYPERLINK("http://twitter.com/MickeyShuey")</f>
        <v>http://twitter.com/MickeyShuey</v>
      </c>
      <c r="F766" s="2" t="str">
        <f>HYPERLINK("https://muckrack.com/mickeyshuey")</f>
        <v>https://muckrack.com/mickeyshuey</v>
      </c>
      <c r="G766" s="2">
        <v>1868</v>
      </c>
      <c r="H766" s="2" t="s">
        <v>1972</v>
      </c>
      <c r="I766" s="2" t="s">
        <v>2064</v>
      </c>
      <c r="J766" s="2" t="s">
        <v>2065</v>
      </c>
      <c r="K766" s="2" t="s">
        <v>268</v>
      </c>
      <c r="L766" s="2" t="s">
        <v>3774</v>
      </c>
      <c r="M766" s="5">
        <v>45412.579675925917</v>
      </c>
      <c r="N766" s="2" t="str">
        <f>HYPERLINK("http://twitter.com/MickeyShuey/status/1785367194659926294")</f>
        <v>http://twitter.com/MickeyShuey/status/1785367194659926294</v>
      </c>
      <c r="O766" s="2" t="str">
        <f>HYPERLINK("https://www.ibj.com/articles/council-leaders-have-more-questions-than-answers-on-soccer-stadium-plan")</f>
        <v>https://www.ibj.com/articles/council-leaders-have-more-questions-than-answers-on-soccer-stadium-plan</v>
      </c>
    </row>
    <row r="767" spans="1:15" ht="52.8" x14ac:dyDescent="0.3">
      <c r="A767" s="2" t="s">
        <v>1152</v>
      </c>
      <c r="B767" s="2" t="s">
        <v>3232</v>
      </c>
      <c r="C767" s="2" t="s">
        <v>3233</v>
      </c>
      <c r="D767" s="2" t="s">
        <v>3234</v>
      </c>
      <c r="E767" s="2" t="str">
        <f>HYPERLINK("http://twitter.com/HannaMordoh")</f>
        <v>http://twitter.com/HannaMordoh</v>
      </c>
      <c r="F767" s="2" t="str">
        <f>HYPERLINK("https://muckrack.com/hanna-mordoh")</f>
        <v>https://muckrack.com/hanna-mordoh</v>
      </c>
      <c r="G767" s="2">
        <v>4688</v>
      </c>
      <c r="H767" s="2" t="s">
        <v>1972</v>
      </c>
      <c r="I767" s="2" t="s">
        <v>3235</v>
      </c>
      <c r="J767" s="2" t="s">
        <v>1954</v>
      </c>
      <c r="K767" s="2" t="s">
        <v>2283</v>
      </c>
      <c r="L767" s="2" t="s">
        <v>3775</v>
      </c>
      <c r="M767" s="5">
        <v>45412.452303240738</v>
      </c>
      <c r="N767" s="2" t="str">
        <f>HYPERLINK("http://twitter.com/HannaMordoh/status/1785321035467837918")</f>
        <v>http://twitter.com/HannaMordoh/status/1785321035467837918</v>
      </c>
      <c r="O767" s="2" t="str">
        <f>HYPERLINK("https://www.wishtv.com/podcast-episode/family-of-12-year-old-killed-in-hit-and-run-demands-answers/")</f>
        <v>https://www.wishtv.com/podcast-episode/family-of-12-year-old-killed-in-hit-and-run-demands-answers/</v>
      </c>
    </row>
    <row r="768" spans="1:15" ht="66" x14ac:dyDescent="0.3">
      <c r="A768" s="2" t="s">
        <v>1656</v>
      </c>
      <c r="B768" s="2" t="s">
        <v>3415</v>
      </c>
      <c r="C768" s="2" t="s">
        <v>3416</v>
      </c>
      <c r="D768" s="2" t="s">
        <v>3417</v>
      </c>
      <c r="E768" s="2" t="str">
        <f>HYPERLINK("http://twitter.com/kkfla737")</f>
        <v>http://twitter.com/kkfla737</v>
      </c>
      <c r="F768" s="2" t="str">
        <f>HYPERLINK("https://muckrack.com/kartik-krishnaiyer")</f>
        <v>https://muckrack.com/kartik-krishnaiyer</v>
      </c>
      <c r="G768" s="2">
        <v>8469</v>
      </c>
      <c r="H768" s="2" t="s">
        <v>3418</v>
      </c>
      <c r="I768" s="2" t="s">
        <v>3419</v>
      </c>
      <c r="J768" s="2" t="s">
        <v>2033</v>
      </c>
      <c r="K768" s="2" t="s">
        <v>3420</v>
      </c>
      <c r="L768" s="2" t="s">
        <v>3776</v>
      </c>
      <c r="M768" s="5">
        <v>45412.395462962973</v>
      </c>
      <c r="N768" s="2" t="str">
        <f>HYPERLINK("http://twitter.com/kkfla737/status/1785300438801121551")</f>
        <v>http://twitter.com/kkfla737/status/1785300438801121551</v>
      </c>
      <c r="O768" s="2" t="str">
        <f>HYPERLINK("https://beyondthe90.substack.com/p/interview-with-indy-eleven-supporters?triedRedirect=true")</f>
        <v>https://beyondthe90.substack.com/p/interview-with-indy-eleven-supporters?triedRedirect=true</v>
      </c>
    </row>
    <row r="769" spans="1:15" ht="52.8" x14ac:dyDescent="0.3">
      <c r="A769" s="2" t="s">
        <v>107</v>
      </c>
      <c r="B769" s="2" t="s">
        <v>1969</v>
      </c>
      <c r="C769" s="2" t="s">
        <v>1970</v>
      </c>
      <c r="D769" s="2" t="s">
        <v>1971</v>
      </c>
      <c r="E769" s="2" t="str">
        <f>HYPERLINK("http://twitter.com/indyemapolis")</f>
        <v>http://twitter.com/indyemapolis</v>
      </c>
      <c r="F769" s="2" t="str">
        <f>HYPERLINK("https://muckrack.com/emily-hopkins-2")</f>
        <v>https://muckrack.com/emily-hopkins-2</v>
      </c>
      <c r="G769" s="2">
        <v>3414</v>
      </c>
      <c r="H769" s="2" t="s">
        <v>1972</v>
      </c>
      <c r="I769" s="2" t="s">
        <v>1973</v>
      </c>
      <c r="J769" s="2" t="s">
        <v>1954</v>
      </c>
      <c r="K769" s="2" t="s">
        <v>1974</v>
      </c>
      <c r="L769" s="2" t="s">
        <v>3777</v>
      </c>
      <c r="M769" s="5">
        <v>45412.347766203697</v>
      </c>
      <c r="N769" s="2" t="str">
        <f>HYPERLINK("http://twitter.com/indyemapolis/status/1785283152295915577")</f>
        <v>http://twitter.com/indyemapolis/status/1785283152295915577</v>
      </c>
      <c r="O769" s="2" t="str">
        <f>HYPERLINK("https://mirrorindy.org/indianapolis-mls-soccer-stadium-public-financing-tax-district/")</f>
        <v>https://mirrorindy.org/indianapolis-mls-soccer-stadium-public-financing-tax-district/</v>
      </c>
    </row>
    <row r="770" spans="1:15" ht="92.4" x14ac:dyDescent="0.3">
      <c r="A770" s="2" t="s">
        <v>3092</v>
      </c>
      <c r="B770" s="2" t="s">
        <v>1910</v>
      </c>
      <c r="C770" s="2" t="s">
        <v>3093</v>
      </c>
      <c r="D770" s="2" t="s">
        <v>3094</v>
      </c>
      <c r="E770" s="2" t="str">
        <f>HYPERLINK("http://twitter.com/RichNye13")</f>
        <v>http://twitter.com/RichNye13</v>
      </c>
      <c r="F770" s="2" t="str">
        <f>HYPERLINK("https://muckrack.com/rich-nye")</f>
        <v>https://muckrack.com/rich-nye</v>
      </c>
      <c r="G770" s="2">
        <v>15206</v>
      </c>
      <c r="H770" s="2" t="s">
        <v>2123</v>
      </c>
      <c r="I770" s="2" t="s">
        <v>3095</v>
      </c>
      <c r="J770" s="2" t="s">
        <v>2033</v>
      </c>
      <c r="K770" s="2" t="s">
        <v>130</v>
      </c>
      <c r="L770" s="2" t="s">
        <v>3778</v>
      </c>
      <c r="M770" s="5">
        <v>45411.929629629631</v>
      </c>
      <c r="N770" s="2" t="str">
        <f>HYPERLINK("http://twitter.com/RichNye13/status/1785131625568768301")</f>
        <v>http://twitter.com/RichNye13/status/1785131625568768301</v>
      </c>
      <c r="O770" s="2" t="str">
        <f>HYPERLINK("https://www.wthr.com/article/news/local/eleven-park-developer-surprised-and-disappointed-by-hogsetts-alternate-stadium-site-for-an-mls-franchise-bid-major-league-soccer/531-27208800-f379-4019-808a-db291036774e")</f>
        <v>https://www.wthr.com/article/news/local/eleven-park-developer-surprised-and-disappointed-by-hogsetts-alternate-stadium-site-for-an-mls-franchise-bid-major-league-soccer/531-27208800-f379-4019-808a-db291036774e</v>
      </c>
    </row>
    <row r="771" spans="1:15" ht="92.4" x14ac:dyDescent="0.3">
      <c r="A771" s="2" t="s">
        <v>3092</v>
      </c>
      <c r="B771" s="2" t="s">
        <v>1910</v>
      </c>
      <c r="C771" s="2" t="s">
        <v>3093</v>
      </c>
      <c r="D771" s="2" t="s">
        <v>3094</v>
      </c>
      <c r="E771" s="2" t="str">
        <f>HYPERLINK("http://twitter.com/RichNye13")</f>
        <v>http://twitter.com/RichNye13</v>
      </c>
      <c r="F771" s="2" t="str">
        <f>HYPERLINK("https://muckrack.com/rich-nye")</f>
        <v>https://muckrack.com/rich-nye</v>
      </c>
      <c r="G771" s="2">
        <v>15206</v>
      </c>
      <c r="H771" s="2" t="s">
        <v>2123</v>
      </c>
      <c r="I771" s="2" t="s">
        <v>3095</v>
      </c>
      <c r="J771" s="2" t="s">
        <v>2033</v>
      </c>
      <c r="K771" s="2" t="s">
        <v>130</v>
      </c>
      <c r="L771" s="2" t="s">
        <v>3779</v>
      </c>
      <c r="M771" s="5">
        <v>45412.287962962961</v>
      </c>
      <c r="N771" s="2" t="str">
        <f>HYPERLINK("http://twitter.com/RichNye13/status/1785261483309388140")</f>
        <v>http://twitter.com/RichNye13/status/1785261483309388140</v>
      </c>
      <c r="O771" s="2" t="str">
        <f>HYPERLINK("https://www.wthr.com/article/news/local/eleven-park-developer-surprised-and-disappointed-by-hogsetts-alternate-stadium-site-for-an-mls-franchise-bid-major-league-soccer/531-27208800-f379-4019-808a-db291036774e")</f>
        <v>https://www.wthr.com/article/news/local/eleven-park-developer-surprised-and-disappointed-by-hogsetts-alternate-stadium-site-for-an-mls-franchise-bid-major-league-soccer/531-27208800-f379-4019-808a-db291036774e</v>
      </c>
    </row>
    <row r="772" spans="1:15" ht="92.4" x14ac:dyDescent="0.3">
      <c r="A772" s="2" t="s">
        <v>3097</v>
      </c>
      <c r="B772" s="2" t="s">
        <v>2544</v>
      </c>
      <c r="C772" s="2" t="s">
        <v>3098</v>
      </c>
      <c r="D772" s="2" t="s">
        <v>3099</v>
      </c>
      <c r="E772" s="2" t="str">
        <f>HYPERLINK("http://twitter.com/CierraReporter")</f>
        <v>http://twitter.com/CierraReporter</v>
      </c>
      <c r="F772" s="2" t="str">
        <f>HYPERLINK("https://muckrack.com/cierrareporter")</f>
        <v>https://muckrack.com/cierrareporter</v>
      </c>
      <c r="G772" s="2">
        <v>2211</v>
      </c>
      <c r="H772" s="2" t="s">
        <v>1972</v>
      </c>
      <c r="I772" s="2" t="s">
        <v>3100</v>
      </c>
      <c r="J772" s="2" t="s">
        <v>3101</v>
      </c>
      <c r="K772" s="2" t="s">
        <v>130</v>
      </c>
      <c r="L772" s="2" t="s">
        <v>3780</v>
      </c>
      <c r="M772" s="5">
        <v>45411.952349537038</v>
      </c>
      <c r="N772" s="2" t="str">
        <f>HYPERLINK("http://twitter.com/CierraReporter/status/1785139858765222359")</f>
        <v>http://twitter.com/CierraReporter/status/1785139858765222359</v>
      </c>
      <c r="O772" s="2" t="str">
        <f>HYPERLINK("https://www.wthr.com/article/news/local/eleven-park-developer-surprised-and-disappointed-by-hogsetts-alternate-stadium-site-for-an-mls-franchise-bid-major-league-soccer/531-27208800-f379-4019-808a-db291036774e")</f>
        <v>https://www.wthr.com/article/news/local/eleven-park-developer-surprised-and-disappointed-by-hogsetts-alternate-stadium-site-for-an-mls-franchise-bid-major-league-soccer/531-27208800-f379-4019-808a-db291036774e</v>
      </c>
    </row>
    <row r="773" spans="1:15" ht="92.4" x14ac:dyDescent="0.3">
      <c r="A773" s="2" t="s">
        <v>3270</v>
      </c>
      <c r="B773" s="2" t="s">
        <v>3271</v>
      </c>
      <c r="C773" s="2" t="s">
        <v>3272</v>
      </c>
      <c r="D773" s="2" t="s">
        <v>3273</v>
      </c>
      <c r="E773" s="2" t="str">
        <f>HYPERLINK("http://twitter.com/DustinGroveTV")</f>
        <v>http://twitter.com/DustinGroveTV</v>
      </c>
      <c r="F773" s="2" t="str">
        <f>HYPERLINK("https://muckrack.com/dustin-grove")</f>
        <v>https://muckrack.com/dustin-grove</v>
      </c>
      <c r="G773" s="2">
        <v>3562</v>
      </c>
      <c r="H773" s="2" t="s">
        <v>3274</v>
      </c>
      <c r="I773" s="2" t="s">
        <v>3275</v>
      </c>
      <c r="J773" s="2" t="s">
        <v>1954</v>
      </c>
      <c r="K773" s="2" t="s">
        <v>130</v>
      </c>
      <c r="L773" s="2" t="s">
        <v>3779</v>
      </c>
      <c r="M773" s="5">
        <v>45412.321932870371</v>
      </c>
      <c r="N773" s="2" t="str">
        <f>HYPERLINK("http://twitter.com/DustinGroveTV/status/1785273792169640035")</f>
        <v>http://twitter.com/DustinGroveTV/status/1785273792169640035</v>
      </c>
      <c r="O773" s="2" t="str">
        <f>HYPERLINK("https://www.wthr.com/article/news/local/eleven-park-developer-surprised-and-disappointed-by-hogsetts-alternate-stadium-site-for-an-mls-franchise-bid-major-league-soccer/531-27208800-f379-4019-808a-db291036774e")</f>
        <v>https://www.wthr.com/article/news/local/eleven-park-developer-surprised-and-disappointed-by-hogsetts-alternate-stadium-site-for-an-mls-franchise-bid-major-league-soccer/531-27208800-f379-4019-808a-db291036774e</v>
      </c>
    </row>
    <row r="774" spans="1:15" ht="52.8" x14ac:dyDescent="0.3">
      <c r="A774" s="2" t="s">
        <v>1490</v>
      </c>
      <c r="B774" s="2" t="s">
        <v>2024</v>
      </c>
      <c r="C774" s="2" t="s">
        <v>3679</v>
      </c>
      <c r="D774" s="2" t="s">
        <v>3680</v>
      </c>
      <c r="E774" s="2" t="str">
        <f>HYPERLINK("http://twitter.com/JohnJDevine")</f>
        <v>http://twitter.com/JohnJDevine</v>
      </c>
      <c r="F774" s="2" t="str">
        <f>HYPERLINK("https://muckrack.com/john-devine-1")</f>
        <v>https://muckrack.com/john-devine-1</v>
      </c>
      <c r="G774" s="2">
        <v>18287</v>
      </c>
      <c r="H774" s="2" t="s">
        <v>3681</v>
      </c>
      <c r="I774" s="2" t="s">
        <v>3682</v>
      </c>
      <c r="J774" s="2" t="s">
        <v>1929</v>
      </c>
      <c r="K774" s="2" t="s">
        <v>1491</v>
      </c>
      <c r="L774" s="2" t="s">
        <v>3781</v>
      </c>
      <c r="M774" s="5">
        <v>45410.02375</v>
      </c>
      <c r="N774" s="2" t="str">
        <f>HYPERLINK("http://twitter.com/JohnJDevine/status/1784440960195121257")</f>
        <v>http://twitter.com/JohnJDevine/status/1784440960195121257</v>
      </c>
      <c r="O774" s="2" t="str">
        <f>HYPERLINK("https://www.montereyherald.com/2024/04/27/pro-soccer-monterey-bay-f-c-sees-four-game-winning-streak-snapped/")</f>
        <v>https://www.montereyherald.com/2024/04/27/pro-soccer-monterey-bay-f-c-sees-four-game-winning-streak-snapped/</v>
      </c>
    </row>
    <row r="775" spans="1:15" ht="66" x14ac:dyDescent="0.3">
      <c r="A775" s="2" t="s">
        <v>3028</v>
      </c>
      <c r="B775" s="2" t="s">
        <v>2178</v>
      </c>
      <c r="C775" s="2" t="s">
        <v>3029</v>
      </c>
      <c r="D775" s="2" t="s">
        <v>3030</v>
      </c>
      <c r="E775" s="2" t="str">
        <f>HYPERLINK("http://twitter.com/FromtheJeff")</f>
        <v>http://twitter.com/FromtheJeff</v>
      </c>
      <c r="F775" s="2" t="str">
        <f>HYPERLINK("https://muckrack.com/jeff_fromthepc")</f>
        <v>https://muckrack.com/jeff_fromthepc</v>
      </c>
      <c r="G775" s="2">
        <v>7137</v>
      </c>
      <c r="H775" s="2" t="s">
        <v>2106</v>
      </c>
      <c r="I775" s="2"/>
      <c r="J775" s="2" t="s">
        <v>1929</v>
      </c>
      <c r="K775" s="2" t="s">
        <v>1063</v>
      </c>
      <c r="L775" s="2" t="s">
        <v>3782</v>
      </c>
      <c r="M775" s="5">
        <v>45409.641608796293</v>
      </c>
      <c r="N775" s="2" t="str">
        <f>HYPERLINK("http://twitter.com/FromtheJeff/status/1784302473596866796")</f>
        <v>http://twitter.com/FromtheJeff/status/1784302473596866796</v>
      </c>
      <c r="O775" s="2" t="str">
        <f>HYPERLINK("https://www.usltactics.com/p/graphic-detail-charleston-in-charge")</f>
        <v>https://www.usltactics.com/p/graphic-detail-charleston-in-charge</v>
      </c>
    </row>
    <row r="776" spans="1:15" ht="39.6" x14ac:dyDescent="0.3">
      <c r="A776" s="2" t="s">
        <v>263</v>
      </c>
      <c r="B776" s="2" t="s">
        <v>2221</v>
      </c>
      <c r="C776" s="2" t="s">
        <v>2222</v>
      </c>
      <c r="D776" s="2" t="s">
        <v>2223</v>
      </c>
      <c r="E776" s="2" t="str">
        <f>HYPERLINK("http://twitter.com/pkedit")</f>
        <v>http://twitter.com/pkedit</v>
      </c>
      <c r="F776" s="2" t="str">
        <f>HYPERLINK("https://muckrack.com/paul-kennedy")</f>
        <v>https://muckrack.com/paul-kennedy</v>
      </c>
      <c r="G776" s="2">
        <v>10080</v>
      </c>
      <c r="H776" s="2"/>
      <c r="I776" s="2" t="s">
        <v>2224</v>
      </c>
      <c r="J776" s="2" t="s">
        <v>1929</v>
      </c>
      <c r="K776" s="2" t="s">
        <v>264</v>
      </c>
      <c r="L776" s="2" t="s">
        <v>3783</v>
      </c>
      <c r="M776" s="5">
        <v>45409.376388888893</v>
      </c>
      <c r="N776" s="2" t="str">
        <f>HYPERLINK("http://twitter.com/pkedit/status/1784206361905025290")</f>
        <v>http://twitter.com/pkedit/status/1784206361905025290</v>
      </c>
      <c r="O776" s="2" t="str">
        <f>HYPERLINK("https://www.socceramerica.com/the-american-soccer-weekend-preview-4/")</f>
        <v>https://www.socceramerica.com/the-american-soccer-weekend-preview-4/</v>
      </c>
    </row>
    <row r="777" spans="1:15" ht="39.6" x14ac:dyDescent="0.3">
      <c r="A777" s="2" t="s">
        <v>349</v>
      </c>
      <c r="B777" s="2" t="s">
        <v>2524</v>
      </c>
      <c r="C777" s="2" t="s">
        <v>2525</v>
      </c>
      <c r="D777" s="2" t="s">
        <v>2526</v>
      </c>
      <c r="E777" s="2" t="str">
        <f>HYPERLINK("http://twitter.com/MikeWoitalla")</f>
        <v>http://twitter.com/MikeWoitalla</v>
      </c>
      <c r="F777" s="2" t="str">
        <f>HYPERLINK("https://muckrack.com/mike-woitalla")</f>
        <v>https://muckrack.com/mike-woitalla</v>
      </c>
      <c r="G777" s="2">
        <v>3965</v>
      </c>
      <c r="H777" s="2" t="s">
        <v>2527</v>
      </c>
      <c r="I777" s="2" t="s">
        <v>2528</v>
      </c>
      <c r="J777" s="2" t="s">
        <v>2529</v>
      </c>
      <c r="K777" s="2" t="s">
        <v>264</v>
      </c>
      <c r="L777" s="2" t="s">
        <v>3784</v>
      </c>
      <c r="M777" s="5">
        <v>45409.416689814818</v>
      </c>
      <c r="N777" s="2" t="str">
        <f>HYPERLINK("http://twitter.com/MikeWoitalla/status/1784220968350880055")</f>
        <v>http://twitter.com/MikeWoitalla/status/1784220968350880055</v>
      </c>
      <c r="O777" s="2" t="str">
        <f>HYPERLINK("https://www.socceramerica.com/the-american-soccer-weekend-preview-4/")</f>
        <v>https://www.socceramerica.com/the-american-soccer-weekend-preview-4/</v>
      </c>
    </row>
    <row r="778" spans="1:15" ht="52.8" x14ac:dyDescent="0.3">
      <c r="A778" s="2" t="s">
        <v>3785</v>
      </c>
      <c r="B778" s="2" t="s">
        <v>1910</v>
      </c>
      <c r="C778" s="2" t="s">
        <v>3786</v>
      </c>
      <c r="D778" s="2" t="s">
        <v>3787</v>
      </c>
      <c r="E778" s="2" t="str">
        <f>HYPERLINK("http://twitter.com/AdamCrafton_")</f>
        <v>http://twitter.com/AdamCrafton_</v>
      </c>
      <c r="F778" s="2" t="str">
        <f>HYPERLINK("https://muckrack.com/adam-crafton")</f>
        <v>https://muckrack.com/adam-crafton</v>
      </c>
      <c r="G778" s="2">
        <v>125731</v>
      </c>
      <c r="H778" s="2" t="s">
        <v>3788</v>
      </c>
      <c r="I778" s="2" t="s">
        <v>3789</v>
      </c>
      <c r="J778" s="2" t="s">
        <v>2515</v>
      </c>
      <c r="K778" s="2" t="s">
        <v>1565</v>
      </c>
      <c r="L778" s="2" t="s">
        <v>3790</v>
      </c>
      <c r="M778" s="5">
        <v>45409.501273148147</v>
      </c>
      <c r="N778" s="2" t="str">
        <f>HYPERLINK("http://twitter.com/AdamCrafton_/status/1784251617346244772")</f>
        <v>http://twitter.com/AdamCrafton_/status/1784251617346244772</v>
      </c>
      <c r="O778" s="2" t="str">
        <f>HYPERLINK("https://www.socceramerica.com/the-american-soccer-weekend-preview-4/")</f>
        <v>https://www.socceramerica.com/the-american-soccer-weekend-preview-4/</v>
      </c>
    </row>
    <row r="779" spans="1:15" ht="79.2" x14ac:dyDescent="0.3">
      <c r="A779" s="2" t="s">
        <v>3791</v>
      </c>
      <c r="B779" s="2" t="s">
        <v>2215</v>
      </c>
      <c r="C779" s="2" t="s">
        <v>3792</v>
      </c>
      <c r="D779" s="2" t="s">
        <v>3793</v>
      </c>
      <c r="E779" s="2" t="str">
        <f>HYPERLINK("http://twitter.com/arielle_schafer")</f>
        <v>http://twitter.com/arielle_schafer</v>
      </c>
      <c r="F779" s="2" t="str">
        <f>HYPERLINK("https://muckrack.com/arielle-schafer")</f>
        <v>https://muckrack.com/arielle-schafer</v>
      </c>
      <c r="G779" s="2">
        <v>4255</v>
      </c>
      <c r="H779" s="2" t="s">
        <v>3794</v>
      </c>
      <c r="I779" s="2" t="s">
        <v>3795</v>
      </c>
      <c r="J779" s="2" t="s">
        <v>2000</v>
      </c>
      <c r="K779" s="2" t="s">
        <v>3796</v>
      </c>
      <c r="L779" s="2" t="s">
        <v>3797</v>
      </c>
      <c r="M779" s="5">
        <v>45409.855023148149</v>
      </c>
      <c r="N779" s="2" t="str">
        <f>HYPERLINK("http://twitter.com/arielle_schafer/status/1784379813681135830")</f>
        <v>http://twitter.com/arielle_schafer/status/1784379813681135830</v>
      </c>
      <c r="O779" s="2" t="str">
        <f>HYPERLINK("http://rb.gy/8o5sy3")</f>
        <v>http://rb.gy/8o5sy3</v>
      </c>
    </row>
    <row r="780" spans="1:15" ht="52.8" x14ac:dyDescent="0.3">
      <c r="A780" s="2" t="s">
        <v>2436</v>
      </c>
      <c r="B780" s="2" t="s">
        <v>2437</v>
      </c>
      <c r="C780" s="2" t="s">
        <v>2438</v>
      </c>
      <c r="D780" s="2" t="s">
        <v>2439</v>
      </c>
      <c r="E780" s="2" t="str">
        <f>HYPERLINK("http://twitter.com/MattGlenesk")</f>
        <v>http://twitter.com/MattGlenesk</v>
      </c>
      <c r="F780" s="2" t="str">
        <f>HYPERLINK("https://muckrack.com/matthew-glenesk")</f>
        <v>https://muckrack.com/matthew-glenesk</v>
      </c>
      <c r="G780" s="2">
        <v>8773</v>
      </c>
      <c r="H780" s="2" t="s">
        <v>2440</v>
      </c>
      <c r="I780" s="2" t="s">
        <v>2441</v>
      </c>
      <c r="J780" s="2" t="s">
        <v>2000</v>
      </c>
      <c r="K780" s="2" t="s">
        <v>321</v>
      </c>
      <c r="L780" s="2" t="s">
        <v>3798</v>
      </c>
      <c r="M780" s="5">
        <v>45409.474386574067</v>
      </c>
      <c r="N780" s="2" t="str">
        <f>HYPERLINK("http://twitter.com/MattGlenesk/status/1784241876083601507")</f>
        <v>http://twitter.com/MattGlenesk/status/1784241876083601507</v>
      </c>
      <c r="O780" s="2" t="str">
        <f>HYPERLINK("https://www.indystar.com/story/news/local/2024/04/26/holcomb-excited-about-prospect-of-indianapolis-mls-team/73468631007/")</f>
        <v>https://www.indystar.com/story/news/local/2024/04/26/holcomb-excited-about-prospect-of-indianapolis-mls-team/73468631007/</v>
      </c>
    </row>
    <row r="781" spans="1:15" ht="52.8" x14ac:dyDescent="0.3">
      <c r="A781" s="2" t="s">
        <v>2390</v>
      </c>
      <c r="B781" s="2" t="s">
        <v>2036</v>
      </c>
      <c r="C781" s="2" t="s">
        <v>2391</v>
      </c>
      <c r="D781" s="2" t="s">
        <v>2392</v>
      </c>
      <c r="E781" s="2" t="str">
        <f>HYPERLINK("http://twitter.com/GreggDoyelStar")</f>
        <v>http://twitter.com/GreggDoyelStar</v>
      </c>
      <c r="F781" s="2" t="str">
        <f>HYPERLINK("https://muckrack.com/greggdoyelstar")</f>
        <v>https://muckrack.com/greggdoyelstar</v>
      </c>
      <c r="G781" s="2">
        <v>92219</v>
      </c>
      <c r="H781" s="2" t="s">
        <v>1972</v>
      </c>
      <c r="I781" s="2" t="s">
        <v>2393</v>
      </c>
      <c r="J781" s="2" t="s">
        <v>2000</v>
      </c>
      <c r="K781" s="2" t="s">
        <v>321</v>
      </c>
      <c r="L781" s="2" t="s">
        <v>3798</v>
      </c>
      <c r="M781" s="5">
        <v>45409.82917824074</v>
      </c>
      <c r="N781" s="2" t="str">
        <f>HYPERLINK("http://twitter.com/GreggDoyelStar/status/1784370447926039013")</f>
        <v>http://twitter.com/GreggDoyelStar/status/1784370447926039013</v>
      </c>
      <c r="O781" s="2" t="str">
        <f>HYPERLINK("https://www.indystar.com/story/news/local/2024/04/26/holcomb-excited-about-prospect-of-indianapolis-mls-team/73468631007/")</f>
        <v>https://www.indystar.com/story/news/local/2024/04/26/holcomb-excited-about-prospect-of-indianapolis-mls-team/73468631007/</v>
      </c>
    </row>
    <row r="782" spans="1:15" ht="52.8" x14ac:dyDescent="0.3">
      <c r="A782" s="2" t="s">
        <v>664</v>
      </c>
      <c r="B782" s="2" t="s">
        <v>2289</v>
      </c>
      <c r="C782" s="2" t="s">
        <v>2425</v>
      </c>
      <c r="D782" s="2" t="s">
        <v>2426</v>
      </c>
      <c r="E782" s="2" t="str">
        <f>HYPERLINK("http://twitter.com/Brian_Haenchen")</f>
        <v>http://twitter.com/Brian_Haenchen</v>
      </c>
      <c r="F782" s="2" t="str">
        <f>HYPERLINK("https://muckrack.com/brian_haenchen")</f>
        <v>https://muckrack.com/brian_haenchen</v>
      </c>
      <c r="G782" s="2">
        <v>10028</v>
      </c>
      <c r="H782" s="2" t="s">
        <v>1972</v>
      </c>
      <c r="I782" s="2" t="s">
        <v>2427</v>
      </c>
      <c r="J782" s="2" t="s">
        <v>2000</v>
      </c>
      <c r="K782" s="2" t="s">
        <v>321</v>
      </c>
      <c r="L782" s="2" t="s">
        <v>3798</v>
      </c>
      <c r="M782" s="5">
        <v>45410.35396990741</v>
      </c>
      <c r="N782" s="2" t="str">
        <f>HYPERLINK("http://twitter.com/Brian_Haenchen/status/1784560626112590231")</f>
        <v>http://twitter.com/Brian_Haenchen/status/1784560626112590231</v>
      </c>
      <c r="O782" s="2" t="str">
        <f>HYPERLINK("https://www.indystar.com/story/news/local/2024/04/26/holcomb-excited-about-prospect-of-indianapolis-mls-team/73468631007/")</f>
        <v>https://www.indystar.com/story/news/local/2024/04/26/holcomb-excited-about-prospect-of-indianapolis-mls-team/73468631007/</v>
      </c>
    </row>
    <row r="783" spans="1:15" ht="52.8" x14ac:dyDescent="0.3">
      <c r="A783" s="2" t="s">
        <v>664</v>
      </c>
      <c r="B783" s="2" t="s">
        <v>2289</v>
      </c>
      <c r="C783" s="2" t="s">
        <v>2425</v>
      </c>
      <c r="D783" s="2" t="s">
        <v>2426</v>
      </c>
      <c r="E783" s="2" t="str">
        <f>HYPERLINK("http://twitter.com/Brian_Haenchen")</f>
        <v>http://twitter.com/Brian_Haenchen</v>
      </c>
      <c r="F783" s="2" t="str">
        <f>HYPERLINK("https://muckrack.com/brian_haenchen")</f>
        <v>https://muckrack.com/brian_haenchen</v>
      </c>
      <c r="G783" s="2">
        <v>10028</v>
      </c>
      <c r="H783" s="2" t="s">
        <v>1972</v>
      </c>
      <c r="I783" s="2" t="s">
        <v>2427</v>
      </c>
      <c r="J783" s="2" t="s">
        <v>2000</v>
      </c>
      <c r="K783" s="2" t="s">
        <v>321</v>
      </c>
      <c r="L783" s="2" t="s">
        <v>3799</v>
      </c>
      <c r="M783" s="5">
        <v>45408.626817129632</v>
      </c>
      <c r="N783" s="2" t="str">
        <f>HYPERLINK("http://twitter.com/Brian_Haenchen/status/1783934727163990119")</f>
        <v>http://twitter.com/Brian_Haenchen/status/1783934727163990119</v>
      </c>
      <c r="O783" s="2" t="str">
        <f>HYPERLINK("https://www.indystar.com/story/sports/2024/04/26/brickyard-battalion-hurt-by-indys-pursuit-of-mls-team-without-them/73470598007/")</f>
        <v>https://www.indystar.com/story/sports/2024/04/26/brickyard-battalion-hurt-by-indys-pursuit-of-mls-team-without-them/73470598007/</v>
      </c>
    </row>
    <row r="784" spans="1:15" ht="52.8" x14ac:dyDescent="0.3">
      <c r="A784" s="2" t="s">
        <v>664</v>
      </c>
      <c r="B784" s="2" t="s">
        <v>2289</v>
      </c>
      <c r="C784" s="2" t="s">
        <v>2425</v>
      </c>
      <c r="D784" s="2" t="s">
        <v>2426</v>
      </c>
      <c r="E784" s="2" t="str">
        <f>HYPERLINK("http://twitter.com/Brian_Haenchen")</f>
        <v>http://twitter.com/Brian_Haenchen</v>
      </c>
      <c r="F784" s="2" t="str">
        <f>HYPERLINK("https://muckrack.com/brian_haenchen")</f>
        <v>https://muckrack.com/brian_haenchen</v>
      </c>
      <c r="G784" s="2">
        <v>10028</v>
      </c>
      <c r="H784" s="2" t="s">
        <v>1972</v>
      </c>
      <c r="I784" s="2" t="s">
        <v>2427</v>
      </c>
      <c r="J784" s="2" t="s">
        <v>2000</v>
      </c>
      <c r="K784" s="2" t="s">
        <v>321</v>
      </c>
      <c r="L784" s="2" t="s">
        <v>3800</v>
      </c>
      <c r="M784" s="5">
        <v>45409.309108796297</v>
      </c>
      <c r="N784" s="2" t="str">
        <f>HYPERLINK("http://twitter.com/Brian_Haenchen/status/1784181981581824223")</f>
        <v>http://twitter.com/Brian_Haenchen/status/1784181981581824223</v>
      </c>
      <c r="O784" s="2" t="str">
        <f>HYPERLINK("https://www.indystar.com/story/sports/2024/04/26/brickyard-battalion-hurt-by-indys-pursuit-of-mls-team-without-them/73470598007/")</f>
        <v>https://www.indystar.com/story/sports/2024/04/26/brickyard-battalion-hurt-by-indys-pursuit-of-mls-team-without-them/73470598007/</v>
      </c>
    </row>
    <row r="785" spans="1:15" ht="52.8" x14ac:dyDescent="0.3">
      <c r="A785" s="2" t="s">
        <v>664</v>
      </c>
      <c r="B785" s="2" t="s">
        <v>2289</v>
      </c>
      <c r="C785" s="2" t="s">
        <v>2425</v>
      </c>
      <c r="D785" s="2" t="s">
        <v>2426</v>
      </c>
      <c r="E785" s="2" t="str">
        <f>HYPERLINK("http://twitter.com/Brian_Haenchen")</f>
        <v>http://twitter.com/Brian_Haenchen</v>
      </c>
      <c r="F785" s="2" t="str">
        <f>HYPERLINK("https://muckrack.com/brian_haenchen")</f>
        <v>https://muckrack.com/brian_haenchen</v>
      </c>
      <c r="G785" s="2">
        <v>10028</v>
      </c>
      <c r="H785" s="2" t="s">
        <v>1972</v>
      </c>
      <c r="I785" s="2" t="s">
        <v>2427</v>
      </c>
      <c r="J785" s="2" t="s">
        <v>2000</v>
      </c>
      <c r="K785" s="2" t="s">
        <v>321</v>
      </c>
      <c r="L785" s="2" t="s">
        <v>3801</v>
      </c>
      <c r="M785" s="5">
        <v>45411.397152777783</v>
      </c>
      <c r="N785" s="2" t="str">
        <f>HYPERLINK("http://twitter.com/Brian_Haenchen/status/1784938662112702877")</f>
        <v>http://twitter.com/Brian_Haenchen/status/1784938662112702877</v>
      </c>
      <c r="O785" s="2" t="str">
        <f>HYPERLINK("https://www.indystar.com/story/sports/2024/04/26/brickyard-battalion-hurt-by-indys-pursuit-of-mls-team-without-them/73470598007/")</f>
        <v>https://www.indystar.com/story/sports/2024/04/26/brickyard-battalion-hurt-by-indys-pursuit-of-mls-team-without-them/73470598007/</v>
      </c>
    </row>
    <row r="786" spans="1:15" ht="52.8" x14ac:dyDescent="0.3">
      <c r="A786" s="2" t="s">
        <v>2436</v>
      </c>
      <c r="B786" s="2" t="s">
        <v>2437</v>
      </c>
      <c r="C786" s="2" t="s">
        <v>2438</v>
      </c>
      <c r="D786" s="2" t="s">
        <v>2439</v>
      </c>
      <c r="E786" s="2" t="str">
        <f>HYPERLINK("http://twitter.com/MattGlenesk")</f>
        <v>http://twitter.com/MattGlenesk</v>
      </c>
      <c r="F786" s="2" t="str">
        <f>HYPERLINK("https://muckrack.com/matthew-glenesk")</f>
        <v>https://muckrack.com/matthew-glenesk</v>
      </c>
      <c r="G786" s="2">
        <v>8773</v>
      </c>
      <c r="H786" s="2" t="s">
        <v>2440</v>
      </c>
      <c r="I786" s="2" t="s">
        <v>2441</v>
      </c>
      <c r="J786" s="2" t="s">
        <v>2000</v>
      </c>
      <c r="K786" s="2" t="s">
        <v>321</v>
      </c>
      <c r="L786" s="2" t="s">
        <v>3800</v>
      </c>
      <c r="M786" s="5">
        <v>45408.627430555563</v>
      </c>
      <c r="N786" s="2" t="str">
        <f>HYPERLINK("http://twitter.com/MattGlenesk/status/1783934948014997681")</f>
        <v>http://twitter.com/MattGlenesk/status/1783934948014997681</v>
      </c>
      <c r="O786" s="2" t="str">
        <f>HYPERLINK("https://www.indystar.com/story/sports/2024/04/26/brickyard-battalion-hurt-by-indys-pursuit-of-mls-team-without-them/73470598007/")</f>
        <v>https://www.indystar.com/story/sports/2024/04/26/brickyard-battalion-hurt-by-indys-pursuit-of-mls-team-without-them/73470598007/</v>
      </c>
    </row>
    <row r="787" spans="1:15" ht="52.8" x14ac:dyDescent="0.3">
      <c r="A787" s="2" t="s">
        <v>2390</v>
      </c>
      <c r="B787" s="2" t="s">
        <v>2036</v>
      </c>
      <c r="C787" s="2" t="s">
        <v>2391</v>
      </c>
      <c r="D787" s="2" t="s">
        <v>2392</v>
      </c>
      <c r="E787" s="2" t="str">
        <f>HYPERLINK("http://twitter.com/GreggDoyelStar")</f>
        <v>http://twitter.com/GreggDoyelStar</v>
      </c>
      <c r="F787" s="2" t="str">
        <f>HYPERLINK("https://muckrack.com/greggdoyelstar")</f>
        <v>https://muckrack.com/greggdoyelstar</v>
      </c>
      <c r="G787" s="2">
        <v>92219</v>
      </c>
      <c r="H787" s="2" t="s">
        <v>1972</v>
      </c>
      <c r="I787" s="2" t="s">
        <v>2393</v>
      </c>
      <c r="J787" s="2" t="s">
        <v>2000</v>
      </c>
      <c r="K787" s="2" t="s">
        <v>321</v>
      </c>
      <c r="L787" s="2" t="s">
        <v>3800</v>
      </c>
      <c r="M787" s="5">
        <v>45409.373807870368</v>
      </c>
      <c r="N787" s="2" t="str">
        <f>HYPERLINK("http://twitter.com/GreggDoyelStar/status/1784205425665093997")</f>
        <v>http://twitter.com/GreggDoyelStar/status/1784205425665093997</v>
      </c>
      <c r="O787" s="2" t="str">
        <f>HYPERLINK("https://www.indystar.com/story/sports/2024/04/26/brickyard-battalion-hurt-by-indys-pursuit-of-mls-team-without-them/73470598007/")</f>
        <v>https://www.indystar.com/story/sports/2024/04/26/brickyard-battalion-hurt-by-indys-pursuit-of-mls-team-without-them/73470598007/</v>
      </c>
    </row>
    <row r="788" spans="1:15" ht="52.8" x14ac:dyDescent="0.3">
      <c r="A788" s="2" t="s">
        <v>267</v>
      </c>
      <c r="B788" s="2" t="s">
        <v>2061</v>
      </c>
      <c r="C788" s="2" t="s">
        <v>2062</v>
      </c>
      <c r="D788" s="2" t="s">
        <v>2063</v>
      </c>
      <c r="E788" s="2" t="str">
        <f>HYPERLINK("http://twitter.com/MickeyShuey")</f>
        <v>http://twitter.com/MickeyShuey</v>
      </c>
      <c r="F788" s="2" t="str">
        <f>HYPERLINK("https://muckrack.com/mickeyshuey")</f>
        <v>https://muckrack.com/mickeyshuey</v>
      </c>
      <c r="G788" s="2">
        <v>1868</v>
      </c>
      <c r="H788" s="2" t="s">
        <v>1972</v>
      </c>
      <c r="I788" s="2" t="s">
        <v>2064</v>
      </c>
      <c r="J788" s="2" t="s">
        <v>2065</v>
      </c>
      <c r="K788" s="2" t="s">
        <v>268</v>
      </c>
      <c r="L788" s="2" t="s">
        <v>3802</v>
      </c>
      <c r="M788" s="5">
        <v>45408.579386574071</v>
      </c>
      <c r="N788" s="2" t="str">
        <f>HYPERLINK("http://twitter.com/MickeyShuey/status/1783917539589841110")</f>
        <v>http://twitter.com/MickeyShuey/status/1783917539589841110</v>
      </c>
      <c r="O788" s="2" t="str">
        <f>HYPERLINK("https://www.ibj.com/articles/indianapolis-wants-an-mls-expansion-team-so-how-does-it-work")</f>
        <v>https://www.ibj.com/articles/indianapolis-wants-an-mls-expansion-team-so-how-does-it-work</v>
      </c>
    </row>
    <row r="789" spans="1:15" ht="66" x14ac:dyDescent="0.3">
      <c r="A789" s="2" t="s">
        <v>3184</v>
      </c>
      <c r="B789" s="2" t="s">
        <v>3185</v>
      </c>
      <c r="C789" s="2" t="s">
        <v>3186</v>
      </c>
      <c r="D789" s="2" t="s">
        <v>3187</v>
      </c>
      <c r="E789" s="2" t="str">
        <f>HYPERLINK("http://twitter.com/317lindquist")</f>
        <v>http://twitter.com/317lindquist</v>
      </c>
      <c r="F789" s="2" t="str">
        <f>HYPERLINK("https://muckrack.com/317lindquist")</f>
        <v>https://muckrack.com/317lindquist</v>
      </c>
      <c r="G789" s="2">
        <v>23498</v>
      </c>
      <c r="H789" s="2" t="s">
        <v>2132</v>
      </c>
      <c r="I789" s="2" t="s">
        <v>3188</v>
      </c>
      <c r="J789" s="2" t="s">
        <v>3189</v>
      </c>
      <c r="K789" s="2" t="s">
        <v>3190</v>
      </c>
      <c r="L789" s="2" t="s">
        <v>3803</v>
      </c>
      <c r="M789" s="5">
        <v>45408.58520833333</v>
      </c>
      <c r="N789" s="2" t="str">
        <f>HYPERLINK("http://twitter.com/317lindquist/status/1783919650247434490")</f>
        <v>http://twitter.com/317lindquist/status/1783919650247434490</v>
      </c>
      <c r="O789" s="2" t="str">
        <f>HYPERLINK("https://www.ibj.com/articles/indianapolis-wants-an-mls-expansion-team-so-how-does-it-work")</f>
        <v>https://www.ibj.com/articles/indianapolis-wants-an-mls-expansion-team-so-how-does-it-work</v>
      </c>
    </row>
    <row r="790" spans="1:15" ht="66" x14ac:dyDescent="0.3">
      <c r="A790" s="2" t="s">
        <v>740</v>
      </c>
      <c r="B790" s="2" t="s">
        <v>2061</v>
      </c>
      <c r="C790" s="2" t="s">
        <v>3804</v>
      </c>
      <c r="D790" s="2" t="s">
        <v>3805</v>
      </c>
      <c r="E790" s="2" t="str">
        <f>HYPERLINK("http://twitter.com/dcbradley")</f>
        <v>http://twitter.com/dcbradley</v>
      </c>
      <c r="F790" s="2" t="str">
        <f>HYPERLINK("https://muckrack.com/daniel-bradley")</f>
        <v>https://muckrack.com/daniel-bradley</v>
      </c>
      <c r="G790" s="2">
        <v>853</v>
      </c>
      <c r="H790" s="2" t="s">
        <v>2132</v>
      </c>
      <c r="I790" s="2" t="s">
        <v>3806</v>
      </c>
      <c r="J790" s="2" t="s">
        <v>2141</v>
      </c>
      <c r="K790" s="2" t="s">
        <v>268</v>
      </c>
      <c r="L790" s="2" t="s">
        <v>3803</v>
      </c>
      <c r="M790" s="5">
        <v>45408.602060185192</v>
      </c>
      <c r="N790" s="2" t="str">
        <f>HYPERLINK("http://twitter.com/dcbradley/status/1783925756478865499")</f>
        <v>http://twitter.com/dcbradley/status/1783925756478865499</v>
      </c>
      <c r="O790" s="2" t="str">
        <f>HYPERLINK("https://www.ibj.com/articles/indianapolis-wants-an-mls-expansion-team-so-how-does-it-work")</f>
        <v>https://www.ibj.com/articles/indianapolis-wants-an-mls-expansion-team-so-how-does-it-work</v>
      </c>
    </row>
    <row r="791" spans="1:15" ht="66" x14ac:dyDescent="0.3">
      <c r="A791" s="2" t="s">
        <v>3539</v>
      </c>
      <c r="B791" s="2" t="s">
        <v>2467</v>
      </c>
      <c r="C791" s="2" t="s">
        <v>3540</v>
      </c>
      <c r="D791" s="2" t="s">
        <v>3541</v>
      </c>
      <c r="E791" s="2" t="str">
        <f>HYPERLINK("http://twitter.com/sammquinn13")</f>
        <v>http://twitter.com/sammquinn13</v>
      </c>
      <c r="F791" s="2" t="str">
        <f>HYPERLINK("https://muckrack.com/samm-quinn")</f>
        <v>https://muckrack.com/samm-quinn</v>
      </c>
      <c r="G791" s="2">
        <v>1265</v>
      </c>
      <c r="H791" s="2" t="s">
        <v>1972</v>
      </c>
      <c r="I791" s="2" t="s">
        <v>3542</v>
      </c>
      <c r="J791" s="2" t="s">
        <v>2141</v>
      </c>
      <c r="K791" s="2" t="s">
        <v>268</v>
      </c>
      <c r="L791" s="2" t="s">
        <v>3803</v>
      </c>
      <c r="M791" s="5">
        <v>45408.664259259262</v>
      </c>
      <c r="N791" s="2" t="str">
        <f>HYPERLINK("http://twitter.com/sammquinn13/status/1783948297125708088")</f>
        <v>http://twitter.com/sammquinn13/status/1783948297125708088</v>
      </c>
      <c r="O791" s="2" t="str">
        <f>HYPERLINK("https://www.ibj.com/articles/indianapolis-wants-an-mls-expansion-team-so-how-does-it-work")</f>
        <v>https://www.ibj.com/articles/indianapolis-wants-an-mls-expansion-team-so-how-does-it-work</v>
      </c>
    </row>
    <row r="792" spans="1:15" ht="66" x14ac:dyDescent="0.3">
      <c r="A792" s="2" t="s">
        <v>1069</v>
      </c>
      <c r="B792" s="2" t="s">
        <v>2297</v>
      </c>
      <c r="C792" s="2" t="s">
        <v>3689</v>
      </c>
      <c r="D792" s="2" t="s">
        <v>3690</v>
      </c>
      <c r="E792" s="2" t="str">
        <f>HYPERLINK("http://twitter.com/SusanOrr")</f>
        <v>http://twitter.com/SusanOrr</v>
      </c>
      <c r="F792" s="2" t="str">
        <f>HYPERLINK("https://muckrack.com/susan-orr")</f>
        <v>https://muckrack.com/susan-orr</v>
      </c>
      <c r="G792" s="2">
        <v>2664</v>
      </c>
      <c r="H792" s="2" t="s">
        <v>1972</v>
      </c>
      <c r="I792" s="2" t="s">
        <v>3691</v>
      </c>
      <c r="J792" s="2" t="s">
        <v>3692</v>
      </c>
      <c r="K792" s="2" t="s">
        <v>268</v>
      </c>
      <c r="L792" s="2" t="s">
        <v>3803</v>
      </c>
      <c r="M792" s="5">
        <v>45408.748055555552</v>
      </c>
      <c r="N792" s="2" t="str">
        <f>HYPERLINK("http://twitter.com/SusanOrr/status/1783978660417954203")</f>
        <v>http://twitter.com/SusanOrr/status/1783978660417954203</v>
      </c>
      <c r="O792" s="2" t="str">
        <f>HYPERLINK("https://www.ibj.com/articles/indianapolis-wants-an-mls-expansion-team-so-how-does-it-work")</f>
        <v>https://www.ibj.com/articles/indianapolis-wants-an-mls-expansion-team-so-how-does-it-work</v>
      </c>
    </row>
    <row r="793" spans="1:15" ht="52.8" x14ac:dyDescent="0.3">
      <c r="A793" s="2" t="s">
        <v>267</v>
      </c>
      <c r="B793" s="2" t="s">
        <v>2061</v>
      </c>
      <c r="C793" s="2" t="s">
        <v>2062</v>
      </c>
      <c r="D793" s="2" t="s">
        <v>2063</v>
      </c>
      <c r="E793" s="2" t="str">
        <f>HYPERLINK("http://twitter.com/MickeyShuey")</f>
        <v>http://twitter.com/MickeyShuey</v>
      </c>
      <c r="F793" s="2" t="str">
        <f>HYPERLINK("https://muckrack.com/mickeyshuey")</f>
        <v>https://muckrack.com/mickeyshuey</v>
      </c>
      <c r="G793" s="2">
        <v>1868</v>
      </c>
      <c r="H793" s="2" t="s">
        <v>1972</v>
      </c>
      <c r="I793" s="2" t="s">
        <v>2064</v>
      </c>
      <c r="J793" s="2" t="s">
        <v>2065</v>
      </c>
      <c r="K793" s="2" t="s">
        <v>268</v>
      </c>
      <c r="L793" s="2" t="s">
        <v>3802</v>
      </c>
      <c r="M793" s="5">
        <v>45408.579386574071</v>
      </c>
      <c r="N793" s="2" t="str">
        <f>HYPERLINK("http://twitter.com/MickeyShuey/status/1783917539589841110")</f>
        <v>http://twitter.com/MickeyShuey/status/1783917539589841110</v>
      </c>
      <c r="O793" s="2" t="str">
        <f>HYPERLINK("https://www.ibj.com/articles/city-puts-out-new-taxing-district-map-for-proposed-mls-stadium")</f>
        <v>https://www.ibj.com/articles/city-puts-out-new-taxing-district-map-for-proposed-mls-stadium</v>
      </c>
    </row>
    <row r="794" spans="1:15" ht="66" x14ac:dyDescent="0.3">
      <c r="A794" s="2" t="s">
        <v>3184</v>
      </c>
      <c r="B794" s="2" t="s">
        <v>3185</v>
      </c>
      <c r="C794" s="2" t="s">
        <v>3186</v>
      </c>
      <c r="D794" s="2" t="s">
        <v>3187</v>
      </c>
      <c r="E794" s="2" t="str">
        <f>HYPERLINK("http://twitter.com/317lindquist")</f>
        <v>http://twitter.com/317lindquist</v>
      </c>
      <c r="F794" s="2" t="str">
        <f>HYPERLINK("https://muckrack.com/317lindquist")</f>
        <v>https://muckrack.com/317lindquist</v>
      </c>
      <c r="G794" s="2">
        <v>23498</v>
      </c>
      <c r="H794" s="2" t="s">
        <v>2132</v>
      </c>
      <c r="I794" s="2" t="s">
        <v>3188</v>
      </c>
      <c r="J794" s="2" t="s">
        <v>3189</v>
      </c>
      <c r="K794" s="2" t="s">
        <v>3190</v>
      </c>
      <c r="L794" s="2" t="s">
        <v>3803</v>
      </c>
      <c r="M794" s="5">
        <v>45408.58520833333</v>
      </c>
      <c r="N794" s="2" t="str">
        <f>HYPERLINK("http://twitter.com/317lindquist/status/1783919650247434490")</f>
        <v>http://twitter.com/317lindquist/status/1783919650247434490</v>
      </c>
      <c r="O794" s="2" t="str">
        <f>HYPERLINK("https://www.ibj.com/articles/city-puts-out-new-taxing-district-map-for-proposed-mls-stadium")</f>
        <v>https://www.ibj.com/articles/city-puts-out-new-taxing-district-map-for-proposed-mls-stadium</v>
      </c>
    </row>
    <row r="795" spans="1:15" ht="66" x14ac:dyDescent="0.3">
      <c r="A795" s="2" t="s">
        <v>740</v>
      </c>
      <c r="B795" s="2" t="s">
        <v>2061</v>
      </c>
      <c r="C795" s="2" t="s">
        <v>3804</v>
      </c>
      <c r="D795" s="2" t="s">
        <v>3805</v>
      </c>
      <c r="E795" s="2" t="str">
        <f>HYPERLINK("http://twitter.com/dcbradley")</f>
        <v>http://twitter.com/dcbradley</v>
      </c>
      <c r="F795" s="2" t="str">
        <f>HYPERLINK("https://muckrack.com/daniel-bradley")</f>
        <v>https://muckrack.com/daniel-bradley</v>
      </c>
      <c r="G795" s="2">
        <v>853</v>
      </c>
      <c r="H795" s="2" t="s">
        <v>2132</v>
      </c>
      <c r="I795" s="2" t="s">
        <v>3806</v>
      </c>
      <c r="J795" s="2" t="s">
        <v>2141</v>
      </c>
      <c r="K795" s="2" t="s">
        <v>268</v>
      </c>
      <c r="L795" s="2" t="s">
        <v>3803</v>
      </c>
      <c r="M795" s="5">
        <v>45408.602060185192</v>
      </c>
      <c r="N795" s="2" t="str">
        <f>HYPERLINK("http://twitter.com/dcbradley/status/1783925756478865499")</f>
        <v>http://twitter.com/dcbradley/status/1783925756478865499</v>
      </c>
      <c r="O795" s="2" t="str">
        <f>HYPERLINK("https://www.ibj.com/articles/city-puts-out-new-taxing-district-map-for-proposed-mls-stadium")</f>
        <v>https://www.ibj.com/articles/city-puts-out-new-taxing-district-map-for-proposed-mls-stadium</v>
      </c>
    </row>
    <row r="796" spans="1:15" ht="66" x14ac:dyDescent="0.3">
      <c r="A796" s="2" t="s">
        <v>3539</v>
      </c>
      <c r="B796" s="2" t="s">
        <v>2467</v>
      </c>
      <c r="C796" s="2" t="s">
        <v>3540</v>
      </c>
      <c r="D796" s="2" t="s">
        <v>3541</v>
      </c>
      <c r="E796" s="2" t="str">
        <f>HYPERLINK("http://twitter.com/sammquinn13")</f>
        <v>http://twitter.com/sammquinn13</v>
      </c>
      <c r="F796" s="2" t="str">
        <f>HYPERLINK("https://muckrack.com/samm-quinn")</f>
        <v>https://muckrack.com/samm-quinn</v>
      </c>
      <c r="G796" s="2">
        <v>1265</v>
      </c>
      <c r="H796" s="2" t="s">
        <v>1972</v>
      </c>
      <c r="I796" s="2" t="s">
        <v>3542</v>
      </c>
      <c r="J796" s="2" t="s">
        <v>2141</v>
      </c>
      <c r="K796" s="2" t="s">
        <v>268</v>
      </c>
      <c r="L796" s="2" t="s">
        <v>3803</v>
      </c>
      <c r="M796" s="5">
        <v>45408.664259259262</v>
      </c>
      <c r="N796" s="2" t="str">
        <f>HYPERLINK("http://twitter.com/sammquinn13/status/1783948297125708088")</f>
        <v>http://twitter.com/sammquinn13/status/1783948297125708088</v>
      </c>
      <c r="O796" s="2" t="str">
        <f>HYPERLINK("https://www.ibj.com/articles/city-puts-out-new-taxing-district-map-for-proposed-mls-stadium")</f>
        <v>https://www.ibj.com/articles/city-puts-out-new-taxing-district-map-for-proposed-mls-stadium</v>
      </c>
    </row>
    <row r="797" spans="1:15" ht="66" x14ac:dyDescent="0.3">
      <c r="A797" s="2" t="s">
        <v>1069</v>
      </c>
      <c r="B797" s="2" t="s">
        <v>2297</v>
      </c>
      <c r="C797" s="2" t="s">
        <v>3689</v>
      </c>
      <c r="D797" s="2" t="s">
        <v>3690</v>
      </c>
      <c r="E797" s="2" t="str">
        <f>HYPERLINK("http://twitter.com/SusanOrr")</f>
        <v>http://twitter.com/SusanOrr</v>
      </c>
      <c r="F797" s="2" t="str">
        <f>HYPERLINK("https://muckrack.com/susan-orr")</f>
        <v>https://muckrack.com/susan-orr</v>
      </c>
      <c r="G797" s="2">
        <v>2664</v>
      </c>
      <c r="H797" s="2" t="s">
        <v>1972</v>
      </c>
      <c r="I797" s="2" t="s">
        <v>3691</v>
      </c>
      <c r="J797" s="2" t="s">
        <v>3692</v>
      </c>
      <c r="K797" s="2" t="s">
        <v>268</v>
      </c>
      <c r="L797" s="2" t="s">
        <v>3803</v>
      </c>
      <c r="M797" s="5">
        <v>45408.748055555552</v>
      </c>
      <c r="N797" s="2" t="str">
        <f>HYPERLINK("http://twitter.com/SusanOrr/status/1783978660417954203")</f>
        <v>http://twitter.com/SusanOrr/status/1783978660417954203</v>
      </c>
      <c r="O797" s="2" t="str">
        <f>HYPERLINK("https://www.ibj.com/articles/city-puts-out-new-taxing-district-map-for-proposed-mls-stadium")</f>
        <v>https://www.ibj.com/articles/city-puts-out-new-taxing-district-map-for-proposed-mls-stadium</v>
      </c>
    </row>
    <row r="798" spans="1:15" ht="52.8" x14ac:dyDescent="0.3">
      <c r="A798" s="2" t="s">
        <v>267</v>
      </c>
      <c r="B798" s="2" t="s">
        <v>2061</v>
      </c>
      <c r="C798" s="2" t="s">
        <v>2062</v>
      </c>
      <c r="D798" s="2" t="s">
        <v>2063</v>
      </c>
      <c r="E798" s="2" t="str">
        <f>HYPERLINK("http://twitter.com/MickeyShuey")</f>
        <v>http://twitter.com/MickeyShuey</v>
      </c>
      <c r="F798" s="2" t="str">
        <f>HYPERLINK("https://muckrack.com/mickeyshuey")</f>
        <v>https://muckrack.com/mickeyshuey</v>
      </c>
      <c r="G798" s="2">
        <v>1868</v>
      </c>
      <c r="H798" s="2" t="s">
        <v>1972</v>
      </c>
      <c r="I798" s="2" t="s">
        <v>2064</v>
      </c>
      <c r="J798" s="2" t="s">
        <v>2065</v>
      </c>
      <c r="K798" s="2" t="s">
        <v>268</v>
      </c>
      <c r="L798" s="2" t="s">
        <v>3802</v>
      </c>
      <c r="M798" s="5">
        <v>45408.579386574071</v>
      </c>
      <c r="N798" s="2" t="str">
        <f>HYPERLINK("http://twitter.com/MickeyShuey/status/1783917539589841110")</f>
        <v>http://twitter.com/MickeyShuey/status/1783917539589841110</v>
      </c>
      <c r="O798" s="2" t="str">
        <f>HYPERLINK("https://www.ibj.com/articles/hogsetts-plan-to-win-mls-franchise-faces-city-level-legislative-hurdles")</f>
        <v>https://www.ibj.com/articles/hogsetts-plan-to-win-mls-franchise-faces-city-level-legislative-hurdles</v>
      </c>
    </row>
    <row r="799" spans="1:15" ht="66" x14ac:dyDescent="0.3">
      <c r="A799" s="2" t="s">
        <v>3184</v>
      </c>
      <c r="B799" s="2" t="s">
        <v>3185</v>
      </c>
      <c r="C799" s="2" t="s">
        <v>3186</v>
      </c>
      <c r="D799" s="2" t="s">
        <v>3187</v>
      </c>
      <c r="E799" s="2" t="str">
        <f>HYPERLINK("http://twitter.com/317lindquist")</f>
        <v>http://twitter.com/317lindquist</v>
      </c>
      <c r="F799" s="2" t="str">
        <f>HYPERLINK("https://muckrack.com/317lindquist")</f>
        <v>https://muckrack.com/317lindquist</v>
      </c>
      <c r="G799" s="2">
        <v>23498</v>
      </c>
      <c r="H799" s="2" t="s">
        <v>2132</v>
      </c>
      <c r="I799" s="2" t="s">
        <v>3188</v>
      </c>
      <c r="J799" s="2" t="s">
        <v>3189</v>
      </c>
      <c r="K799" s="2" t="s">
        <v>3190</v>
      </c>
      <c r="L799" s="2" t="s">
        <v>3803</v>
      </c>
      <c r="M799" s="5">
        <v>45408.58520833333</v>
      </c>
      <c r="N799" s="2" t="str">
        <f>HYPERLINK("http://twitter.com/317lindquist/status/1783919650247434490")</f>
        <v>http://twitter.com/317lindquist/status/1783919650247434490</v>
      </c>
      <c r="O799" s="2" t="str">
        <f>HYPERLINK("https://www.ibj.com/articles/hogsetts-plan-to-win-mls-franchise-faces-city-level-legislative-hurdles")</f>
        <v>https://www.ibj.com/articles/hogsetts-plan-to-win-mls-franchise-faces-city-level-legislative-hurdles</v>
      </c>
    </row>
    <row r="800" spans="1:15" ht="66" x14ac:dyDescent="0.3">
      <c r="A800" s="2" t="s">
        <v>740</v>
      </c>
      <c r="B800" s="2" t="s">
        <v>2061</v>
      </c>
      <c r="C800" s="2" t="s">
        <v>3804</v>
      </c>
      <c r="D800" s="2" t="s">
        <v>3805</v>
      </c>
      <c r="E800" s="2" t="str">
        <f>HYPERLINK("http://twitter.com/dcbradley")</f>
        <v>http://twitter.com/dcbradley</v>
      </c>
      <c r="F800" s="2" t="str">
        <f>HYPERLINK("https://muckrack.com/daniel-bradley")</f>
        <v>https://muckrack.com/daniel-bradley</v>
      </c>
      <c r="G800" s="2">
        <v>853</v>
      </c>
      <c r="H800" s="2" t="s">
        <v>2132</v>
      </c>
      <c r="I800" s="2" t="s">
        <v>3806</v>
      </c>
      <c r="J800" s="2" t="s">
        <v>2141</v>
      </c>
      <c r="K800" s="2" t="s">
        <v>268</v>
      </c>
      <c r="L800" s="2" t="s">
        <v>3803</v>
      </c>
      <c r="M800" s="5">
        <v>45408.602060185192</v>
      </c>
      <c r="N800" s="2" t="str">
        <f>HYPERLINK("http://twitter.com/dcbradley/status/1783925756478865499")</f>
        <v>http://twitter.com/dcbradley/status/1783925756478865499</v>
      </c>
      <c r="O800" s="2" t="str">
        <f>HYPERLINK("https://www.ibj.com/articles/hogsetts-plan-to-win-mls-franchise-faces-city-level-legislative-hurdles")</f>
        <v>https://www.ibj.com/articles/hogsetts-plan-to-win-mls-franchise-faces-city-level-legislative-hurdles</v>
      </c>
    </row>
    <row r="801" spans="1:15" ht="66" x14ac:dyDescent="0.3">
      <c r="A801" s="2" t="s">
        <v>3539</v>
      </c>
      <c r="B801" s="2" t="s">
        <v>2467</v>
      </c>
      <c r="C801" s="2" t="s">
        <v>3540</v>
      </c>
      <c r="D801" s="2" t="s">
        <v>3541</v>
      </c>
      <c r="E801" s="2" t="str">
        <f>HYPERLINK("http://twitter.com/sammquinn13")</f>
        <v>http://twitter.com/sammquinn13</v>
      </c>
      <c r="F801" s="2" t="str">
        <f>HYPERLINK("https://muckrack.com/samm-quinn")</f>
        <v>https://muckrack.com/samm-quinn</v>
      </c>
      <c r="G801" s="2">
        <v>1265</v>
      </c>
      <c r="H801" s="2" t="s">
        <v>1972</v>
      </c>
      <c r="I801" s="2" t="s">
        <v>3542</v>
      </c>
      <c r="J801" s="2" t="s">
        <v>2141</v>
      </c>
      <c r="K801" s="2" t="s">
        <v>268</v>
      </c>
      <c r="L801" s="2" t="s">
        <v>3803</v>
      </c>
      <c r="M801" s="5">
        <v>45408.664259259262</v>
      </c>
      <c r="N801" s="2" t="str">
        <f>HYPERLINK("http://twitter.com/sammquinn13/status/1783948297125708088")</f>
        <v>http://twitter.com/sammquinn13/status/1783948297125708088</v>
      </c>
      <c r="O801" s="2" t="str">
        <f>HYPERLINK("https://www.ibj.com/articles/hogsetts-plan-to-win-mls-franchise-faces-city-level-legislative-hurdles")</f>
        <v>https://www.ibj.com/articles/hogsetts-plan-to-win-mls-franchise-faces-city-level-legislative-hurdles</v>
      </c>
    </row>
    <row r="802" spans="1:15" ht="66" x14ac:dyDescent="0.3">
      <c r="A802" s="2" t="s">
        <v>1069</v>
      </c>
      <c r="B802" s="2" t="s">
        <v>2297</v>
      </c>
      <c r="C802" s="2" t="s">
        <v>3689</v>
      </c>
      <c r="D802" s="2" t="s">
        <v>3690</v>
      </c>
      <c r="E802" s="2" t="str">
        <f>HYPERLINK("http://twitter.com/SusanOrr")</f>
        <v>http://twitter.com/SusanOrr</v>
      </c>
      <c r="F802" s="2" t="str">
        <f>HYPERLINK("https://muckrack.com/susan-orr")</f>
        <v>https://muckrack.com/susan-orr</v>
      </c>
      <c r="G802" s="2">
        <v>2664</v>
      </c>
      <c r="H802" s="2" t="s">
        <v>1972</v>
      </c>
      <c r="I802" s="2" t="s">
        <v>3691</v>
      </c>
      <c r="J802" s="2" t="s">
        <v>3692</v>
      </c>
      <c r="K802" s="2" t="s">
        <v>268</v>
      </c>
      <c r="L802" s="2" t="s">
        <v>3803</v>
      </c>
      <c r="M802" s="5">
        <v>45408.748055555552</v>
      </c>
      <c r="N802" s="2" t="str">
        <f>HYPERLINK("http://twitter.com/SusanOrr/status/1783978660417954203")</f>
        <v>http://twitter.com/SusanOrr/status/1783978660417954203</v>
      </c>
      <c r="O802" s="2" t="str">
        <f>HYPERLINK("https://www.ibj.com/articles/hogsetts-plan-to-win-mls-franchise-faces-city-level-legislative-hurdles")</f>
        <v>https://www.ibj.com/articles/hogsetts-plan-to-win-mls-franchise-faces-city-level-legislative-hurdles</v>
      </c>
    </row>
    <row r="803" spans="1:15" ht="39.6" x14ac:dyDescent="0.3">
      <c r="A803" s="2" t="s">
        <v>1553</v>
      </c>
      <c r="B803" s="2" t="s">
        <v>3807</v>
      </c>
      <c r="C803" s="2" t="s">
        <v>3808</v>
      </c>
      <c r="D803" s="2" t="s">
        <v>3809</v>
      </c>
      <c r="E803" s="2" t="str">
        <f>HYPERLINK("http://twitter.com/mgfleming12")</f>
        <v>http://twitter.com/mgfleming12</v>
      </c>
      <c r="F803" s="2" t="str">
        <f>HYPERLINK("https://muckrack.com/margaret-fleming-3")</f>
        <v>https://muckrack.com/margaret-fleming-3</v>
      </c>
      <c r="G803" s="2">
        <v>1590</v>
      </c>
      <c r="H803" s="2" t="s">
        <v>3810</v>
      </c>
      <c r="I803" s="2" t="s">
        <v>3811</v>
      </c>
      <c r="J803" s="2" t="s">
        <v>2033</v>
      </c>
      <c r="K803" s="2" t="s">
        <v>1554</v>
      </c>
      <c r="L803" s="2" t="s">
        <v>3812</v>
      </c>
      <c r="M803" s="5">
        <v>45408.484305555547</v>
      </c>
      <c r="N803" s="2" t="str">
        <f>HYPERLINK("http://twitter.com/mgfleming12/status/1783883084556833103")</f>
        <v>http://twitter.com/mgfleming12/status/1783883084556833103</v>
      </c>
      <c r="O803" s="2" t="str">
        <f>HYPERLINK("https://frontofficesports.com/indianapolis-mls-soccer-expansion/")</f>
        <v>https://frontofficesports.com/indianapolis-mls-soccer-expansion/</v>
      </c>
    </row>
    <row r="804" spans="1:15" ht="39.6" x14ac:dyDescent="0.3">
      <c r="A804" s="2" t="s">
        <v>3813</v>
      </c>
      <c r="B804" s="2" t="s">
        <v>3814</v>
      </c>
      <c r="C804" s="2" t="s">
        <v>3815</v>
      </c>
      <c r="D804" s="2" t="s">
        <v>3816</v>
      </c>
      <c r="E804" s="2" t="str">
        <f>HYPERLINK("http://twitter.com/FOSAdam")</f>
        <v>http://twitter.com/FOSAdam</v>
      </c>
      <c r="F804" s="2" t="str">
        <f>HYPERLINK("https://muckrack.com/adam-white-14")</f>
        <v>https://muckrack.com/adam-white-14</v>
      </c>
      <c r="G804" s="2">
        <v>10311</v>
      </c>
      <c r="H804" s="2" t="s">
        <v>3810</v>
      </c>
      <c r="I804" s="2" t="s">
        <v>3817</v>
      </c>
      <c r="J804" s="2" t="s">
        <v>2033</v>
      </c>
      <c r="K804" s="2" t="s">
        <v>1554</v>
      </c>
      <c r="L804" s="2" t="s">
        <v>3818</v>
      </c>
      <c r="M804" s="5">
        <v>45408.485509259262</v>
      </c>
      <c r="N804" s="2" t="str">
        <f>HYPERLINK("http://twitter.com/FOSAdam/status/1783883519191613786")</f>
        <v>http://twitter.com/FOSAdam/status/1783883519191613786</v>
      </c>
      <c r="O804" s="2" t="str">
        <f>HYPERLINK("https://frontofficesports.com/indianapolis-mls-soccer-expansion/")</f>
        <v>https://frontofficesports.com/indianapolis-mls-soccer-expansion/</v>
      </c>
    </row>
    <row r="805" spans="1:15" ht="39.6" x14ac:dyDescent="0.3">
      <c r="A805" s="2" t="s">
        <v>1152</v>
      </c>
      <c r="B805" s="2" t="s">
        <v>3232</v>
      </c>
      <c r="C805" s="2" t="s">
        <v>3233</v>
      </c>
      <c r="D805" s="2" t="s">
        <v>3234</v>
      </c>
      <c r="E805" s="2" t="str">
        <f>HYPERLINK("http://twitter.com/HannaMordoh")</f>
        <v>http://twitter.com/HannaMordoh</v>
      </c>
      <c r="F805" s="2" t="str">
        <f>HYPERLINK("https://muckrack.com/hanna-mordoh")</f>
        <v>https://muckrack.com/hanna-mordoh</v>
      </c>
      <c r="G805" s="2">
        <v>4688</v>
      </c>
      <c r="H805" s="2" t="s">
        <v>1972</v>
      </c>
      <c r="I805" s="2" t="s">
        <v>3235</v>
      </c>
      <c r="J805" s="2" t="s">
        <v>1954</v>
      </c>
      <c r="K805" s="2" t="s">
        <v>2283</v>
      </c>
      <c r="L805" s="2" t="s">
        <v>3819</v>
      </c>
      <c r="M805" s="5">
        <v>45408.370150462957</v>
      </c>
      <c r="N805" s="2" t="str">
        <f>HYPERLINK("http://twitter.com/HannaMordoh/status/1783841713712476575")</f>
        <v>http://twitter.com/HannaMordoh/status/1783841713712476575</v>
      </c>
      <c r="O805" s="2" t="str">
        <f>HYPERLINK("https://www.wishtv.com/sports/hogsett-major-league-soccer-an-opportunity-we-cannot-pass-up/")</f>
        <v>https://www.wishtv.com/sports/hogsett-major-league-soccer-an-opportunity-we-cannot-pass-up/</v>
      </c>
    </row>
    <row r="806" spans="1:15" ht="52.8" x14ac:dyDescent="0.3">
      <c r="A806" s="2" t="s">
        <v>919</v>
      </c>
      <c r="B806" s="2" t="s">
        <v>2279</v>
      </c>
      <c r="C806" s="2" t="s">
        <v>2280</v>
      </c>
      <c r="D806" s="2" t="s">
        <v>2281</v>
      </c>
      <c r="E806" s="2" t="str">
        <f>HYPERLINK("http://twitter.com/ADChernoff")</f>
        <v>http://twitter.com/ADChernoff</v>
      </c>
      <c r="F806" s="2" t="str">
        <f>HYPERLINK("https://muckrack.com/andrew-chernoff")</f>
        <v>https://muckrack.com/andrew-chernoff</v>
      </c>
      <c r="G806" s="2">
        <v>7778</v>
      </c>
      <c r="H806" s="2" t="s">
        <v>1972</v>
      </c>
      <c r="I806" s="2" t="s">
        <v>2282</v>
      </c>
      <c r="J806" s="2" t="s">
        <v>2000</v>
      </c>
      <c r="K806" s="2" t="s">
        <v>2283</v>
      </c>
      <c r="L806" s="2" t="s">
        <v>3820</v>
      </c>
      <c r="M806" s="5">
        <v>45408.613819444443</v>
      </c>
      <c r="N806" s="2" t="str">
        <f>HYPERLINK("http://twitter.com/ADChernoff/status/1783930016574664789")</f>
        <v>http://twitter.com/ADChernoff/status/1783930016574664789</v>
      </c>
      <c r="O806" s="2" t="str">
        <f>HYPERLINK("https://www.wishtv.com/sports/hogsett-major-league-soccer-an-opportunity-we-cannot-pass-up/")</f>
        <v>https://www.wishtv.com/sports/hogsett-major-league-soccer-an-opportunity-we-cannot-pass-up/</v>
      </c>
    </row>
    <row r="807" spans="1:15" ht="39.6" x14ac:dyDescent="0.3">
      <c r="A807" s="2" t="s">
        <v>2575</v>
      </c>
      <c r="B807" s="2" t="s">
        <v>2576</v>
      </c>
      <c r="C807" s="2" t="s">
        <v>2577</v>
      </c>
      <c r="D807" s="2" t="s">
        <v>2578</v>
      </c>
      <c r="E807" s="2" t="str">
        <f>HYPERLINK("http://twitter.com/ACwishtv")</f>
        <v>http://twitter.com/ACwishtv</v>
      </c>
      <c r="F807" s="2" t="str">
        <f>HYPERLINK("https://muckrack.com/acwishtv")</f>
        <v>https://muckrack.com/acwishtv</v>
      </c>
      <c r="G807" s="2">
        <v>21532</v>
      </c>
      <c r="H807" s="2" t="s">
        <v>1972</v>
      </c>
      <c r="I807" s="2" t="s">
        <v>2579</v>
      </c>
      <c r="J807" s="2" t="s">
        <v>2000</v>
      </c>
      <c r="K807" s="2" t="s">
        <v>2283</v>
      </c>
      <c r="L807" s="2" t="s">
        <v>3820</v>
      </c>
      <c r="M807" s="5">
        <v>45408.633298611108</v>
      </c>
      <c r="N807" s="2" t="str">
        <f>HYPERLINK("http://twitter.com/ACwishtv/status/1783937075332468894")</f>
        <v>http://twitter.com/ACwishtv/status/1783937075332468894</v>
      </c>
      <c r="O807" s="2" t="str">
        <f>HYPERLINK("https://www.wishtv.com/sports/hogsett-major-league-soccer-an-opportunity-we-cannot-pass-up/")</f>
        <v>https://www.wishtv.com/sports/hogsett-major-league-soccer-an-opportunity-we-cannot-pass-up/</v>
      </c>
    </row>
    <row r="808" spans="1:15" ht="66" x14ac:dyDescent="0.3">
      <c r="A808" s="2" t="s">
        <v>664</v>
      </c>
      <c r="B808" s="2" t="s">
        <v>2289</v>
      </c>
      <c r="C808" s="2" t="s">
        <v>2425</v>
      </c>
      <c r="D808" s="2" t="s">
        <v>2426</v>
      </c>
      <c r="E808" s="2" t="str">
        <f>HYPERLINK("http://twitter.com/Brian_Haenchen")</f>
        <v>http://twitter.com/Brian_Haenchen</v>
      </c>
      <c r="F808" s="2" t="str">
        <f>HYPERLINK("https://muckrack.com/brian_haenchen")</f>
        <v>https://muckrack.com/brian_haenchen</v>
      </c>
      <c r="G808" s="2">
        <v>10028</v>
      </c>
      <c r="H808" s="2" t="s">
        <v>1972</v>
      </c>
      <c r="I808" s="2" t="s">
        <v>2427</v>
      </c>
      <c r="J808" s="2" t="s">
        <v>2000</v>
      </c>
      <c r="K808" s="2" t="s">
        <v>321</v>
      </c>
      <c r="L808" s="2" t="s">
        <v>3821</v>
      </c>
      <c r="M808" s="5">
        <v>45408.313680555562</v>
      </c>
      <c r="N808" s="2" t="str">
        <f>HYPERLINK("http://twitter.com/Brian_Haenchen/status/1783821248574738644")</f>
        <v>http://twitter.com/Brian_Haenchen/status/1783821248574738644</v>
      </c>
      <c r="O808" s="2" t="str">
        <f t="shared" ref="O808:O814" si="30">HYPERLINK("https://www.indystar.com/story/opinion/columnists/james-briggs/2024/04/26/mayor-joe-hogsett-right-to-chase-mls-without-ersal-ozdemir-indy-eleven/73463023007/")</f>
        <v>https://www.indystar.com/story/opinion/columnists/james-briggs/2024/04/26/mayor-joe-hogsett-right-to-chase-mls-without-ersal-ozdemir-indy-eleven/73463023007/</v>
      </c>
    </row>
    <row r="809" spans="1:15" ht="66" x14ac:dyDescent="0.3">
      <c r="A809" s="2" t="s">
        <v>2436</v>
      </c>
      <c r="B809" s="2" t="s">
        <v>2437</v>
      </c>
      <c r="C809" s="2" t="s">
        <v>2438</v>
      </c>
      <c r="D809" s="2" t="s">
        <v>2439</v>
      </c>
      <c r="E809" s="2" t="str">
        <f>HYPERLINK("http://twitter.com/MattGlenesk")</f>
        <v>http://twitter.com/MattGlenesk</v>
      </c>
      <c r="F809" s="2" t="str">
        <f>HYPERLINK("https://muckrack.com/matthew-glenesk")</f>
        <v>https://muckrack.com/matthew-glenesk</v>
      </c>
      <c r="G809" s="2">
        <v>8773</v>
      </c>
      <c r="H809" s="2" t="s">
        <v>2440</v>
      </c>
      <c r="I809" s="2" t="s">
        <v>2441</v>
      </c>
      <c r="J809" s="2" t="s">
        <v>2000</v>
      </c>
      <c r="K809" s="2" t="s">
        <v>321</v>
      </c>
      <c r="L809" s="2" t="s">
        <v>3822</v>
      </c>
      <c r="M809" s="5">
        <v>45408.324259259258</v>
      </c>
      <c r="N809" s="2" t="str">
        <f>HYPERLINK("http://twitter.com/MattGlenesk/status/1783825085834625457")</f>
        <v>http://twitter.com/MattGlenesk/status/1783825085834625457</v>
      </c>
      <c r="O809" s="2" t="str">
        <f t="shared" si="30"/>
        <v>https://www.indystar.com/story/opinion/columnists/james-briggs/2024/04/26/mayor-joe-hogsett-right-to-chase-mls-without-ersal-ozdemir-indy-eleven/73463023007/</v>
      </c>
    </row>
    <row r="810" spans="1:15" ht="66" x14ac:dyDescent="0.3">
      <c r="A810" s="2" t="s">
        <v>2550</v>
      </c>
      <c r="B810" s="2" t="s">
        <v>2544</v>
      </c>
      <c r="C810" s="2" t="s">
        <v>2551</v>
      </c>
      <c r="D810" s="2" t="s">
        <v>2552</v>
      </c>
      <c r="E810" s="2" t="str">
        <f>HYPERLINK("http://twitter.com/indystartony")</f>
        <v>http://twitter.com/indystartony</v>
      </c>
      <c r="F810" s="2" t="str">
        <f>HYPERLINK("https://muckrack.com/tony-cook")</f>
        <v>https://muckrack.com/tony-cook</v>
      </c>
      <c r="G810" s="2">
        <v>11239</v>
      </c>
      <c r="H810" s="2" t="s">
        <v>1972</v>
      </c>
      <c r="I810" s="2" t="s">
        <v>2553</v>
      </c>
      <c r="J810" s="2" t="s">
        <v>2554</v>
      </c>
      <c r="K810" s="2" t="s">
        <v>321</v>
      </c>
      <c r="L810" s="2" t="s">
        <v>3823</v>
      </c>
      <c r="M810" s="5">
        <v>45408.339942129627</v>
      </c>
      <c r="N810" s="2" t="str">
        <f>HYPERLINK("http://twitter.com/indystartony/status/1783830767933751785")</f>
        <v>http://twitter.com/indystartony/status/1783830767933751785</v>
      </c>
      <c r="O810" s="2" t="str">
        <f t="shared" si="30"/>
        <v>https://www.indystar.com/story/opinion/columnists/james-briggs/2024/04/26/mayor-joe-hogsett-right-to-chase-mls-without-ersal-ozdemir-indy-eleven/73463023007/</v>
      </c>
    </row>
    <row r="811" spans="1:15" ht="66" x14ac:dyDescent="0.3">
      <c r="A811" s="2" t="s">
        <v>616</v>
      </c>
      <c r="B811" s="2" t="s">
        <v>1976</v>
      </c>
      <c r="C811" s="2" t="s">
        <v>1977</v>
      </c>
      <c r="D811" s="2" t="s">
        <v>1978</v>
      </c>
      <c r="E811" s="2" t="str">
        <f>HYPERLINK("http://twitter.com/ryanmartin")</f>
        <v>http://twitter.com/ryanmartin</v>
      </c>
      <c r="F811" s="2" t="str">
        <f>HYPERLINK("https://muckrack.com/ryanmartin")</f>
        <v>https://muckrack.com/ryanmartin</v>
      </c>
      <c r="G811" s="2">
        <v>11135</v>
      </c>
      <c r="H811" s="2" t="s">
        <v>1972</v>
      </c>
      <c r="I811" s="2" t="s">
        <v>1979</v>
      </c>
      <c r="J811" s="2" t="s">
        <v>1954</v>
      </c>
      <c r="K811" s="2" t="s">
        <v>1974</v>
      </c>
      <c r="L811" s="2" t="s">
        <v>3824</v>
      </c>
      <c r="M811" s="5">
        <v>45408.396469907413</v>
      </c>
      <c r="N811" s="2" t="str">
        <f>HYPERLINK("http://twitter.com/ryanmartin/status/1783851250657730958")</f>
        <v>http://twitter.com/ryanmartin/status/1783851250657730958</v>
      </c>
      <c r="O811" s="2" t="str">
        <f t="shared" si="30"/>
        <v>https://www.indystar.com/story/opinion/columnists/james-briggs/2024/04/26/mayor-joe-hogsett-right-to-chase-mls-without-ersal-ozdemir-indy-eleven/73463023007/</v>
      </c>
    </row>
    <row r="812" spans="1:15" ht="66" x14ac:dyDescent="0.3">
      <c r="A812" s="2" t="s">
        <v>3825</v>
      </c>
      <c r="B812" s="2" t="s">
        <v>2311</v>
      </c>
      <c r="C812" s="2" t="s">
        <v>3826</v>
      </c>
      <c r="D812" s="2" t="s">
        <v>3827</v>
      </c>
      <c r="E812" s="2" t="str">
        <f>HYPERLINK("http://twitter.com/DavidWoods007")</f>
        <v>http://twitter.com/DavidWoods007</v>
      </c>
      <c r="F812" s="2" t="str">
        <f>HYPERLINK("https://muckrack.com/david-wood-2")</f>
        <v>https://muckrack.com/david-wood-2</v>
      </c>
      <c r="G812" s="2">
        <v>12520</v>
      </c>
      <c r="H812" s="2" t="s">
        <v>1972</v>
      </c>
      <c r="I812" s="2" t="s">
        <v>3828</v>
      </c>
      <c r="J812" s="2" t="s">
        <v>2000</v>
      </c>
      <c r="K812" s="2" t="s">
        <v>2034</v>
      </c>
      <c r="L812" s="2" t="s">
        <v>3824</v>
      </c>
      <c r="M812" s="5">
        <v>45408.443124999998</v>
      </c>
      <c r="N812" s="2" t="str">
        <f>HYPERLINK("http://twitter.com/DavidWoods007/status/1783868159423848670")</f>
        <v>http://twitter.com/DavidWoods007/status/1783868159423848670</v>
      </c>
      <c r="O812" s="2" t="str">
        <f t="shared" si="30"/>
        <v>https://www.indystar.com/story/opinion/columnists/james-briggs/2024/04/26/mayor-joe-hogsett-right-to-chase-mls-without-ersal-ozdemir-indy-eleven/73463023007/</v>
      </c>
    </row>
    <row r="813" spans="1:15" ht="66" x14ac:dyDescent="0.3">
      <c r="A813" s="2" t="s">
        <v>3547</v>
      </c>
      <c r="B813" s="2" t="s">
        <v>2524</v>
      </c>
      <c r="C813" s="2" t="s">
        <v>3548</v>
      </c>
      <c r="D813" s="2" t="s">
        <v>3549</v>
      </c>
      <c r="E813" s="2" t="str">
        <f>HYPERLINK("http://twitter.com/ericlarsen_news")</f>
        <v>http://twitter.com/ericlarsen_news</v>
      </c>
      <c r="F813" s="2" t="str">
        <f>HYPERLINK("https://muckrack.com/eric-larsen")</f>
        <v>https://muckrack.com/eric-larsen</v>
      </c>
      <c r="G813" s="2">
        <v>1482</v>
      </c>
      <c r="H813" s="2" t="s">
        <v>2123</v>
      </c>
      <c r="I813" s="2" t="s">
        <v>3550</v>
      </c>
      <c r="J813" s="2" t="s">
        <v>1954</v>
      </c>
      <c r="K813" s="2" t="s">
        <v>321</v>
      </c>
      <c r="L813" s="2" t="s">
        <v>3829</v>
      </c>
      <c r="M813" s="5">
        <v>45408.506956018522</v>
      </c>
      <c r="N813" s="2" t="str">
        <f>HYPERLINK("http://twitter.com/ericlarsen_news/status/1783891291308228817")</f>
        <v>http://twitter.com/ericlarsen_news/status/1783891291308228817</v>
      </c>
      <c r="O813" s="2" t="str">
        <f t="shared" si="30"/>
        <v>https://www.indystar.com/story/opinion/columnists/james-briggs/2024/04/26/mayor-joe-hogsett-right-to-chase-mls-without-ersal-ozdemir-indy-eleven/73463023007/</v>
      </c>
    </row>
    <row r="814" spans="1:15" ht="66" x14ac:dyDescent="0.3">
      <c r="A814" s="2" t="s">
        <v>2390</v>
      </c>
      <c r="B814" s="2" t="s">
        <v>2036</v>
      </c>
      <c r="C814" s="2" t="s">
        <v>2391</v>
      </c>
      <c r="D814" s="2" t="s">
        <v>2392</v>
      </c>
      <c r="E814" s="2" t="str">
        <f>HYPERLINK("http://twitter.com/GreggDoyelStar")</f>
        <v>http://twitter.com/GreggDoyelStar</v>
      </c>
      <c r="F814" s="2" t="str">
        <f>HYPERLINK("https://muckrack.com/greggdoyelstar")</f>
        <v>https://muckrack.com/greggdoyelstar</v>
      </c>
      <c r="G814" s="2">
        <v>92219</v>
      </c>
      <c r="H814" s="2" t="s">
        <v>1972</v>
      </c>
      <c r="I814" s="2" t="s">
        <v>2393</v>
      </c>
      <c r="J814" s="2" t="s">
        <v>2000</v>
      </c>
      <c r="K814" s="2" t="s">
        <v>321</v>
      </c>
      <c r="L814" s="2" t="s">
        <v>3824</v>
      </c>
      <c r="M814" s="5">
        <v>45409.366099537037</v>
      </c>
      <c r="N814" s="2" t="str">
        <f>HYPERLINK("http://twitter.com/GreggDoyelStar/status/1784202634741625125")</f>
        <v>http://twitter.com/GreggDoyelStar/status/1784202634741625125</v>
      </c>
      <c r="O814" s="2" t="str">
        <f t="shared" si="30"/>
        <v>https://www.indystar.com/story/opinion/columnists/james-briggs/2024/04/26/mayor-joe-hogsett-right-to-chase-mls-without-ersal-ozdemir-indy-eleven/73463023007/</v>
      </c>
    </row>
    <row r="815" spans="1:15" ht="52.8" x14ac:dyDescent="0.3">
      <c r="A815" s="2" t="s">
        <v>664</v>
      </c>
      <c r="B815" s="2" t="s">
        <v>2289</v>
      </c>
      <c r="C815" s="2" t="s">
        <v>2425</v>
      </c>
      <c r="D815" s="2" t="s">
        <v>2426</v>
      </c>
      <c r="E815" s="2" t="str">
        <f>HYPERLINK("http://twitter.com/Brian_Haenchen")</f>
        <v>http://twitter.com/Brian_Haenchen</v>
      </c>
      <c r="F815" s="2" t="str">
        <f>HYPERLINK("https://muckrack.com/brian_haenchen")</f>
        <v>https://muckrack.com/brian_haenchen</v>
      </c>
      <c r="G815" s="2">
        <v>10028</v>
      </c>
      <c r="H815" s="2" t="s">
        <v>1972</v>
      </c>
      <c r="I815" s="2" t="s">
        <v>2427</v>
      </c>
      <c r="J815" s="2" t="s">
        <v>2000</v>
      </c>
      <c r="K815" s="2" t="s">
        <v>321</v>
      </c>
      <c r="L815" s="2" t="s">
        <v>3830</v>
      </c>
      <c r="M815" s="5">
        <v>45408.280555555553</v>
      </c>
      <c r="N815" s="2" t="str">
        <f>HYPERLINK("http://twitter.com/Brian_Haenchen/status/1783809244984414394")</f>
        <v>http://twitter.com/Brian_Haenchen/status/1783809244984414394</v>
      </c>
      <c r="O815" s="2" t="str">
        <f>HYPERLINK("https://www.indystar.com/story/sports/2024/04/26/why-indianapolis-would-consider-major-league-soccer-expansion-team-now/73461996007/")</f>
        <v>https://www.indystar.com/story/sports/2024/04/26/why-indianapolis-would-consider-major-league-soccer-expansion-team-now/73461996007/</v>
      </c>
    </row>
    <row r="816" spans="1:15" ht="118.8" x14ac:dyDescent="0.3">
      <c r="A816" s="2" t="s">
        <v>664</v>
      </c>
      <c r="B816" s="2" t="s">
        <v>2289</v>
      </c>
      <c r="C816" s="2" t="s">
        <v>2425</v>
      </c>
      <c r="D816" s="2" t="s">
        <v>2426</v>
      </c>
      <c r="E816" s="2" t="str">
        <f>HYPERLINK("http://twitter.com/Brian_Haenchen")</f>
        <v>http://twitter.com/Brian_Haenchen</v>
      </c>
      <c r="F816" s="2" t="str">
        <f>HYPERLINK("https://muckrack.com/brian_haenchen")</f>
        <v>https://muckrack.com/brian_haenchen</v>
      </c>
      <c r="G816" s="2">
        <v>10028</v>
      </c>
      <c r="H816" s="2" t="s">
        <v>1972</v>
      </c>
      <c r="I816" s="2" t="s">
        <v>2427</v>
      </c>
      <c r="J816" s="2" t="s">
        <v>2000</v>
      </c>
      <c r="K816" s="2" t="s">
        <v>321</v>
      </c>
      <c r="L816" s="2" t="s">
        <v>3831</v>
      </c>
      <c r="M816" s="5">
        <v>45494.892685185187</v>
      </c>
      <c r="N816" s="2" t="str">
        <f>HYPERLINK("http://twitter.com/Brian_Haenchen/status/1815196431608914386")</f>
        <v>http://twitter.com/Brian_Haenchen/status/1815196431608914386</v>
      </c>
      <c r="O816" s="2" t="str">
        <f>HYPERLINK("https://www.indystar.com/story/sports/2024/04/26/why-indianapolis-would-consider-major-league-soccer-expansion-team-now/73461996007/")</f>
        <v>https://www.indystar.com/story/sports/2024/04/26/why-indianapolis-would-consider-major-league-soccer-expansion-team-now/73461996007/</v>
      </c>
    </row>
    <row r="817" spans="1:15" ht="52.8" x14ac:dyDescent="0.3">
      <c r="A817" s="2" t="s">
        <v>2436</v>
      </c>
      <c r="B817" s="2" t="s">
        <v>2437</v>
      </c>
      <c r="C817" s="2" t="s">
        <v>2438</v>
      </c>
      <c r="D817" s="2" t="s">
        <v>2439</v>
      </c>
      <c r="E817" s="2" t="str">
        <f>HYPERLINK("http://twitter.com/MattGlenesk")</f>
        <v>http://twitter.com/MattGlenesk</v>
      </c>
      <c r="F817" s="2" t="str">
        <f>HYPERLINK("https://muckrack.com/matthew-glenesk")</f>
        <v>https://muckrack.com/matthew-glenesk</v>
      </c>
      <c r="G817" s="2">
        <v>8773</v>
      </c>
      <c r="H817" s="2" t="s">
        <v>2440</v>
      </c>
      <c r="I817" s="2" t="s">
        <v>2441</v>
      </c>
      <c r="J817" s="2" t="s">
        <v>2000</v>
      </c>
      <c r="K817" s="2" t="s">
        <v>321</v>
      </c>
      <c r="L817" s="2" t="s">
        <v>3832</v>
      </c>
      <c r="M817" s="5">
        <v>45408.452592592592</v>
      </c>
      <c r="N817" s="2" t="str">
        <f>HYPERLINK("http://twitter.com/MattGlenesk/status/1783871589538226432")</f>
        <v>http://twitter.com/MattGlenesk/status/1783871589538226432</v>
      </c>
      <c r="O817" s="2" t="str">
        <f>HYPERLINK("https://www.indystar.com/story/sports/2024/04/26/why-indianapolis-would-consider-major-league-soccer-expansion-team-now/73461996007/")</f>
        <v>https://www.indystar.com/story/sports/2024/04/26/why-indianapolis-would-consider-major-league-soccer-expansion-team-now/73461996007/</v>
      </c>
    </row>
    <row r="818" spans="1:15" ht="79.2" x14ac:dyDescent="0.3">
      <c r="A818" s="2" t="s">
        <v>3152</v>
      </c>
      <c r="B818" s="2" t="s">
        <v>3153</v>
      </c>
      <c r="C818" s="2" t="s">
        <v>3154</v>
      </c>
      <c r="D818" s="2" t="s">
        <v>3155</v>
      </c>
      <c r="E818" s="2" t="str">
        <f>HYPERLINK("http://twitter.com/ZachOsterman")</f>
        <v>http://twitter.com/ZachOsterman</v>
      </c>
      <c r="F818" s="2" t="str">
        <f>HYPERLINK("https://muckrack.com/zach-osterman")</f>
        <v>https://muckrack.com/zach-osterman</v>
      </c>
      <c r="G818" s="2">
        <v>39409</v>
      </c>
      <c r="H818" s="2" t="s">
        <v>3156</v>
      </c>
      <c r="I818" s="2" t="s">
        <v>3157</v>
      </c>
      <c r="J818" s="2" t="s">
        <v>2000</v>
      </c>
      <c r="K818" s="2" t="s">
        <v>321</v>
      </c>
      <c r="L818" s="2" t="s">
        <v>3833</v>
      </c>
      <c r="M818" s="5">
        <v>45494.893217592587</v>
      </c>
      <c r="N818" s="2" t="str">
        <f>HYPERLINK("http://twitter.com/ZachOsterman/status/1815196622680187069")</f>
        <v>http://twitter.com/ZachOsterman/status/1815196622680187069</v>
      </c>
      <c r="O818" s="2" t="str">
        <f>HYPERLINK("https://www.indystar.com/story/sports/2024/04/26/why-indianapolis-would-consider-major-league-soccer-expansion-team-now/73461996007/")</f>
        <v>https://www.indystar.com/story/sports/2024/04/26/why-indianapolis-would-consider-major-league-soccer-expansion-team-now/73461996007/</v>
      </c>
    </row>
    <row r="819" spans="1:15" ht="79.2" x14ac:dyDescent="0.3">
      <c r="A819" s="2" t="s">
        <v>3270</v>
      </c>
      <c r="B819" s="2" t="s">
        <v>3271</v>
      </c>
      <c r="C819" s="2" t="s">
        <v>3272</v>
      </c>
      <c r="D819" s="2" t="s">
        <v>3273</v>
      </c>
      <c r="E819" s="2" t="str">
        <f>HYPERLINK("http://twitter.com/DustinGroveTV")</f>
        <v>http://twitter.com/DustinGroveTV</v>
      </c>
      <c r="F819" s="2" t="str">
        <f>HYPERLINK("https://muckrack.com/dustin-grove")</f>
        <v>https://muckrack.com/dustin-grove</v>
      </c>
      <c r="G819" s="2">
        <v>3562</v>
      </c>
      <c r="H819" s="2" t="s">
        <v>3274</v>
      </c>
      <c r="I819" s="2" t="s">
        <v>3275</v>
      </c>
      <c r="J819" s="2" t="s">
        <v>1954</v>
      </c>
      <c r="K819" s="2" t="s">
        <v>130</v>
      </c>
      <c r="L819" s="2" t="s">
        <v>3834</v>
      </c>
      <c r="M819" s="5">
        <v>45408.396678240737</v>
      </c>
      <c r="N819" s="2" t="str">
        <f>HYPERLINK("http://twitter.com/DustinGroveTV/status/1783851327505768475")</f>
        <v>http://twitter.com/DustinGroveTV/status/1783851327505768475</v>
      </c>
      <c r="O819" s="2" t="str">
        <f>HYPERLINK("https://www.wthr.com/article/news/local/we-dont-want-to-lose-our-club-local-soccer-fans-worried-about-future-of-indy-eleven-brickyard-battalion-reaction/531-9e96d22f-b58f-48e5-89b1-d367a4cb8f47")</f>
        <v>https://www.wthr.com/article/news/local/we-dont-want-to-lose-our-club-local-soccer-fans-worried-about-future-of-indy-eleven-brickyard-battalion-reaction/531-9e96d22f-b58f-48e5-89b1-d367a4cb8f47</v>
      </c>
    </row>
    <row r="820" spans="1:15" ht="52.8" x14ac:dyDescent="0.3">
      <c r="A820" s="2" t="s">
        <v>608</v>
      </c>
      <c r="B820" s="2" t="s">
        <v>2892</v>
      </c>
      <c r="C820" s="2" t="s">
        <v>2893</v>
      </c>
      <c r="D820" s="2" t="s">
        <v>2894</v>
      </c>
      <c r="E820" s="2" t="str">
        <f>HYPERLINK("http://twitter.com/JillASheridan")</f>
        <v>http://twitter.com/JillASheridan</v>
      </c>
      <c r="F820" s="2" t="str">
        <f>HYPERLINK("https://muckrack.com/jill-sheridan")</f>
        <v>https://muckrack.com/jill-sheridan</v>
      </c>
      <c r="G820" s="2">
        <v>1289</v>
      </c>
      <c r="H820" s="2" t="s">
        <v>2132</v>
      </c>
      <c r="I820" s="2" t="s">
        <v>2895</v>
      </c>
      <c r="J820" s="2" t="s">
        <v>2008</v>
      </c>
      <c r="K820" s="2" t="s">
        <v>609</v>
      </c>
      <c r="L820" s="2" t="s">
        <v>3835</v>
      </c>
      <c r="M820" s="5">
        <v>45408.335046296299</v>
      </c>
      <c r="N820" s="2" t="str">
        <f>HYPERLINK("http://twitter.com/JillASheridan/status/1783828994892484870")</f>
        <v>http://twitter.com/JillASheridan/status/1783828994892484870</v>
      </c>
      <c r="O820" s="2" t="str">
        <f>HYPERLINK("https://www.wfyi.org/news/articles/indianapolis-seeks-major-league-soccer-team-leaving-future-of-indy-eleven-development-uncertain")</f>
        <v>https://www.wfyi.org/news/articles/indianapolis-seeks-major-league-soccer-team-leaving-future-of-indy-eleven-development-uncertain</v>
      </c>
    </row>
    <row r="821" spans="1:15" ht="52.8" x14ac:dyDescent="0.3">
      <c r="A821" s="2" t="s">
        <v>608</v>
      </c>
      <c r="B821" s="2" t="s">
        <v>2892</v>
      </c>
      <c r="C821" s="2" t="s">
        <v>2893</v>
      </c>
      <c r="D821" s="2" t="s">
        <v>2894</v>
      </c>
      <c r="E821" s="2" t="str">
        <f>HYPERLINK("http://twitter.com/JillASheridan")</f>
        <v>http://twitter.com/JillASheridan</v>
      </c>
      <c r="F821" s="2" t="str">
        <f>HYPERLINK("https://muckrack.com/jill-sheridan")</f>
        <v>https://muckrack.com/jill-sheridan</v>
      </c>
      <c r="G821" s="2">
        <v>1289</v>
      </c>
      <c r="H821" s="2" t="s">
        <v>2132</v>
      </c>
      <c r="I821" s="2" t="s">
        <v>2895</v>
      </c>
      <c r="J821" s="2" t="s">
        <v>2008</v>
      </c>
      <c r="K821" s="2" t="s">
        <v>609</v>
      </c>
      <c r="L821" s="2" t="s">
        <v>3836</v>
      </c>
      <c r="M821" s="5">
        <v>45408.599305555559</v>
      </c>
      <c r="N821" s="2" t="str">
        <f>HYPERLINK("http://twitter.com/JillASheridan/status/1783924759170060600")</f>
        <v>http://twitter.com/JillASheridan/status/1783924759170060600</v>
      </c>
      <c r="O821" s="2" t="str">
        <f>HYPERLINK("https://www.wfyi.org/news/articles/indianapolis-seeks-major-league-soccer-team-leaving-future-of-indy-eleven-development-uncertain")</f>
        <v>https://www.wfyi.org/news/articles/indianapolis-seeks-major-league-soccer-team-leaving-future-of-indy-eleven-development-uncertain</v>
      </c>
    </row>
    <row r="822" spans="1:15" ht="52.8" x14ac:dyDescent="0.3">
      <c r="A822" s="2" t="s">
        <v>1564</v>
      </c>
      <c r="B822" s="2" t="s">
        <v>2770</v>
      </c>
      <c r="C822" s="2" t="s">
        <v>3360</v>
      </c>
      <c r="D822" s="2" t="s">
        <v>3361</v>
      </c>
      <c r="E822" s="2" t="str">
        <f>HYPERLINK("http://twitter.com/FelipeCar")</f>
        <v>http://twitter.com/FelipeCar</v>
      </c>
      <c r="F822" s="2" t="str">
        <f>HYPERLINK("https://muckrack.com/felipe-cardenas")</f>
        <v>https://muckrack.com/felipe-cardenas</v>
      </c>
      <c r="G822" s="2">
        <v>19598</v>
      </c>
      <c r="H822" s="2" t="s">
        <v>2728</v>
      </c>
      <c r="I822" s="2" t="s">
        <v>3362</v>
      </c>
      <c r="J822" s="2" t="s">
        <v>2759</v>
      </c>
      <c r="K822" s="2" t="s">
        <v>1565</v>
      </c>
      <c r="L822" s="2" t="s">
        <v>3837</v>
      </c>
      <c r="M822" s="5">
        <v>45407.834502314807</v>
      </c>
      <c r="N822" s="2" t="str">
        <f>HYPERLINK("http://twitter.com/FelipeCar/status/1783647603567046988")</f>
        <v>http://twitter.com/FelipeCar/status/1783647603567046988</v>
      </c>
      <c r="O822" s="2" t="str">
        <f t="shared" ref="O822:O828" si="31">HYPERLINK("https://theathletic.com/5446674/2024/04/25/indianapolis-mls-expansion/")</f>
        <v>https://theathletic.com/5446674/2024/04/25/indianapolis-mls-expansion/</v>
      </c>
    </row>
    <row r="823" spans="1:15" ht="52.8" x14ac:dyDescent="0.3">
      <c r="A823" s="2" t="s">
        <v>1564</v>
      </c>
      <c r="B823" s="2" t="s">
        <v>2770</v>
      </c>
      <c r="C823" s="2" t="s">
        <v>3360</v>
      </c>
      <c r="D823" s="2" t="s">
        <v>3361</v>
      </c>
      <c r="E823" s="2" t="str">
        <f>HYPERLINK("http://twitter.com/FelipeCar")</f>
        <v>http://twitter.com/FelipeCar</v>
      </c>
      <c r="F823" s="2" t="str">
        <f>HYPERLINK("https://muckrack.com/felipe-cardenas")</f>
        <v>https://muckrack.com/felipe-cardenas</v>
      </c>
      <c r="G823" s="2">
        <v>19598</v>
      </c>
      <c r="H823" s="2" t="s">
        <v>2728</v>
      </c>
      <c r="I823" s="2" t="s">
        <v>3362</v>
      </c>
      <c r="J823" s="2" t="s">
        <v>2759</v>
      </c>
      <c r="K823" s="2" t="s">
        <v>1565</v>
      </c>
      <c r="L823" s="2" t="s">
        <v>3838</v>
      </c>
      <c r="M823" s="5">
        <v>45408.335509259261</v>
      </c>
      <c r="N823" s="2" t="str">
        <f>HYPERLINK("http://twitter.com/FelipeCar/status/1783829159044919701")</f>
        <v>http://twitter.com/FelipeCar/status/1783829159044919701</v>
      </c>
      <c r="O823" s="2" t="str">
        <f t="shared" si="31"/>
        <v>https://theathletic.com/5446674/2024/04/25/indianapolis-mls-expansion/</v>
      </c>
    </row>
    <row r="824" spans="1:15" ht="39.6" x14ac:dyDescent="0.3">
      <c r="A824" s="2" t="s">
        <v>272</v>
      </c>
      <c r="B824" s="2" t="s">
        <v>2068</v>
      </c>
      <c r="C824" s="2"/>
      <c r="D824" s="2" t="s">
        <v>2069</v>
      </c>
      <c r="E824" s="2" t="str">
        <f>HYPERLINK("http://twitter.com/jeffrueter")</f>
        <v>http://twitter.com/jeffrueter</v>
      </c>
      <c r="F824" s="2" t="str">
        <f>HYPERLINK("https://muckrack.com/jeffrueter")</f>
        <v>https://muckrack.com/jeffrueter</v>
      </c>
      <c r="G824" s="2">
        <v>16090</v>
      </c>
      <c r="H824" s="2" t="s">
        <v>2070</v>
      </c>
      <c r="I824" s="2" t="s">
        <v>2071</v>
      </c>
      <c r="J824" s="2" t="s">
        <v>2033</v>
      </c>
      <c r="K824" s="2" t="s">
        <v>1565</v>
      </c>
      <c r="L824" s="2" t="s">
        <v>3838</v>
      </c>
      <c r="M824" s="5">
        <v>45407.873796296299</v>
      </c>
      <c r="N824" s="2" t="str">
        <f>HYPERLINK("http://twitter.com/jeffrueter/status/1783661840511164448")</f>
        <v>http://twitter.com/jeffrueter/status/1783661840511164448</v>
      </c>
      <c r="O824" s="2" t="str">
        <f t="shared" si="31"/>
        <v>https://theathletic.com/5446674/2024/04/25/indianapolis-mls-expansion/</v>
      </c>
    </row>
    <row r="825" spans="1:15" ht="52.8" x14ac:dyDescent="0.3">
      <c r="A825" s="2" t="s">
        <v>3839</v>
      </c>
      <c r="B825" s="2" t="s">
        <v>3121</v>
      </c>
      <c r="C825" s="2" t="s">
        <v>3840</v>
      </c>
      <c r="D825" s="2" t="s">
        <v>3841</v>
      </c>
      <c r="E825" s="2" t="str">
        <f>HYPERLINK("http://twitter.com/EdwinDelgado13")</f>
        <v>http://twitter.com/EdwinDelgado13</v>
      </c>
      <c r="F825" s="2" t="str">
        <f>HYPERLINK("https://muckrack.com/edwin-delgado")</f>
        <v>https://muckrack.com/edwin-delgado</v>
      </c>
      <c r="G825" s="2">
        <v>710</v>
      </c>
      <c r="H825" s="2" t="s">
        <v>3842</v>
      </c>
      <c r="I825" s="2" t="s">
        <v>3843</v>
      </c>
      <c r="J825" s="2" t="s">
        <v>2361</v>
      </c>
      <c r="K825" s="2" t="s">
        <v>331</v>
      </c>
      <c r="L825" s="2" t="s">
        <v>3838</v>
      </c>
      <c r="M825" s="5">
        <v>45407.874085648153</v>
      </c>
      <c r="N825" s="2" t="str">
        <f>HYPERLINK("http://twitter.com/EdwinDelgado13/status/1783661945515593987")</f>
        <v>http://twitter.com/EdwinDelgado13/status/1783661945515593987</v>
      </c>
      <c r="O825" s="2" t="str">
        <f t="shared" si="31"/>
        <v>https://theathletic.com/5446674/2024/04/25/indianapolis-mls-expansion/</v>
      </c>
    </row>
    <row r="826" spans="1:15" ht="92.4" x14ac:dyDescent="0.3">
      <c r="A826" s="2" t="s">
        <v>288</v>
      </c>
      <c r="B826" s="2" t="s">
        <v>2061</v>
      </c>
      <c r="C826" s="2"/>
      <c r="D826" s="2" t="s">
        <v>2097</v>
      </c>
      <c r="E826" s="2" t="str">
        <f>HYPERLINK("http://twitter.com/tombogert")</f>
        <v>http://twitter.com/tombogert</v>
      </c>
      <c r="F826" s="2" t="str">
        <f>HYPERLINK("https://muckrack.com/tom-bogert")</f>
        <v>https://muckrack.com/tom-bogert</v>
      </c>
      <c r="G826" s="2">
        <v>95272</v>
      </c>
      <c r="H826" s="2"/>
      <c r="I826" s="2" t="s">
        <v>2098</v>
      </c>
      <c r="J826" s="2" t="s">
        <v>2033</v>
      </c>
      <c r="K826" s="2" t="s">
        <v>277</v>
      </c>
      <c r="L826" s="2" t="s">
        <v>3838</v>
      </c>
      <c r="M826" s="5">
        <v>45408.465682870366</v>
      </c>
      <c r="N826" s="2" t="str">
        <f>HYPERLINK("http://twitter.com/tombogert/status/1783876335590395938")</f>
        <v>http://twitter.com/tombogert/status/1783876335590395938</v>
      </c>
      <c r="O826" s="2" t="str">
        <f t="shared" si="31"/>
        <v>https://theathletic.com/5446674/2024/04/25/indianapolis-mls-expansion/</v>
      </c>
    </row>
    <row r="827" spans="1:15" ht="39.6" x14ac:dyDescent="0.3">
      <c r="A827" s="2" t="s">
        <v>456</v>
      </c>
      <c r="B827" s="2" t="s">
        <v>2208</v>
      </c>
      <c r="C827" s="2"/>
      <c r="D827" s="2" t="s">
        <v>2209</v>
      </c>
      <c r="E827" s="2" t="str">
        <f>HYPERLINK("http://twitter.com/JeremiahOshan")</f>
        <v>http://twitter.com/JeremiahOshan</v>
      </c>
      <c r="F827" s="2" t="str">
        <f>HYPERLINK("https://muckrack.com/jeremiah-oshan")</f>
        <v>https://muckrack.com/jeremiah-oshan</v>
      </c>
      <c r="G827" s="2">
        <v>14367</v>
      </c>
      <c r="H827" s="2" t="s">
        <v>2210</v>
      </c>
      <c r="I827" s="2" t="s">
        <v>2211</v>
      </c>
      <c r="J827" s="2" t="s">
        <v>1929</v>
      </c>
      <c r="K827" s="2" t="s">
        <v>2212</v>
      </c>
      <c r="L827" s="2" t="s">
        <v>3844</v>
      </c>
      <c r="M827" s="5">
        <v>45408.535034722219</v>
      </c>
      <c r="N827" s="2" t="str">
        <f>HYPERLINK("http://twitter.com/JeremiahOshan/status/1783901464475406347")</f>
        <v>http://twitter.com/JeremiahOshan/status/1783901464475406347</v>
      </c>
      <c r="O827" s="2" t="str">
        <f t="shared" si="31"/>
        <v>https://theathletic.com/5446674/2024/04/25/indianapolis-mls-expansion/</v>
      </c>
    </row>
    <row r="828" spans="1:15" ht="39.6" x14ac:dyDescent="0.3">
      <c r="A828" s="2" t="s">
        <v>2245</v>
      </c>
      <c r="B828" s="2" t="s">
        <v>2246</v>
      </c>
      <c r="C828" s="2" t="s">
        <v>2247</v>
      </c>
      <c r="D828" s="2" t="s">
        <v>2248</v>
      </c>
      <c r="E828" s="2" t="str">
        <f>HYPERLINK("http://twitter.com/thegoalkeeper")</f>
        <v>http://twitter.com/thegoalkeeper</v>
      </c>
      <c r="F828" s="2" t="str">
        <f>HYPERLINK("https://muckrack.com/jonathan-tannenwald")</f>
        <v>https://muckrack.com/jonathan-tannenwald</v>
      </c>
      <c r="G828" s="2">
        <v>29037</v>
      </c>
      <c r="H828" s="2" t="s">
        <v>2249</v>
      </c>
      <c r="I828" s="2" t="s">
        <v>2250</v>
      </c>
      <c r="J828" s="2" t="s">
        <v>2251</v>
      </c>
      <c r="K828" s="2" t="s">
        <v>2252</v>
      </c>
      <c r="L828" s="2" t="s">
        <v>3845</v>
      </c>
      <c r="M828" s="5">
        <v>45408.573611111111</v>
      </c>
      <c r="N828" s="2" t="str">
        <f>HYPERLINK("http://twitter.com/thegoalkeeper/status/1783915445805789380")</f>
        <v>http://twitter.com/thegoalkeeper/status/1783915445805789380</v>
      </c>
      <c r="O828" s="2" t="str">
        <f t="shared" si="31"/>
        <v>https://theathletic.com/5446674/2024/04/25/indianapolis-mls-expansion/</v>
      </c>
    </row>
    <row r="829" spans="1:15" ht="52.8" x14ac:dyDescent="0.3">
      <c r="A829" s="2" t="s">
        <v>3846</v>
      </c>
      <c r="B829" s="2" t="s">
        <v>3847</v>
      </c>
      <c r="C829" s="2" t="s">
        <v>3848</v>
      </c>
      <c r="D829" s="2" t="s">
        <v>3849</v>
      </c>
      <c r="E829" s="2" t="str">
        <f>HYPERLINK("http://twitter.com/cboehm")</f>
        <v>http://twitter.com/cboehm</v>
      </c>
      <c r="F829" s="2" t="str">
        <f>HYPERLINK("https://muckrack.com/charles-boehm")</f>
        <v>https://muckrack.com/charles-boehm</v>
      </c>
      <c r="G829" s="2">
        <v>19322</v>
      </c>
      <c r="H829" s="2" t="s">
        <v>3850</v>
      </c>
      <c r="I829" s="2" t="s">
        <v>3851</v>
      </c>
      <c r="J829" s="2" t="s">
        <v>2033</v>
      </c>
      <c r="K829" s="2" t="s">
        <v>3852</v>
      </c>
      <c r="L829" s="2" t="s">
        <v>3853</v>
      </c>
      <c r="M829" s="5">
        <v>45407.987199074072</v>
      </c>
      <c r="N829" s="2" t="str">
        <f>HYPERLINK("http://twitter.com/cboehm/status/1783702936536732129")</f>
        <v>http://twitter.com/cboehm/status/1783702936536732129</v>
      </c>
      <c r="O829" s="2" t="str">
        <f>HYPERLINK("https://www.usltactics.com/p/on-indy-eleven")</f>
        <v>https://www.usltactics.com/p/on-indy-eleven</v>
      </c>
    </row>
    <row r="830" spans="1:15" ht="52.8" x14ac:dyDescent="0.3">
      <c r="A830" s="2" t="s">
        <v>664</v>
      </c>
      <c r="B830" s="2" t="s">
        <v>2289</v>
      </c>
      <c r="C830" s="2" t="s">
        <v>2425</v>
      </c>
      <c r="D830" s="2" t="s">
        <v>2426</v>
      </c>
      <c r="E830" s="2" t="str">
        <f>HYPERLINK("http://twitter.com/Brian_Haenchen")</f>
        <v>http://twitter.com/Brian_Haenchen</v>
      </c>
      <c r="F830" s="2" t="str">
        <f>HYPERLINK("https://muckrack.com/brian_haenchen")</f>
        <v>https://muckrack.com/brian_haenchen</v>
      </c>
      <c r="G830" s="2">
        <v>10028</v>
      </c>
      <c r="H830" s="2" t="s">
        <v>1972</v>
      </c>
      <c r="I830" s="2" t="s">
        <v>2427</v>
      </c>
      <c r="J830" s="2" t="s">
        <v>2000</v>
      </c>
      <c r="K830" s="2" t="s">
        <v>321</v>
      </c>
      <c r="L830" s="2" t="s">
        <v>3854</v>
      </c>
      <c r="M830" s="5">
        <v>45407.774733796286</v>
      </c>
      <c r="N830" s="2" t="str">
        <f>HYPERLINK("http://twitter.com/Brian_Haenchen/status/1783625941006045470")</f>
        <v>http://twitter.com/Brian_Haenchen/status/1783625941006045470</v>
      </c>
      <c r="O830" s="2" t="str">
        <f t="shared" ref="O830:O839" si="32">HYPERLINK("https://www.indystar.com/story/sports/2024/04/25/indianapolis-wants-an-mls-team-heres-how-the-expansion-process-works/73459697007/")</f>
        <v>https://www.indystar.com/story/sports/2024/04/25/indianapolis-wants-an-mls-team-heres-how-the-expansion-process-works/73459697007/</v>
      </c>
    </row>
    <row r="831" spans="1:15" ht="52.8" x14ac:dyDescent="0.3">
      <c r="A831" s="2" t="s">
        <v>664</v>
      </c>
      <c r="B831" s="2" t="s">
        <v>2289</v>
      </c>
      <c r="C831" s="2" t="s">
        <v>2425</v>
      </c>
      <c r="D831" s="2" t="s">
        <v>2426</v>
      </c>
      <c r="E831" s="2" t="str">
        <f>HYPERLINK("http://twitter.com/Brian_Haenchen")</f>
        <v>http://twitter.com/Brian_Haenchen</v>
      </c>
      <c r="F831" s="2" t="str">
        <f>HYPERLINK("https://muckrack.com/brian_haenchen")</f>
        <v>https://muckrack.com/brian_haenchen</v>
      </c>
      <c r="G831" s="2">
        <v>10028</v>
      </c>
      <c r="H831" s="2" t="s">
        <v>1972</v>
      </c>
      <c r="I831" s="2" t="s">
        <v>2427</v>
      </c>
      <c r="J831" s="2" t="s">
        <v>2000</v>
      </c>
      <c r="K831" s="2" t="s">
        <v>321</v>
      </c>
      <c r="L831" s="2" t="s">
        <v>3855</v>
      </c>
      <c r="M831" s="5">
        <v>45407.814826388887</v>
      </c>
      <c r="N831" s="2" t="str">
        <f>HYPERLINK("http://twitter.com/Brian_Haenchen/status/1783640471195029543")</f>
        <v>http://twitter.com/Brian_Haenchen/status/1783640471195029543</v>
      </c>
      <c r="O831" s="2" t="str">
        <f t="shared" si="32"/>
        <v>https://www.indystar.com/story/sports/2024/04/25/indianapolis-wants-an-mls-team-heres-how-the-expansion-process-works/73459697007/</v>
      </c>
    </row>
    <row r="832" spans="1:15" ht="52.8" x14ac:dyDescent="0.3">
      <c r="A832" s="2" t="s">
        <v>664</v>
      </c>
      <c r="B832" s="2" t="s">
        <v>2289</v>
      </c>
      <c r="C832" s="2" t="s">
        <v>2425</v>
      </c>
      <c r="D832" s="2" t="s">
        <v>2426</v>
      </c>
      <c r="E832" s="2" t="str">
        <f>HYPERLINK("http://twitter.com/Brian_Haenchen")</f>
        <v>http://twitter.com/Brian_Haenchen</v>
      </c>
      <c r="F832" s="2" t="str">
        <f>HYPERLINK("https://muckrack.com/brian_haenchen")</f>
        <v>https://muckrack.com/brian_haenchen</v>
      </c>
      <c r="G832" s="2">
        <v>10028</v>
      </c>
      <c r="H832" s="2" t="s">
        <v>1972</v>
      </c>
      <c r="I832" s="2" t="s">
        <v>2427</v>
      </c>
      <c r="J832" s="2" t="s">
        <v>2000</v>
      </c>
      <c r="K832" s="2" t="s">
        <v>321</v>
      </c>
      <c r="L832" s="2" t="s">
        <v>3856</v>
      </c>
      <c r="M832" s="5">
        <v>45408.310995370368</v>
      </c>
      <c r="N832" s="2" t="str">
        <f>HYPERLINK("http://twitter.com/Brian_Haenchen/status/1783820277425598894")</f>
        <v>http://twitter.com/Brian_Haenchen/status/1783820277425598894</v>
      </c>
      <c r="O832" s="2" t="str">
        <f t="shared" si="32"/>
        <v>https://www.indystar.com/story/sports/2024/04/25/indianapolis-wants-an-mls-team-heres-how-the-expansion-process-works/73459697007/</v>
      </c>
    </row>
    <row r="833" spans="1:15" ht="132" x14ac:dyDescent="0.3">
      <c r="A833" s="2" t="s">
        <v>664</v>
      </c>
      <c r="B833" s="2" t="s">
        <v>2289</v>
      </c>
      <c r="C833" s="2" t="s">
        <v>2425</v>
      </c>
      <c r="D833" s="2" t="s">
        <v>2426</v>
      </c>
      <c r="E833" s="2" t="str">
        <f>HYPERLINK("http://twitter.com/Brian_Haenchen")</f>
        <v>http://twitter.com/Brian_Haenchen</v>
      </c>
      <c r="F833" s="2" t="str">
        <f>HYPERLINK("https://muckrack.com/brian_haenchen")</f>
        <v>https://muckrack.com/brian_haenchen</v>
      </c>
      <c r="G833" s="2">
        <v>10028</v>
      </c>
      <c r="H833" s="2" t="s">
        <v>1972</v>
      </c>
      <c r="I833" s="2" t="s">
        <v>2427</v>
      </c>
      <c r="J833" s="2" t="s">
        <v>2000</v>
      </c>
      <c r="K833" s="2" t="s">
        <v>321</v>
      </c>
      <c r="L833" s="2" t="s">
        <v>3857</v>
      </c>
      <c r="M833" s="5">
        <v>45494.887962962966</v>
      </c>
      <c r="N833" s="2" t="str">
        <f>HYPERLINK("http://twitter.com/Brian_Haenchen/status/1815194721540604359")</f>
        <v>http://twitter.com/Brian_Haenchen/status/1815194721540604359</v>
      </c>
      <c r="O833" s="2" t="str">
        <f t="shared" si="32"/>
        <v>https://www.indystar.com/story/sports/2024/04/25/indianapolis-wants-an-mls-team-heres-how-the-expansion-process-works/73459697007/</v>
      </c>
    </row>
    <row r="834" spans="1:15" ht="52.8" x14ac:dyDescent="0.3">
      <c r="A834" s="2" t="s">
        <v>3152</v>
      </c>
      <c r="B834" s="2" t="s">
        <v>3153</v>
      </c>
      <c r="C834" s="2" t="s">
        <v>3154</v>
      </c>
      <c r="D834" s="2" t="s">
        <v>3155</v>
      </c>
      <c r="E834" s="2" t="str">
        <f>HYPERLINK("http://twitter.com/ZachOsterman")</f>
        <v>http://twitter.com/ZachOsterman</v>
      </c>
      <c r="F834" s="2" t="str">
        <f>HYPERLINK("https://muckrack.com/zach-osterman")</f>
        <v>https://muckrack.com/zach-osterman</v>
      </c>
      <c r="G834" s="2">
        <v>39409</v>
      </c>
      <c r="H834" s="2" t="s">
        <v>3156</v>
      </c>
      <c r="I834" s="2" t="s">
        <v>3157</v>
      </c>
      <c r="J834" s="2" t="s">
        <v>2000</v>
      </c>
      <c r="K834" s="2" t="s">
        <v>321</v>
      </c>
      <c r="L834" s="2" t="s">
        <v>3856</v>
      </c>
      <c r="M834" s="5">
        <v>45407.815451388888</v>
      </c>
      <c r="N834" s="2" t="str">
        <f>HYPERLINK("http://twitter.com/ZachOsterman/status/1783640698601816236")</f>
        <v>http://twitter.com/ZachOsterman/status/1783640698601816236</v>
      </c>
      <c r="O834" s="2" t="str">
        <f t="shared" si="32"/>
        <v>https://www.indystar.com/story/sports/2024/04/25/indianapolis-wants-an-mls-team-heres-how-the-expansion-process-works/73459697007/</v>
      </c>
    </row>
    <row r="835" spans="1:15" ht="52.8" x14ac:dyDescent="0.3">
      <c r="A835" s="2" t="s">
        <v>2436</v>
      </c>
      <c r="B835" s="2" t="s">
        <v>2437</v>
      </c>
      <c r="C835" s="2" t="s">
        <v>2438</v>
      </c>
      <c r="D835" s="2" t="s">
        <v>2439</v>
      </c>
      <c r="E835" s="2" t="str">
        <f>HYPERLINK("http://twitter.com/MattGlenesk")</f>
        <v>http://twitter.com/MattGlenesk</v>
      </c>
      <c r="F835" s="2" t="str">
        <f>HYPERLINK("https://muckrack.com/matthew-glenesk")</f>
        <v>https://muckrack.com/matthew-glenesk</v>
      </c>
      <c r="G835" s="2">
        <v>8773</v>
      </c>
      <c r="H835" s="2" t="s">
        <v>2440</v>
      </c>
      <c r="I835" s="2" t="s">
        <v>2441</v>
      </c>
      <c r="J835" s="2" t="s">
        <v>2000</v>
      </c>
      <c r="K835" s="2" t="s">
        <v>321</v>
      </c>
      <c r="L835" s="2" t="s">
        <v>3856</v>
      </c>
      <c r="M835" s="5">
        <v>45407.819074074083</v>
      </c>
      <c r="N835" s="2" t="str">
        <f>HYPERLINK("http://twitter.com/MattGlenesk/status/1783642009795760354")</f>
        <v>http://twitter.com/MattGlenesk/status/1783642009795760354</v>
      </c>
      <c r="O835" s="2" t="str">
        <f t="shared" si="32"/>
        <v>https://www.indystar.com/story/sports/2024/04/25/indianapolis-wants-an-mls-team-heres-how-the-expansion-process-works/73459697007/</v>
      </c>
    </row>
    <row r="836" spans="1:15" ht="52.8" x14ac:dyDescent="0.3">
      <c r="A836" s="2" t="s">
        <v>2550</v>
      </c>
      <c r="B836" s="2" t="s">
        <v>2544</v>
      </c>
      <c r="C836" s="2" t="s">
        <v>2551</v>
      </c>
      <c r="D836" s="2" t="s">
        <v>2552</v>
      </c>
      <c r="E836" s="2" t="str">
        <f>HYPERLINK("http://twitter.com/indystartony")</f>
        <v>http://twitter.com/indystartony</v>
      </c>
      <c r="F836" s="2" t="str">
        <f>HYPERLINK("https://muckrack.com/tony-cook")</f>
        <v>https://muckrack.com/tony-cook</v>
      </c>
      <c r="G836" s="2">
        <v>11239</v>
      </c>
      <c r="H836" s="2" t="s">
        <v>1972</v>
      </c>
      <c r="I836" s="2" t="s">
        <v>2553</v>
      </c>
      <c r="J836" s="2" t="s">
        <v>2554</v>
      </c>
      <c r="K836" s="2" t="s">
        <v>321</v>
      </c>
      <c r="L836" s="2" t="s">
        <v>3856</v>
      </c>
      <c r="M836" s="5">
        <v>45407.867604166669</v>
      </c>
      <c r="N836" s="2" t="str">
        <f>HYPERLINK("http://twitter.com/indystartony/status/1783659596441088073")</f>
        <v>http://twitter.com/indystartony/status/1783659596441088073</v>
      </c>
      <c r="O836" s="2" t="str">
        <f t="shared" si="32"/>
        <v>https://www.indystar.com/story/sports/2024/04/25/indianapolis-wants-an-mls-team-heres-how-the-expansion-process-works/73459697007/</v>
      </c>
    </row>
    <row r="837" spans="1:15" ht="52.8" x14ac:dyDescent="0.3">
      <c r="A837" s="2" t="s">
        <v>3858</v>
      </c>
      <c r="B837" s="2" t="s">
        <v>3859</v>
      </c>
      <c r="C837" s="2" t="s">
        <v>3860</v>
      </c>
      <c r="D837" s="2" t="s">
        <v>3861</v>
      </c>
      <c r="E837" s="2" t="str">
        <f>HYPERLINK("http://twitter.com/ChanningKing")</f>
        <v>http://twitter.com/ChanningKing</v>
      </c>
      <c r="F837" s="2" t="str">
        <f>HYPERLINK("https://muckrack.com/channing-king")</f>
        <v>https://muckrack.com/channing-king</v>
      </c>
      <c r="G837" s="2">
        <v>1339</v>
      </c>
      <c r="H837" s="2" t="s">
        <v>3862</v>
      </c>
      <c r="I837" s="2" t="s">
        <v>3863</v>
      </c>
      <c r="J837" s="2" t="s">
        <v>3864</v>
      </c>
      <c r="K837" s="2" t="s">
        <v>3865</v>
      </c>
      <c r="L837" s="2" t="s">
        <v>3856</v>
      </c>
      <c r="M837" s="5">
        <v>45407.871122685188</v>
      </c>
      <c r="N837" s="2" t="str">
        <f>HYPERLINK("http://twitter.com/ChanningKing/status/1783660871660495075")</f>
        <v>http://twitter.com/ChanningKing/status/1783660871660495075</v>
      </c>
      <c r="O837" s="2" t="str">
        <f t="shared" si="32"/>
        <v>https://www.indystar.com/story/sports/2024/04/25/indianapolis-wants-an-mls-team-heres-how-the-expansion-process-works/73459697007/</v>
      </c>
    </row>
    <row r="838" spans="1:15" ht="52.8" x14ac:dyDescent="0.3">
      <c r="A838" s="2" t="s">
        <v>3510</v>
      </c>
      <c r="B838" s="2" t="s">
        <v>3511</v>
      </c>
      <c r="C838" s="2" t="s">
        <v>3512</v>
      </c>
      <c r="D838" s="2" t="s">
        <v>3513</v>
      </c>
      <c r="E838" s="2" t="str">
        <f>HYPERLINK("http://twitter.com/NateAtkins_")</f>
        <v>http://twitter.com/NateAtkins_</v>
      </c>
      <c r="F838" s="2" t="str">
        <f>HYPERLINK("https://muckrack.com/nate-atkins")</f>
        <v>https://muckrack.com/nate-atkins</v>
      </c>
      <c r="G838" s="2">
        <v>12368</v>
      </c>
      <c r="H838" s="2" t="s">
        <v>1972</v>
      </c>
      <c r="I838" s="2" t="s">
        <v>3514</v>
      </c>
      <c r="J838" s="2" t="s">
        <v>2000</v>
      </c>
      <c r="K838" s="2" t="s">
        <v>3165</v>
      </c>
      <c r="L838" s="2" t="s">
        <v>3856</v>
      </c>
      <c r="M838" s="5">
        <v>45408.41238425926</v>
      </c>
      <c r="N838" s="2" t="str">
        <f>HYPERLINK("http://twitter.com/NateAtkins_/status/1783857021269229979")</f>
        <v>http://twitter.com/NateAtkins_/status/1783857021269229979</v>
      </c>
      <c r="O838" s="2" t="str">
        <f t="shared" si="32"/>
        <v>https://www.indystar.com/story/sports/2024/04/25/indianapolis-wants-an-mls-team-heres-how-the-expansion-process-works/73459697007/</v>
      </c>
    </row>
    <row r="839" spans="1:15" ht="52.8" x14ac:dyDescent="0.3">
      <c r="A839" s="2" t="s">
        <v>3211</v>
      </c>
      <c r="B839" s="2" t="s">
        <v>3212</v>
      </c>
      <c r="C839" s="2" t="s">
        <v>3213</v>
      </c>
      <c r="D839" s="2" t="s">
        <v>3214</v>
      </c>
      <c r="E839" s="2" t="str">
        <f>HYPERLINK("http://twitter.com/DustinDopirak")</f>
        <v>http://twitter.com/DustinDopirak</v>
      </c>
      <c r="F839" s="2" t="str">
        <f>HYPERLINK("https://muckrack.com/dustin-dopirak")</f>
        <v>https://muckrack.com/dustin-dopirak</v>
      </c>
      <c r="G839" s="2">
        <v>16969</v>
      </c>
      <c r="H839" s="2" t="s">
        <v>1972</v>
      </c>
      <c r="I839" s="2" t="s">
        <v>3215</v>
      </c>
      <c r="J839" s="2" t="s">
        <v>2000</v>
      </c>
      <c r="K839" s="2" t="s">
        <v>321</v>
      </c>
      <c r="L839" s="2" t="s">
        <v>3856</v>
      </c>
      <c r="M839" s="5">
        <v>45408.504467592589</v>
      </c>
      <c r="N839" s="2" t="str">
        <f>HYPERLINK("http://twitter.com/DustinDopirak/status/1783890388928860575")</f>
        <v>http://twitter.com/DustinDopirak/status/1783890388928860575</v>
      </c>
      <c r="O839" s="2" t="str">
        <f t="shared" si="32"/>
        <v>https://www.indystar.com/story/sports/2024/04/25/indianapolis-wants-an-mls-team-heres-how-the-expansion-process-works/73459697007/</v>
      </c>
    </row>
    <row r="840" spans="1:15" ht="52.8" x14ac:dyDescent="0.3">
      <c r="A840" s="2" t="s">
        <v>664</v>
      </c>
      <c r="B840" s="2" t="s">
        <v>2289</v>
      </c>
      <c r="C840" s="2" t="s">
        <v>2425</v>
      </c>
      <c r="D840" s="2" t="s">
        <v>2426</v>
      </c>
      <c r="E840" s="2" t="str">
        <f>HYPERLINK("http://twitter.com/Brian_Haenchen")</f>
        <v>http://twitter.com/Brian_Haenchen</v>
      </c>
      <c r="F840" s="2" t="str">
        <f>HYPERLINK("https://muckrack.com/brian_haenchen")</f>
        <v>https://muckrack.com/brian_haenchen</v>
      </c>
      <c r="G840" s="2">
        <v>10028</v>
      </c>
      <c r="H840" s="2" t="s">
        <v>1972</v>
      </c>
      <c r="I840" s="2" t="s">
        <v>2427</v>
      </c>
      <c r="J840" s="2" t="s">
        <v>2000</v>
      </c>
      <c r="K840" s="2" t="s">
        <v>321</v>
      </c>
      <c r="L840" s="2" t="s">
        <v>3866</v>
      </c>
      <c r="M840" s="5">
        <v>45407.737291666657</v>
      </c>
      <c r="N840" s="2" t="str">
        <f>HYPERLINK("http://twitter.com/Brian_Haenchen/status/1783612375096062072")</f>
        <v>http://twitter.com/Brian_Haenchen/status/1783612375096062072</v>
      </c>
      <c r="O840" s="2" t="str">
        <f t="shared" ref="O840:O864" si="33">HYPERLINK("https://www.indystar.com/story/news/local/2024/04/25/indianapolis-plans-to-bid-for-mls-expansion-team/73458916007/")</f>
        <v>https://www.indystar.com/story/news/local/2024/04/25/indianapolis-plans-to-bid-for-mls-expansion-team/73458916007/</v>
      </c>
    </row>
    <row r="841" spans="1:15" ht="52.8" x14ac:dyDescent="0.3">
      <c r="A841" s="2" t="s">
        <v>664</v>
      </c>
      <c r="B841" s="2" t="s">
        <v>2289</v>
      </c>
      <c r="C841" s="2" t="s">
        <v>2425</v>
      </c>
      <c r="D841" s="2" t="s">
        <v>2426</v>
      </c>
      <c r="E841" s="2" t="str">
        <f>HYPERLINK("http://twitter.com/Brian_Haenchen")</f>
        <v>http://twitter.com/Brian_Haenchen</v>
      </c>
      <c r="F841" s="2" t="str">
        <f>HYPERLINK("https://muckrack.com/brian_haenchen")</f>
        <v>https://muckrack.com/brian_haenchen</v>
      </c>
      <c r="G841" s="2">
        <v>10028</v>
      </c>
      <c r="H841" s="2" t="s">
        <v>1972</v>
      </c>
      <c r="I841" s="2" t="s">
        <v>2427</v>
      </c>
      <c r="J841" s="2" t="s">
        <v>2000</v>
      </c>
      <c r="K841" s="2" t="s">
        <v>321</v>
      </c>
      <c r="L841" s="2" t="s">
        <v>3867</v>
      </c>
      <c r="M841" s="5">
        <v>45407.817800925928</v>
      </c>
      <c r="N841" s="2" t="str">
        <f>HYPERLINK("http://twitter.com/Brian_Haenchen/status/1783641549013692584")</f>
        <v>http://twitter.com/Brian_Haenchen/status/1783641549013692584</v>
      </c>
      <c r="O841" s="2" t="str">
        <f t="shared" si="33"/>
        <v>https://www.indystar.com/story/news/local/2024/04/25/indianapolis-plans-to-bid-for-mls-expansion-team/73458916007/</v>
      </c>
    </row>
    <row r="842" spans="1:15" ht="52.8" x14ac:dyDescent="0.3">
      <c r="A842" s="2" t="s">
        <v>664</v>
      </c>
      <c r="B842" s="2" t="s">
        <v>2289</v>
      </c>
      <c r="C842" s="2" t="s">
        <v>2425</v>
      </c>
      <c r="D842" s="2" t="s">
        <v>2426</v>
      </c>
      <c r="E842" s="2" t="str">
        <f>HYPERLINK("http://twitter.com/Brian_Haenchen")</f>
        <v>http://twitter.com/Brian_Haenchen</v>
      </c>
      <c r="F842" s="2" t="str">
        <f>HYPERLINK("https://muckrack.com/brian_haenchen")</f>
        <v>https://muckrack.com/brian_haenchen</v>
      </c>
      <c r="G842" s="2">
        <v>10028</v>
      </c>
      <c r="H842" s="2" t="s">
        <v>1972</v>
      </c>
      <c r="I842" s="2" t="s">
        <v>2427</v>
      </c>
      <c r="J842" s="2" t="s">
        <v>2000</v>
      </c>
      <c r="K842" s="2" t="s">
        <v>321</v>
      </c>
      <c r="L842" s="2" t="s">
        <v>3868</v>
      </c>
      <c r="M842" s="5">
        <v>45407.872777777768</v>
      </c>
      <c r="N842" s="2" t="str">
        <f>HYPERLINK("http://twitter.com/Brian_Haenchen/status/1783661474231021715")</f>
        <v>http://twitter.com/Brian_Haenchen/status/1783661474231021715</v>
      </c>
      <c r="O842" s="2" t="str">
        <f t="shared" si="33"/>
        <v>https://www.indystar.com/story/news/local/2024/04/25/indianapolis-plans-to-bid-for-mls-expansion-team/73458916007/</v>
      </c>
    </row>
    <row r="843" spans="1:15" ht="52.8" x14ac:dyDescent="0.3">
      <c r="A843" s="2" t="s">
        <v>664</v>
      </c>
      <c r="B843" s="2" t="s">
        <v>2289</v>
      </c>
      <c r="C843" s="2" t="s">
        <v>2425</v>
      </c>
      <c r="D843" s="2" t="s">
        <v>2426</v>
      </c>
      <c r="E843" s="2" t="str">
        <f>HYPERLINK("http://twitter.com/Brian_Haenchen")</f>
        <v>http://twitter.com/Brian_Haenchen</v>
      </c>
      <c r="F843" s="2" t="str">
        <f>HYPERLINK("https://muckrack.com/brian_haenchen")</f>
        <v>https://muckrack.com/brian_haenchen</v>
      </c>
      <c r="G843" s="2">
        <v>10028</v>
      </c>
      <c r="H843" s="2" t="s">
        <v>1972</v>
      </c>
      <c r="I843" s="2" t="s">
        <v>2427</v>
      </c>
      <c r="J843" s="2" t="s">
        <v>2000</v>
      </c>
      <c r="K843" s="2" t="s">
        <v>321</v>
      </c>
      <c r="L843" s="2" t="s">
        <v>3801</v>
      </c>
      <c r="M843" s="5">
        <v>45411.397152777783</v>
      </c>
      <c r="N843" s="2" t="str">
        <f>HYPERLINK("http://twitter.com/Brian_Haenchen/status/1784938662112702877")</f>
        <v>http://twitter.com/Brian_Haenchen/status/1784938662112702877</v>
      </c>
      <c r="O843" s="2" t="str">
        <f t="shared" si="33"/>
        <v>https://www.indystar.com/story/news/local/2024/04/25/indianapolis-plans-to-bid-for-mls-expansion-team/73458916007/</v>
      </c>
    </row>
    <row r="844" spans="1:15" ht="52.8" x14ac:dyDescent="0.3">
      <c r="A844" s="2" t="s">
        <v>3211</v>
      </c>
      <c r="B844" s="2" t="s">
        <v>3212</v>
      </c>
      <c r="C844" s="2" t="s">
        <v>3213</v>
      </c>
      <c r="D844" s="2" t="s">
        <v>3214</v>
      </c>
      <c r="E844" s="2" t="str">
        <f>HYPERLINK("http://twitter.com/DustinDopirak")</f>
        <v>http://twitter.com/DustinDopirak</v>
      </c>
      <c r="F844" s="2" t="str">
        <f>HYPERLINK("https://muckrack.com/dustin-dopirak")</f>
        <v>https://muckrack.com/dustin-dopirak</v>
      </c>
      <c r="G844" s="2">
        <v>16969</v>
      </c>
      <c r="H844" s="2" t="s">
        <v>1972</v>
      </c>
      <c r="I844" s="2" t="s">
        <v>3215</v>
      </c>
      <c r="J844" s="2" t="s">
        <v>2000</v>
      </c>
      <c r="K844" s="2" t="s">
        <v>321</v>
      </c>
      <c r="L844" s="2" t="s">
        <v>3869</v>
      </c>
      <c r="M844" s="5">
        <v>45407.737361111111</v>
      </c>
      <c r="N844" s="2" t="str">
        <f>HYPERLINK("http://twitter.com/DustinDopirak/status/1783612398332457150")</f>
        <v>http://twitter.com/DustinDopirak/status/1783612398332457150</v>
      </c>
      <c r="O844" s="2" t="str">
        <f t="shared" si="33"/>
        <v>https://www.indystar.com/story/news/local/2024/04/25/indianapolis-plans-to-bid-for-mls-expansion-team/73458916007/</v>
      </c>
    </row>
    <row r="845" spans="1:15" ht="52.8" x14ac:dyDescent="0.3">
      <c r="A845" s="2" t="s">
        <v>3211</v>
      </c>
      <c r="B845" s="2" t="s">
        <v>3212</v>
      </c>
      <c r="C845" s="2" t="s">
        <v>3213</v>
      </c>
      <c r="D845" s="2" t="s">
        <v>3214</v>
      </c>
      <c r="E845" s="2" t="str">
        <f>HYPERLINK("http://twitter.com/DustinDopirak")</f>
        <v>http://twitter.com/DustinDopirak</v>
      </c>
      <c r="F845" s="2" t="str">
        <f>HYPERLINK("https://muckrack.com/dustin-dopirak")</f>
        <v>https://muckrack.com/dustin-dopirak</v>
      </c>
      <c r="G845" s="2">
        <v>16969</v>
      </c>
      <c r="H845" s="2" t="s">
        <v>1972</v>
      </c>
      <c r="I845" s="2" t="s">
        <v>3215</v>
      </c>
      <c r="J845" s="2" t="s">
        <v>2000</v>
      </c>
      <c r="K845" s="2" t="s">
        <v>321</v>
      </c>
      <c r="L845" s="2" t="s">
        <v>3870</v>
      </c>
      <c r="M845" s="5">
        <v>45407.764930555553</v>
      </c>
      <c r="N845" s="2" t="str">
        <f>HYPERLINK("http://twitter.com/DustinDopirak/status/1783622391697956986")</f>
        <v>http://twitter.com/DustinDopirak/status/1783622391697956986</v>
      </c>
      <c r="O845" s="2" t="str">
        <f t="shared" si="33"/>
        <v>https://www.indystar.com/story/news/local/2024/04/25/indianapolis-plans-to-bid-for-mls-expansion-team/73458916007/</v>
      </c>
    </row>
    <row r="846" spans="1:15" ht="52.8" x14ac:dyDescent="0.3">
      <c r="A846" s="2" t="s">
        <v>3871</v>
      </c>
      <c r="B846" s="2" t="s">
        <v>3263</v>
      </c>
      <c r="C846" s="2"/>
      <c r="D846" s="2" t="s">
        <v>3872</v>
      </c>
      <c r="E846" s="2" t="str">
        <f>HYPERLINK("http://twitter.com/CSaylorWx")</f>
        <v>http://twitter.com/CSaylorWx</v>
      </c>
      <c r="F846" s="2" t="str">
        <f>HYPERLINK("https://muckrack.com/caleb-saylor")</f>
        <v>https://muckrack.com/caleb-saylor</v>
      </c>
      <c r="G846" s="2">
        <v>1264</v>
      </c>
      <c r="H846" s="2" t="s">
        <v>2154</v>
      </c>
      <c r="I846" s="2" t="s">
        <v>3873</v>
      </c>
      <c r="J846" s="2" t="s">
        <v>3874</v>
      </c>
      <c r="K846" s="2" t="s">
        <v>3875</v>
      </c>
      <c r="L846" s="2" t="s">
        <v>3876</v>
      </c>
      <c r="M846" s="5">
        <v>45407.741990740738</v>
      </c>
      <c r="N846" s="2" t="str">
        <f>HYPERLINK("http://twitter.com/CSaylorWx/status/1783614078398693866")</f>
        <v>http://twitter.com/CSaylorWx/status/1783614078398693866</v>
      </c>
      <c r="O846" s="2" t="str">
        <f t="shared" si="33"/>
        <v>https://www.indystar.com/story/news/local/2024/04/25/indianapolis-plans-to-bid-for-mls-expansion-team/73458916007/</v>
      </c>
    </row>
    <row r="847" spans="1:15" ht="52.8" x14ac:dyDescent="0.3">
      <c r="A847" s="2" t="s">
        <v>722</v>
      </c>
      <c r="B847" s="2" t="s">
        <v>2061</v>
      </c>
      <c r="C847" s="2" t="s">
        <v>3364</v>
      </c>
      <c r="D847" s="2" t="s">
        <v>3365</v>
      </c>
      <c r="E847" s="2" t="str">
        <f>HYPERLINK("http://twitter.com/AlexMSilverman")</f>
        <v>http://twitter.com/AlexMSilverman</v>
      </c>
      <c r="F847" s="2" t="str">
        <f>HYPERLINK("https://muckrack.com/alexmsilverman")</f>
        <v>https://muckrack.com/alexmsilverman</v>
      </c>
      <c r="G847" s="2">
        <v>3746</v>
      </c>
      <c r="H847" s="2" t="s">
        <v>3366</v>
      </c>
      <c r="I847" s="2" t="s">
        <v>3367</v>
      </c>
      <c r="J847" s="2" t="s">
        <v>2273</v>
      </c>
      <c r="K847" s="2" t="s">
        <v>723</v>
      </c>
      <c r="L847" s="2" t="s">
        <v>3869</v>
      </c>
      <c r="M847" s="5">
        <v>45407.750844907408</v>
      </c>
      <c r="N847" s="2" t="str">
        <f>HYPERLINK("http://twitter.com/AlexMSilverman/status/1783617286428819953")</f>
        <v>http://twitter.com/AlexMSilverman/status/1783617286428819953</v>
      </c>
      <c r="O847" s="2" t="str">
        <f t="shared" si="33"/>
        <v>https://www.indystar.com/story/news/local/2024/04/25/indianapolis-plans-to-bid-for-mls-expansion-team/73458916007/</v>
      </c>
    </row>
    <row r="848" spans="1:15" ht="52.8" x14ac:dyDescent="0.3">
      <c r="A848" s="2" t="s">
        <v>2436</v>
      </c>
      <c r="B848" s="2" t="s">
        <v>2437</v>
      </c>
      <c r="C848" s="2" t="s">
        <v>2438</v>
      </c>
      <c r="D848" s="2" t="s">
        <v>2439</v>
      </c>
      <c r="E848" s="2" t="str">
        <f>HYPERLINK("http://twitter.com/MattGlenesk")</f>
        <v>http://twitter.com/MattGlenesk</v>
      </c>
      <c r="F848" s="2" t="str">
        <f>HYPERLINK("https://muckrack.com/matthew-glenesk")</f>
        <v>https://muckrack.com/matthew-glenesk</v>
      </c>
      <c r="G848" s="2">
        <v>8773</v>
      </c>
      <c r="H848" s="2" t="s">
        <v>2440</v>
      </c>
      <c r="I848" s="2" t="s">
        <v>2441</v>
      </c>
      <c r="J848" s="2" t="s">
        <v>2000</v>
      </c>
      <c r="K848" s="2" t="s">
        <v>321</v>
      </c>
      <c r="L848" s="2" t="s">
        <v>3870</v>
      </c>
      <c r="M848" s="5">
        <v>45407.75341435185</v>
      </c>
      <c r="N848" s="2" t="str">
        <f>HYPERLINK("http://twitter.com/MattGlenesk/status/1783618214582169780")</f>
        <v>http://twitter.com/MattGlenesk/status/1783618214582169780</v>
      </c>
      <c r="O848" s="2" t="str">
        <f t="shared" si="33"/>
        <v>https://www.indystar.com/story/news/local/2024/04/25/indianapolis-plans-to-bid-for-mls-expansion-team/73458916007/</v>
      </c>
    </row>
    <row r="849" spans="1:15" ht="52.8" x14ac:dyDescent="0.3">
      <c r="A849" s="2" t="s">
        <v>3152</v>
      </c>
      <c r="B849" s="2" t="s">
        <v>3153</v>
      </c>
      <c r="C849" s="2" t="s">
        <v>3154</v>
      </c>
      <c r="D849" s="2" t="s">
        <v>3155</v>
      </c>
      <c r="E849" s="2" t="str">
        <f>HYPERLINK("http://twitter.com/ZachOsterman")</f>
        <v>http://twitter.com/ZachOsterman</v>
      </c>
      <c r="F849" s="2" t="str">
        <f>HYPERLINK("https://muckrack.com/zach-osterman")</f>
        <v>https://muckrack.com/zach-osterman</v>
      </c>
      <c r="G849" s="2">
        <v>39409</v>
      </c>
      <c r="H849" s="2" t="s">
        <v>3156</v>
      </c>
      <c r="I849" s="2" t="s">
        <v>3157</v>
      </c>
      <c r="J849" s="2" t="s">
        <v>2000</v>
      </c>
      <c r="K849" s="2" t="s">
        <v>321</v>
      </c>
      <c r="L849" s="2" t="s">
        <v>3870</v>
      </c>
      <c r="M849" s="5">
        <v>45407.764282407406</v>
      </c>
      <c r="N849" s="2" t="str">
        <f>HYPERLINK("http://twitter.com/ZachOsterman/status/1783622154283577583")</f>
        <v>http://twitter.com/ZachOsterman/status/1783622154283577583</v>
      </c>
      <c r="O849" s="2" t="str">
        <f t="shared" si="33"/>
        <v>https://www.indystar.com/story/news/local/2024/04/25/indianapolis-plans-to-bid-for-mls-expansion-team/73458916007/</v>
      </c>
    </row>
    <row r="850" spans="1:15" ht="52.8" x14ac:dyDescent="0.3">
      <c r="A850" s="2" t="s">
        <v>2390</v>
      </c>
      <c r="B850" s="2" t="s">
        <v>2036</v>
      </c>
      <c r="C850" s="2" t="s">
        <v>2391</v>
      </c>
      <c r="D850" s="2" t="s">
        <v>2392</v>
      </c>
      <c r="E850" s="2" t="str">
        <f>HYPERLINK("http://twitter.com/GreggDoyelStar")</f>
        <v>http://twitter.com/GreggDoyelStar</v>
      </c>
      <c r="F850" s="2" t="str">
        <f>HYPERLINK("https://muckrack.com/greggdoyelstar")</f>
        <v>https://muckrack.com/greggdoyelstar</v>
      </c>
      <c r="G850" s="2">
        <v>92219</v>
      </c>
      <c r="H850" s="2" t="s">
        <v>1972</v>
      </c>
      <c r="I850" s="2" t="s">
        <v>2393</v>
      </c>
      <c r="J850" s="2" t="s">
        <v>2000</v>
      </c>
      <c r="K850" s="2" t="s">
        <v>321</v>
      </c>
      <c r="L850" s="2" t="s">
        <v>3877</v>
      </c>
      <c r="M850" s="5">
        <v>45407.764907407407</v>
      </c>
      <c r="N850" s="2" t="str">
        <f>HYPERLINK("http://twitter.com/GreggDoyelStar/status/1783622380314563062")</f>
        <v>http://twitter.com/GreggDoyelStar/status/1783622380314563062</v>
      </c>
      <c r="O850" s="2" t="str">
        <f t="shared" si="33"/>
        <v>https://www.indystar.com/story/news/local/2024/04/25/indianapolis-plans-to-bid-for-mls-expansion-team/73458916007/</v>
      </c>
    </row>
    <row r="851" spans="1:15" ht="52.8" x14ac:dyDescent="0.3">
      <c r="A851" s="2" t="s">
        <v>2390</v>
      </c>
      <c r="B851" s="2" t="s">
        <v>2036</v>
      </c>
      <c r="C851" s="2" t="s">
        <v>2391</v>
      </c>
      <c r="D851" s="2" t="s">
        <v>2392</v>
      </c>
      <c r="E851" s="2" t="str">
        <f>HYPERLINK("http://twitter.com/GreggDoyelStar")</f>
        <v>http://twitter.com/GreggDoyelStar</v>
      </c>
      <c r="F851" s="2" t="str">
        <f>HYPERLINK("https://muckrack.com/greggdoyelstar")</f>
        <v>https://muckrack.com/greggdoyelstar</v>
      </c>
      <c r="G851" s="2">
        <v>92219</v>
      </c>
      <c r="H851" s="2" t="s">
        <v>1972</v>
      </c>
      <c r="I851" s="2" t="s">
        <v>2393</v>
      </c>
      <c r="J851" s="2" t="s">
        <v>2000</v>
      </c>
      <c r="K851" s="2" t="s">
        <v>321</v>
      </c>
      <c r="L851" s="2" t="s">
        <v>3870</v>
      </c>
      <c r="M851" s="5">
        <v>45407.805439814823</v>
      </c>
      <c r="N851" s="2" t="str">
        <f>HYPERLINK("http://twitter.com/GreggDoyelStar/status/1783637070537277925")</f>
        <v>http://twitter.com/GreggDoyelStar/status/1783637070537277925</v>
      </c>
      <c r="O851" s="2" t="str">
        <f t="shared" si="33"/>
        <v>https://www.indystar.com/story/news/local/2024/04/25/indianapolis-plans-to-bid-for-mls-expansion-team/73458916007/</v>
      </c>
    </row>
    <row r="852" spans="1:15" ht="52.8" x14ac:dyDescent="0.3">
      <c r="A852" s="2" t="s">
        <v>2390</v>
      </c>
      <c r="B852" s="2" t="s">
        <v>2036</v>
      </c>
      <c r="C852" s="2" t="s">
        <v>2391</v>
      </c>
      <c r="D852" s="2" t="s">
        <v>2392</v>
      </c>
      <c r="E852" s="2" t="str">
        <f>HYPERLINK("http://twitter.com/GreggDoyelStar")</f>
        <v>http://twitter.com/GreggDoyelStar</v>
      </c>
      <c r="F852" s="2" t="str">
        <f>HYPERLINK("https://muckrack.com/greggdoyelstar")</f>
        <v>https://muckrack.com/greggdoyelstar</v>
      </c>
      <c r="G852" s="2">
        <v>92219</v>
      </c>
      <c r="H852" s="2" t="s">
        <v>1972</v>
      </c>
      <c r="I852" s="2" t="s">
        <v>2393</v>
      </c>
      <c r="J852" s="2" t="s">
        <v>2000</v>
      </c>
      <c r="K852" s="2" t="s">
        <v>321</v>
      </c>
      <c r="L852" s="2" t="s">
        <v>3878</v>
      </c>
      <c r="M852" s="5">
        <v>45407.824525462973</v>
      </c>
      <c r="N852" s="2" t="str">
        <f>HYPERLINK("http://twitter.com/GreggDoyelStar/status/1783643984763486344")</f>
        <v>http://twitter.com/GreggDoyelStar/status/1783643984763486344</v>
      </c>
      <c r="O852" s="2" t="str">
        <f t="shared" si="33"/>
        <v>https://www.indystar.com/story/news/local/2024/04/25/indianapolis-plans-to-bid-for-mls-expansion-team/73458916007/</v>
      </c>
    </row>
    <row r="853" spans="1:15" ht="52.8" x14ac:dyDescent="0.3">
      <c r="A853" s="2" t="s">
        <v>3547</v>
      </c>
      <c r="B853" s="2" t="s">
        <v>2524</v>
      </c>
      <c r="C853" s="2" t="s">
        <v>3548</v>
      </c>
      <c r="D853" s="2" t="s">
        <v>3549</v>
      </c>
      <c r="E853" s="2" t="str">
        <f>HYPERLINK("http://twitter.com/ericlarsen_news")</f>
        <v>http://twitter.com/ericlarsen_news</v>
      </c>
      <c r="F853" s="2" t="str">
        <f>HYPERLINK("https://muckrack.com/eric-larsen")</f>
        <v>https://muckrack.com/eric-larsen</v>
      </c>
      <c r="G853" s="2">
        <v>1482</v>
      </c>
      <c r="H853" s="2" t="s">
        <v>2123</v>
      </c>
      <c r="I853" s="2" t="s">
        <v>3550</v>
      </c>
      <c r="J853" s="2" t="s">
        <v>1954</v>
      </c>
      <c r="K853" s="2" t="s">
        <v>321</v>
      </c>
      <c r="L853" s="2" t="s">
        <v>3879</v>
      </c>
      <c r="M853" s="5">
        <v>45407.772245370368</v>
      </c>
      <c r="N853" s="2" t="str">
        <f>HYPERLINK("http://twitter.com/ericlarsen_news/status/1783625040258330790")</f>
        <v>http://twitter.com/ericlarsen_news/status/1783625040258330790</v>
      </c>
      <c r="O853" s="2" t="str">
        <f t="shared" si="33"/>
        <v>https://www.indystar.com/story/news/local/2024/04/25/indianapolis-plans-to-bid-for-mls-expansion-team/73458916007/</v>
      </c>
    </row>
    <row r="854" spans="1:15" ht="52.8" x14ac:dyDescent="0.3">
      <c r="A854" s="2" t="s">
        <v>1023</v>
      </c>
      <c r="B854" s="2" t="s">
        <v>2544</v>
      </c>
      <c r="C854" s="2" t="s">
        <v>2545</v>
      </c>
      <c r="D854" s="2" t="s">
        <v>2546</v>
      </c>
      <c r="E854" s="2" t="str">
        <f>HYPERLINK("http://twitter.com/AllyBurris")</f>
        <v>http://twitter.com/AllyBurris</v>
      </c>
      <c r="F854" s="2" t="str">
        <f>HYPERLINK("https://muckrack.com/allyburris")</f>
        <v>https://muckrack.com/allyburris</v>
      </c>
      <c r="G854" s="2">
        <v>1524</v>
      </c>
      <c r="H854" s="2" t="s">
        <v>1972</v>
      </c>
      <c r="I854" s="2" t="s">
        <v>2547</v>
      </c>
      <c r="J854" s="2" t="s">
        <v>2141</v>
      </c>
      <c r="K854" s="2" t="s">
        <v>321</v>
      </c>
      <c r="L854" s="2" t="s">
        <v>3876</v>
      </c>
      <c r="M854" s="5">
        <v>45407.795659722222</v>
      </c>
      <c r="N854" s="2" t="str">
        <f>HYPERLINK("http://twitter.com/AllyBurris/status/1783633523741540395")</f>
        <v>http://twitter.com/AllyBurris/status/1783633523741540395</v>
      </c>
      <c r="O854" s="2" t="str">
        <f t="shared" si="33"/>
        <v>https://www.indystar.com/story/news/local/2024/04/25/indianapolis-plans-to-bid-for-mls-expansion-team/73458916007/</v>
      </c>
    </row>
    <row r="855" spans="1:15" ht="52.8" x14ac:dyDescent="0.3">
      <c r="A855" s="2" t="s">
        <v>1023</v>
      </c>
      <c r="B855" s="2" t="s">
        <v>2544</v>
      </c>
      <c r="C855" s="2" t="s">
        <v>2545</v>
      </c>
      <c r="D855" s="2" t="s">
        <v>2546</v>
      </c>
      <c r="E855" s="2" t="str">
        <f>HYPERLINK("http://twitter.com/AllyBurris")</f>
        <v>http://twitter.com/AllyBurris</v>
      </c>
      <c r="F855" s="2" t="str">
        <f>HYPERLINK("https://muckrack.com/allyburris")</f>
        <v>https://muckrack.com/allyburris</v>
      </c>
      <c r="G855" s="2">
        <v>1524</v>
      </c>
      <c r="H855" s="2" t="s">
        <v>1972</v>
      </c>
      <c r="I855" s="2" t="s">
        <v>2547</v>
      </c>
      <c r="J855" s="2" t="s">
        <v>2141</v>
      </c>
      <c r="K855" s="2" t="s">
        <v>321</v>
      </c>
      <c r="L855" s="2" t="s">
        <v>3880</v>
      </c>
      <c r="M855" s="5">
        <v>45407.815821759257</v>
      </c>
      <c r="N855" s="2" t="str">
        <f>HYPERLINK("http://twitter.com/AllyBurris/status/1783640831699623993")</f>
        <v>http://twitter.com/AllyBurris/status/1783640831699623993</v>
      </c>
      <c r="O855" s="2" t="str">
        <f t="shared" si="33"/>
        <v>https://www.indystar.com/story/news/local/2024/04/25/indianapolis-plans-to-bid-for-mls-expansion-team/73458916007/</v>
      </c>
    </row>
    <row r="856" spans="1:15" ht="52.8" x14ac:dyDescent="0.3">
      <c r="A856" s="2" t="s">
        <v>2128</v>
      </c>
      <c r="B856" s="2" t="s">
        <v>2129</v>
      </c>
      <c r="C856" s="2" t="s">
        <v>2130</v>
      </c>
      <c r="D856" s="2" t="s">
        <v>2131</v>
      </c>
      <c r="E856" s="2" t="str">
        <f>HYPERLINK("http://twitter.com/srudavsky")</f>
        <v>http://twitter.com/srudavsky</v>
      </c>
      <c r="F856" s="2" t="str">
        <f>HYPERLINK("https://muckrack.com/srudavsky")</f>
        <v>https://muckrack.com/srudavsky</v>
      </c>
      <c r="G856" s="2">
        <v>6405</v>
      </c>
      <c r="H856" s="2" t="s">
        <v>2132</v>
      </c>
      <c r="I856" s="2" t="s">
        <v>2133</v>
      </c>
      <c r="J856" s="2" t="s">
        <v>2134</v>
      </c>
      <c r="K856" s="2" t="s">
        <v>321</v>
      </c>
      <c r="L856" s="2" t="s">
        <v>3881</v>
      </c>
      <c r="M856" s="5">
        <v>45407.810127314813</v>
      </c>
      <c r="N856" s="2" t="str">
        <f>HYPERLINK("http://twitter.com/srudavsky/status/1783638767103770815")</f>
        <v>http://twitter.com/srudavsky/status/1783638767103770815</v>
      </c>
      <c r="O856" s="2" t="str">
        <f t="shared" si="33"/>
        <v>https://www.indystar.com/story/news/local/2024/04/25/indianapolis-plans-to-bid-for-mls-expansion-team/73458916007/</v>
      </c>
    </row>
    <row r="857" spans="1:15" ht="52.8" x14ac:dyDescent="0.3">
      <c r="A857" s="2" t="s">
        <v>2128</v>
      </c>
      <c r="B857" s="2" t="s">
        <v>2129</v>
      </c>
      <c r="C857" s="2" t="s">
        <v>2130</v>
      </c>
      <c r="D857" s="2" t="s">
        <v>2131</v>
      </c>
      <c r="E857" s="2" t="str">
        <f>HYPERLINK("http://twitter.com/srudavsky")</f>
        <v>http://twitter.com/srudavsky</v>
      </c>
      <c r="F857" s="2" t="str">
        <f>HYPERLINK("https://muckrack.com/srudavsky")</f>
        <v>https://muckrack.com/srudavsky</v>
      </c>
      <c r="G857" s="2">
        <v>6405</v>
      </c>
      <c r="H857" s="2" t="s">
        <v>2132</v>
      </c>
      <c r="I857" s="2" t="s">
        <v>2133</v>
      </c>
      <c r="J857" s="2" t="s">
        <v>2134</v>
      </c>
      <c r="K857" s="2" t="s">
        <v>321</v>
      </c>
      <c r="L857" s="2" t="s">
        <v>3882</v>
      </c>
      <c r="M857" s="5">
        <v>45408.417245370372</v>
      </c>
      <c r="N857" s="2" t="str">
        <f>HYPERLINK("http://twitter.com/srudavsky/status/1783858779588620661")</f>
        <v>http://twitter.com/srudavsky/status/1783858779588620661</v>
      </c>
      <c r="O857" s="2" t="str">
        <f t="shared" si="33"/>
        <v>https://www.indystar.com/story/news/local/2024/04/25/indianapolis-plans-to-bid-for-mls-expansion-team/73458916007/</v>
      </c>
    </row>
    <row r="858" spans="1:15" ht="52.8" x14ac:dyDescent="0.3">
      <c r="A858" s="2" t="s">
        <v>3883</v>
      </c>
      <c r="B858" s="2" t="s">
        <v>3884</v>
      </c>
      <c r="C858" s="2" t="s">
        <v>3885</v>
      </c>
      <c r="D858" s="2" t="s">
        <v>3886</v>
      </c>
      <c r="E858" s="2" t="str">
        <f>HYPERLINK("http://twitter.com/RealDerekHarper")</f>
        <v>http://twitter.com/RealDerekHarper</v>
      </c>
      <c r="F858" s="2" t="str">
        <f>HYPERLINK("https://muckrack.com/derek-harper")</f>
        <v>https://muckrack.com/derek-harper</v>
      </c>
      <c r="G858" s="2">
        <v>1992</v>
      </c>
      <c r="H858" s="2" t="s">
        <v>3887</v>
      </c>
      <c r="I858" s="2" t="s">
        <v>3888</v>
      </c>
      <c r="J858" s="2" t="s">
        <v>2000</v>
      </c>
      <c r="K858" s="2" t="s">
        <v>3889</v>
      </c>
      <c r="L858" s="2" t="s">
        <v>3869</v>
      </c>
      <c r="M858" s="5">
        <v>45407.810925925929</v>
      </c>
      <c r="N858" s="2" t="str">
        <f>HYPERLINK("http://twitter.com/RealDerekHarper/status/1783639058184290456")</f>
        <v>http://twitter.com/RealDerekHarper/status/1783639058184290456</v>
      </c>
      <c r="O858" s="2" t="str">
        <f t="shared" si="33"/>
        <v>https://www.indystar.com/story/news/local/2024/04/25/indianapolis-plans-to-bid-for-mls-expansion-team/73458916007/</v>
      </c>
    </row>
    <row r="859" spans="1:15" ht="52.8" x14ac:dyDescent="0.3">
      <c r="A859" s="2" t="s">
        <v>3890</v>
      </c>
      <c r="B859" s="2" t="s">
        <v>3891</v>
      </c>
      <c r="C859" s="2" t="s">
        <v>3892</v>
      </c>
      <c r="D859" s="2" t="s">
        <v>3893</v>
      </c>
      <c r="E859" s="2" t="str">
        <f>HYPERLINK("http://twitter.com/tspearstv")</f>
        <v>http://twitter.com/tspearstv</v>
      </c>
      <c r="F859" s="2" t="str">
        <f>HYPERLINK("https://muckrack.com/tim-spears")</f>
        <v>https://muckrack.com/tim-spears</v>
      </c>
      <c r="G859" s="2">
        <v>2359</v>
      </c>
      <c r="H859" s="2" t="s">
        <v>1972</v>
      </c>
      <c r="I859" s="2" t="s">
        <v>3894</v>
      </c>
      <c r="J859" s="2" t="s">
        <v>1954</v>
      </c>
      <c r="K859" s="2" t="s">
        <v>38</v>
      </c>
      <c r="L859" s="2" t="s">
        <v>3870</v>
      </c>
      <c r="M859" s="5">
        <v>45407.811400462961</v>
      </c>
      <c r="N859" s="2" t="str">
        <f>HYPERLINK("http://twitter.com/tspearstv/status/1783639231211958664")</f>
        <v>http://twitter.com/tspearstv/status/1783639231211958664</v>
      </c>
      <c r="O859" s="2" t="str">
        <f t="shared" si="33"/>
        <v>https://www.indystar.com/story/news/local/2024/04/25/indianapolis-plans-to-bid-for-mls-expansion-team/73458916007/</v>
      </c>
    </row>
    <row r="860" spans="1:15" ht="52.8" x14ac:dyDescent="0.3">
      <c r="A860" s="2" t="s">
        <v>2569</v>
      </c>
      <c r="B860" s="2" t="s">
        <v>2570</v>
      </c>
      <c r="C860" s="2" t="s">
        <v>2571</v>
      </c>
      <c r="D860" s="2" t="s">
        <v>2572</v>
      </c>
      <c r="E860" s="2" t="str">
        <f>HYPERLINK("http://twitter.com/KyleNeddenriep")</f>
        <v>http://twitter.com/KyleNeddenriep</v>
      </c>
      <c r="F860" s="2" t="str">
        <f>HYPERLINK("https://muckrack.com/kyleneddenriep")</f>
        <v>https://muckrack.com/kyleneddenriep</v>
      </c>
      <c r="G860" s="2">
        <v>54926</v>
      </c>
      <c r="H860" s="2" t="s">
        <v>2132</v>
      </c>
      <c r="I860" s="2" t="s">
        <v>2573</v>
      </c>
      <c r="J860" s="2" t="s">
        <v>2000</v>
      </c>
      <c r="K860" s="2" t="s">
        <v>321</v>
      </c>
      <c r="L860" s="2" t="s">
        <v>3878</v>
      </c>
      <c r="M860" s="5">
        <v>45407.819606481477</v>
      </c>
      <c r="N860" s="2" t="str">
        <f>HYPERLINK("http://twitter.com/KyleNeddenriep/status/1783642203627139186")</f>
        <v>http://twitter.com/KyleNeddenriep/status/1783642203627139186</v>
      </c>
      <c r="O860" s="2" t="str">
        <f t="shared" si="33"/>
        <v>https://www.indystar.com/story/news/local/2024/04/25/indianapolis-plans-to-bid-for-mls-expansion-team/73458916007/</v>
      </c>
    </row>
    <row r="861" spans="1:15" ht="52.8" x14ac:dyDescent="0.3">
      <c r="A861" s="2" t="s">
        <v>2550</v>
      </c>
      <c r="B861" s="2" t="s">
        <v>2544</v>
      </c>
      <c r="C861" s="2" t="s">
        <v>2551</v>
      </c>
      <c r="D861" s="2" t="s">
        <v>2552</v>
      </c>
      <c r="E861" s="2" t="str">
        <f>HYPERLINK("http://twitter.com/indystartony")</f>
        <v>http://twitter.com/indystartony</v>
      </c>
      <c r="F861" s="2" t="str">
        <f>HYPERLINK("https://muckrack.com/tony-cook")</f>
        <v>https://muckrack.com/tony-cook</v>
      </c>
      <c r="G861" s="2">
        <v>11239</v>
      </c>
      <c r="H861" s="2" t="s">
        <v>1972</v>
      </c>
      <c r="I861" s="2" t="s">
        <v>2553</v>
      </c>
      <c r="J861" s="2" t="s">
        <v>2554</v>
      </c>
      <c r="K861" s="2" t="s">
        <v>321</v>
      </c>
      <c r="L861" s="2" t="s">
        <v>3869</v>
      </c>
      <c r="M861" s="5">
        <v>45407.821226851847</v>
      </c>
      <c r="N861" s="2" t="str">
        <f>HYPERLINK("http://twitter.com/indystartony/status/1783642789336486053")</f>
        <v>http://twitter.com/indystartony/status/1783642789336486053</v>
      </c>
      <c r="O861" s="2" t="str">
        <f t="shared" si="33"/>
        <v>https://www.indystar.com/story/news/local/2024/04/25/indianapolis-plans-to-bid-for-mls-expansion-team/73458916007/</v>
      </c>
    </row>
    <row r="862" spans="1:15" ht="52.8" x14ac:dyDescent="0.3">
      <c r="A862" s="2" t="s">
        <v>3895</v>
      </c>
      <c r="B862" s="2" t="s">
        <v>3338</v>
      </c>
      <c r="C862" s="2" t="s">
        <v>3896</v>
      </c>
      <c r="D862" s="2" t="s">
        <v>3897</v>
      </c>
      <c r="E862" s="2" t="str">
        <f>HYPERLINK("http://twitter.com/chloepeterson67")</f>
        <v>http://twitter.com/chloepeterson67</v>
      </c>
      <c r="F862" s="2" t="str">
        <f>HYPERLINK("https://muckrack.com/chloe-peterson")</f>
        <v>https://muckrack.com/chloe-peterson</v>
      </c>
      <c r="G862" s="2">
        <v>10403</v>
      </c>
      <c r="H862" s="2" t="s">
        <v>2132</v>
      </c>
      <c r="I862" s="2" t="s">
        <v>3898</v>
      </c>
      <c r="J862" s="2" t="s">
        <v>2000</v>
      </c>
      <c r="K862" s="2" t="s">
        <v>321</v>
      </c>
      <c r="L862" s="2" t="s">
        <v>3878</v>
      </c>
      <c r="M862" s="5">
        <v>45407.8359375</v>
      </c>
      <c r="N862" s="2" t="str">
        <f>HYPERLINK("http://twitter.com/chloepeterson67/status/1783648120078766095")</f>
        <v>http://twitter.com/chloepeterson67/status/1783648120078766095</v>
      </c>
      <c r="O862" s="2" t="str">
        <f t="shared" si="33"/>
        <v>https://www.indystar.com/story/news/local/2024/04/25/indianapolis-plans-to-bid-for-mls-expansion-team/73458916007/</v>
      </c>
    </row>
    <row r="863" spans="1:15" ht="52.8" x14ac:dyDescent="0.3">
      <c r="A863" s="2" t="s">
        <v>3899</v>
      </c>
      <c r="B863" s="2" t="s">
        <v>2172</v>
      </c>
      <c r="C863" s="2" t="s">
        <v>3900</v>
      </c>
      <c r="D863" s="2" t="s">
        <v>3901</v>
      </c>
      <c r="E863" s="2" t="str">
        <f>HYPERLINK("http://twitter.com/JimGordillo")</f>
        <v>http://twitter.com/JimGordillo</v>
      </c>
      <c r="F863" s="2" t="str">
        <f>HYPERLINK("https://muckrack.com/jim-gordillo")</f>
        <v>https://muckrack.com/jim-gordillo</v>
      </c>
      <c r="G863" s="2">
        <v>4647</v>
      </c>
      <c r="H863" s="2" t="s">
        <v>3902</v>
      </c>
      <c r="I863" s="2" t="s">
        <v>3903</v>
      </c>
      <c r="J863" s="2" t="s">
        <v>2000</v>
      </c>
      <c r="K863" s="2" t="s">
        <v>613</v>
      </c>
      <c r="L863" s="2" t="s">
        <v>3870</v>
      </c>
      <c r="M863" s="5">
        <v>45407.886481481481</v>
      </c>
      <c r="N863" s="2" t="str">
        <f>HYPERLINK("http://twitter.com/JimGordillo/status/1783666440442089577")</f>
        <v>http://twitter.com/JimGordillo/status/1783666440442089577</v>
      </c>
      <c r="O863" s="2" t="str">
        <f t="shared" si="33"/>
        <v>https://www.indystar.com/story/news/local/2024/04/25/indianapolis-plans-to-bid-for-mls-expansion-team/73458916007/</v>
      </c>
    </row>
    <row r="864" spans="1:15" ht="52.8" x14ac:dyDescent="0.3">
      <c r="A864" s="2" t="s">
        <v>3904</v>
      </c>
      <c r="B864" s="2" t="s">
        <v>3905</v>
      </c>
      <c r="C864" s="2" t="s">
        <v>3906</v>
      </c>
      <c r="D864" s="2" t="s">
        <v>3907</v>
      </c>
      <c r="E864" s="2" t="str">
        <f>HYPERLINK("http://twitter.com/PBrennanENQ")</f>
        <v>http://twitter.com/PBrennanENQ</v>
      </c>
      <c r="F864" s="2" t="str">
        <f>HYPERLINK("https://muckrack.com/pat-brennan-3")</f>
        <v>https://muckrack.com/pat-brennan-3</v>
      </c>
      <c r="G864" s="2">
        <v>13043</v>
      </c>
      <c r="H864" s="2"/>
      <c r="I864" s="2" t="s">
        <v>3908</v>
      </c>
      <c r="J864" s="2" t="s">
        <v>2033</v>
      </c>
      <c r="K864" s="2" t="s">
        <v>3909</v>
      </c>
      <c r="L864" s="2" t="s">
        <v>3869</v>
      </c>
      <c r="M864" s="5">
        <v>45407.928703703707</v>
      </c>
      <c r="N864" s="2" t="str">
        <f>HYPERLINK("http://twitter.com/PBrennanENQ/status/1783681738650083638")</f>
        <v>http://twitter.com/PBrennanENQ/status/1783681738650083638</v>
      </c>
      <c r="O864" s="2" t="str">
        <f t="shared" si="33"/>
        <v>https://www.indystar.com/story/news/local/2024/04/25/indianapolis-plans-to-bid-for-mls-expansion-team/73458916007/</v>
      </c>
    </row>
    <row r="865" spans="1:15" ht="52.8" x14ac:dyDescent="0.3">
      <c r="A865" s="2" t="s">
        <v>1981</v>
      </c>
      <c r="B865" s="2" t="s">
        <v>1982</v>
      </c>
      <c r="C865" s="2" t="s">
        <v>1983</v>
      </c>
      <c r="D865" s="2" t="s">
        <v>1984</v>
      </c>
      <c r="E865" s="2" t="str">
        <f>HYPERLINK("http://twitter.com/HelloImDarian")</f>
        <v>http://twitter.com/HelloImDarian</v>
      </c>
      <c r="F865" s="2" t="str">
        <f>HYPERLINK("https://muckrack.com/darian-benson-1")</f>
        <v>https://muckrack.com/darian-benson-1</v>
      </c>
      <c r="G865" s="2">
        <v>1367</v>
      </c>
      <c r="H865" s="2" t="s">
        <v>1972</v>
      </c>
      <c r="I865" s="2" t="s">
        <v>1985</v>
      </c>
      <c r="J865" s="2" t="s">
        <v>1954</v>
      </c>
      <c r="K865" s="2" t="s">
        <v>132</v>
      </c>
      <c r="L865" s="2" t="s">
        <v>3910</v>
      </c>
      <c r="M865" s="5">
        <v>45407.691365740742</v>
      </c>
      <c r="N865" s="2" t="str">
        <f>HYPERLINK("http://twitter.com/HelloImDarian/status/1783595729878937662")</f>
        <v>http://twitter.com/HelloImDarian/status/1783595729878937662</v>
      </c>
      <c r="O865" s="2" t="str">
        <f t="shared" ref="O865:O870" si="34">HYPERLINK("https://mirrorindy.org/indy-eleven-soccer-park-indianapolis-keystone-mayor-joe-hogsett-keystone/")</f>
        <v>https://mirrorindy.org/indy-eleven-soccer-park-indianapolis-keystone-mayor-joe-hogsett-keystone/</v>
      </c>
    </row>
    <row r="866" spans="1:15" ht="39.6" x14ac:dyDescent="0.3">
      <c r="A866" s="2" t="s">
        <v>107</v>
      </c>
      <c r="B866" s="2" t="s">
        <v>1969</v>
      </c>
      <c r="C866" s="2" t="s">
        <v>1970</v>
      </c>
      <c r="D866" s="2" t="s">
        <v>1971</v>
      </c>
      <c r="E866" s="2" t="str">
        <f>HYPERLINK("http://twitter.com/indyemapolis")</f>
        <v>http://twitter.com/indyemapolis</v>
      </c>
      <c r="F866" s="2" t="str">
        <f>HYPERLINK("https://muckrack.com/emily-hopkins-2")</f>
        <v>https://muckrack.com/emily-hopkins-2</v>
      </c>
      <c r="G866" s="2">
        <v>3414</v>
      </c>
      <c r="H866" s="2" t="s">
        <v>1972</v>
      </c>
      <c r="I866" s="2" t="s">
        <v>1973</v>
      </c>
      <c r="J866" s="2" t="s">
        <v>1954</v>
      </c>
      <c r="K866" s="2" t="s">
        <v>1974</v>
      </c>
      <c r="L866" s="2" t="s">
        <v>3910</v>
      </c>
      <c r="M866" s="5">
        <v>45407.70349537037</v>
      </c>
      <c r="N866" s="2" t="str">
        <f>HYPERLINK("http://twitter.com/indyemapolis/status/1783600125933142197")</f>
        <v>http://twitter.com/indyemapolis/status/1783600125933142197</v>
      </c>
      <c r="O866" s="2" t="str">
        <f t="shared" si="34"/>
        <v>https://mirrorindy.org/indy-eleven-soccer-park-indianapolis-keystone-mayor-joe-hogsett-keystone/</v>
      </c>
    </row>
    <row r="867" spans="1:15" ht="39.6" x14ac:dyDescent="0.3">
      <c r="A867" s="2" t="s">
        <v>107</v>
      </c>
      <c r="B867" s="2" t="s">
        <v>1969</v>
      </c>
      <c r="C867" s="2" t="s">
        <v>1970</v>
      </c>
      <c r="D867" s="2" t="s">
        <v>1971</v>
      </c>
      <c r="E867" s="2" t="str">
        <f>HYPERLINK("http://twitter.com/indyemapolis")</f>
        <v>http://twitter.com/indyemapolis</v>
      </c>
      <c r="F867" s="2" t="str">
        <f>HYPERLINK("https://muckrack.com/emily-hopkins-2")</f>
        <v>https://muckrack.com/emily-hopkins-2</v>
      </c>
      <c r="G867" s="2">
        <v>3414</v>
      </c>
      <c r="H867" s="2" t="s">
        <v>1972</v>
      </c>
      <c r="I867" s="2" t="s">
        <v>1973</v>
      </c>
      <c r="J867" s="2" t="s">
        <v>1954</v>
      </c>
      <c r="K867" s="2" t="s">
        <v>1974</v>
      </c>
      <c r="L867" s="2" t="s">
        <v>3911</v>
      </c>
      <c r="M867" s="5">
        <v>45407.840937499997</v>
      </c>
      <c r="N867" s="2" t="str">
        <f>HYPERLINK("http://twitter.com/indyemapolis/status/1783649934400446706")</f>
        <v>http://twitter.com/indyemapolis/status/1783649934400446706</v>
      </c>
      <c r="O867" s="2" t="str">
        <f t="shared" si="34"/>
        <v>https://mirrorindy.org/indy-eleven-soccer-park-indianapolis-keystone-mayor-joe-hogsett-keystone/</v>
      </c>
    </row>
    <row r="868" spans="1:15" ht="39.6" x14ac:dyDescent="0.3">
      <c r="A868" s="2" t="s">
        <v>107</v>
      </c>
      <c r="B868" s="2" t="s">
        <v>1969</v>
      </c>
      <c r="C868" s="2" t="s">
        <v>1970</v>
      </c>
      <c r="D868" s="2" t="s">
        <v>1971</v>
      </c>
      <c r="E868" s="2" t="str">
        <f>HYPERLINK("http://twitter.com/indyemapolis")</f>
        <v>http://twitter.com/indyemapolis</v>
      </c>
      <c r="F868" s="2" t="str">
        <f>HYPERLINK("https://muckrack.com/emily-hopkins-2")</f>
        <v>https://muckrack.com/emily-hopkins-2</v>
      </c>
      <c r="G868" s="2">
        <v>3414</v>
      </c>
      <c r="H868" s="2" t="s">
        <v>1972</v>
      </c>
      <c r="I868" s="2" t="s">
        <v>1973</v>
      </c>
      <c r="J868" s="2" t="s">
        <v>1954</v>
      </c>
      <c r="K868" s="2" t="s">
        <v>1974</v>
      </c>
      <c r="L868" s="2" t="s">
        <v>3912</v>
      </c>
      <c r="M868" s="5">
        <v>45407.860567129632</v>
      </c>
      <c r="N868" s="2" t="str">
        <f>HYPERLINK("http://twitter.com/indyemapolis/status/1783657045511598435")</f>
        <v>http://twitter.com/indyemapolis/status/1783657045511598435</v>
      </c>
      <c r="O868" s="2" t="str">
        <f t="shared" si="34"/>
        <v>https://mirrorindy.org/indy-eleven-soccer-park-indianapolis-keystone-mayor-joe-hogsett-keystone/</v>
      </c>
    </row>
    <row r="869" spans="1:15" ht="52.8" x14ac:dyDescent="0.3">
      <c r="A869" s="2" t="s">
        <v>966</v>
      </c>
      <c r="B869" s="2" t="s">
        <v>2311</v>
      </c>
      <c r="C869" s="2" t="s">
        <v>2908</v>
      </c>
      <c r="D869" s="2" t="s">
        <v>2909</v>
      </c>
      <c r="E869" s="2" t="str">
        <f>HYPERLINK("http://twitter.com/Ty_Fenwick")</f>
        <v>http://twitter.com/Ty_Fenwick</v>
      </c>
      <c r="F869" s="2" t="str">
        <f>HYPERLINK("https://muckrack.com/tyler-fenwick-1")</f>
        <v>https://muckrack.com/tyler-fenwick-1</v>
      </c>
      <c r="G869" s="2">
        <v>1519</v>
      </c>
      <c r="H869" s="2" t="s">
        <v>1972</v>
      </c>
      <c r="I869" s="2" t="s">
        <v>2910</v>
      </c>
      <c r="J869" s="2" t="s">
        <v>2911</v>
      </c>
      <c r="K869" s="2" t="s">
        <v>1974</v>
      </c>
      <c r="L869" s="2" t="s">
        <v>3913</v>
      </c>
      <c r="M869" s="5">
        <v>45407.77685185185</v>
      </c>
      <c r="N869" s="2" t="str">
        <f>HYPERLINK("http://twitter.com/Ty_Fenwick/status/1783626710275011065")</f>
        <v>http://twitter.com/Ty_Fenwick/status/1783626710275011065</v>
      </c>
      <c r="O869" s="2" t="str">
        <f t="shared" si="34"/>
        <v>https://mirrorindy.org/indy-eleven-soccer-park-indianapolis-keystone-mayor-joe-hogsett-keystone/</v>
      </c>
    </row>
    <row r="870" spans="1:15" ht="39.6" x14ac:dyDescent="0.3">
      <c r="A870" s="2" t="s">
        <v>3306</v>
      </c>
      <c r="B870" s="2" t="s">
        <v>2467</v>
      </c>
      <c r="C870" s="2" t="s">
        <v>3307</v>
      </c>
      <c r="D870" s="2" t="s">
        <v>3308</v>
      </c>
      <c r="E870" s="2" t="str">
        <f>HYPERLINK("http://twitter.com/ChrisSikich")</f>
        <v>http://twitter.com/ChrisSikich</v>
      </c>
      <c r="F870" s="2" t="str">
        <f>HYPERLINK("https://muckrack.com/chrissikich")</f>
        <v>https://muckrack.com/chrissikich</v>
      </c>
      <c r="G870" s="2">
        <v>7531</v>
      </c>
      <c r="H870" s="2" t="s">
        <v>2132</v>
      </c>
      <c r="I870" s="2" t="s">
        <v>3309</v>
      </c>
      <c r="J870" s="2" t="s">
        <v>2008</v>
      </c>
      <c r="K870" s="2" t="s">
        <v>1974</v>
      </c>
      <c r="L870" s="2" t="s">
        <v>3914</v>
      </c>
      <c r="M870" s="5">
        <v>45407.840729166674</v>
      </c>
      <c r="N870" s="2" t="str">
        <f>HYPERLINK("http://twitter.com/ChrisSikich/status/1783649859183997307")</f>
        <v>http://twitter.com/ChrisSikich/status/1783649859183997307</v>
      </c>
      <c r="O870" s="2" t="str">
        <f t="shared" si="34"/>
        <v>https://mirrorindy.org/indy-eleven-soccer-park-indianapolis-keystone-mayor-joe-hogsett-keystone/</v>
      </c>
    </row>
    <row r="871" spans="1:15" ht="66" x14ac:dyDescent="0.3">
      <c r="A871" s="2" t="s">
        <v>1521</v>
      </c>
      <c r="B871" s="2" t="s">
        <v>2311</v>
      </c>
      <c r="C871" s="2" t="s">
        <v>3915</v>
      </c>
      <c r="D871" s="2" t="s">
        <v>3916</v>
      </c>
      <c r="E871" s="2" t="str">
        <f>HYPERLINK("http://twitter.com/ReporterEric")</f>
        <v>http://twitter.com/ReporterEric</v>
      </c>
      <c r="F871" s="2" t="str">
        <f>HYPERLINK("https://muckrack.com/eric-graves")</f>
        <v>https://muckrack.com/eric-graves</v>
      </c>
      <c r="G871" s="2">
        <v>3804</v>
      </c>
      <c r="H871" s="2" t="s">
        <v>1972</v>
      </c>
      <c r="I871" s="2" t="s">
        <v>3917</v>
      </c>
      <c r="J871" s="2" t="s">
        <v>1954</v>
      </c>
      <c r="K871" s="2" t="s">
        <v>3918</v>
      </c>
      <c r="L871" s="2" t="s">
        <v>3919</v>
      </c>
      <c r="M871" s="5">
        <v>45407.600439814807</v>
      </c>
      <c r="N871" s="2" t="str">
        <f>HYPERLINK("http://twitter.com/ReporterEric/status/1783562778776674327")</f>
        <v>http://twitter.com/ReporterEric/status/1783562778776674327</v>
      </c>
      <c r="O871" s="2" t="str">
        <f>HYPERLINK("https://fox59.com/indiana-news/developer-claims-city-is-backing-out-of-indy-eleven-stadium-deal-as-mayor-joe-hogsett-plans-major-sports-announcement/")</f>
        <v>https://fox59.com/indiana-news/developer-claims-city-is-backing-out-of-indy-eleven-stadium-deal-as-mayor-joe-hogsett-plans-major-sports-announcement/</v>
      </c>
    </row>
    <row r="872" spans="1:15" ht="52.8" x14ac:dyDescent="0.3">
      <c r="A872" s="2" t="s">
        <v>1023</v>
      </c>
      <c r="B872" s="2" t="s">
        <v>2544</v>
      </c>
      <c r="C872" s="2" t="s">
        <v>2545</v>
      </c>
      <c r="D872" s="2" t="s">
        <v>2546</v>
      </c>
      <c r="E872" s="2" t="str">
        <f>HYPERLINK("http://twitter.com/AllyBurris")</f>
        <v>http://twitter.com/AllyBurris</v>
      </c>
      <c r="F872" s="2" t="str">
        <f>HYPERLINK("https://muckrack.com/allyburris")</f>
        <v>https://muckrack.com/allyburris</v>
      </c>
      <c r="G872" s="2">
        <v>1524</v>
      </c>
      <c r="H872" s="2" t="s">
        <v>1972</v>
      </c>
      <c r="I872" s="2" t="s">
        <v>2547</v>
      </c>
      <c r="J872" s="2" t="s">
        <v>2141</v>
      </c>
      <c r="K872" s="2" t="s">
        <v>321</v>
      </c>
      <c r="L872" s="2" t="s">
        <v>3920</v>
      </c>
      <c r="M872" s="5">
        <v>45407.605300925927</v>
      </c>
      <c r="N872" s="2" t="str">
        <f>HYPERLINK("http://twitter.com/AllyBurris/status/1783564541671981347")</f>
        <v>http://twitter.com/AllyBurris/status/1783564541671981347</v>
      </c>
      <c r="O872" s="2" t="str">
        <f t="shared" ref="O872:O882" si="35">HYPERLINK("https://www.indystar.com/story/news/local/2024/04/25/keystone-hogsett-administration-trying-to-walk-away-from-eleven-park/73453991007/")</f>
        <v>https://www.indystar.com/story/news/local/2024/04/25/keystone-hogsett-administration-trying-to-walk-away-from-eleven-park/73453991007/</v>
      </c>
    </row>
    <row r="873" spans="1:15" ht="52.8" x14ac:dyDescent="0.3">
      <c r="A873" s="2" t="s">
        <v>664</v>
      </c>
      <c r="B873" s="2" t="s">
        <v>2289</v>
      </c>
      <c r="C873" s="2" t="s">
        <v>2425</v>
      </c>
      <c r="D873" s="2" t="s">
        <v>2426</v>
      </c>
      <c r="E873" s="2" t="str">
        <f>HYPERLINK("http://twitter.com/Brian_Haenchen")</f>
        <v>http://twitter.com/Brian_Haenchen</v>
      </c>
      <c r="F873" s="2" t="str">
        <f>HYPERLINK("https://muckrack.com/brian_haenchen")</f>
        <v>https://muckrack.com/brian_haenchen</v>
      </c>
      <c r="G873" s="2">
        <v>10028</v>
      </c>
      <c r="H873" s="2" t="s">
        <v>1972</v>
      </c>
      <c r="I873" s="2" t="s">
        <v>2427</v>
      </c>
      <c r="J873" s="2" t="s">
        <v>2000</v>
      </c>
      <c r="K873" s="2" t="s">
        <v>321</v>
      </c>
      <c r="L873" s="2" t="s">
        <v>3921</v>
      </c>
      <c r="M873" s="5">
        <v>45407.607175925928</v>
      </c>
      <c r="N873" s="2" t="str">
        <f>HYPERLINK("http://twitter.com/Brian_Haenchen/status/1783565220327104833")</f>
        <v>http://twitter.com/Brian_Haenchen/status/1783565220327104833</v>
      </c>
      <c r="O873" s="2" t="str">
        <f t="shared" si="35"/>
        <v>https://www.indystar.com/story/news/local/2024/04/25/keystone-hogsett-administration-trying-to-walk-away-from-eleven-park/73453991007/</v>
      </c>
    </row>
    <row r="874" spans="1:15" ht="52.8" x14ac:dyDescent="0.3">
      <c r="A874" s="2" t="s">
        <v>664</v>
      </c>
      <c r="B874" s="2" t="s">
        <v>2289</v>
      </c>
      <c r="C874" s="2" t="s">
        <v>2425</v>
      </c>
      <c r="D874" s="2" t="s">
        <v>2426</v>
      </c>
      <c r="E874" s="2" t="str">
        <f>HYPERLINK("http://twitter.com/Brian_Haenchen")</f>
        <v>http://twitter.com/Brian_Haenchen</v>
      </c>
      <c r="F874" s="2" t="str">
        <f>HYPERLINK("https://muckrack.com/brian_haenchen")</f>
        <v>https://muckrack.com/brian_haenchen</v>
      </c>
      <c r="G874" s="2">
        <v>10028</v>
      </c>
      <c r="H874" s="2" t="s">
        <v>1972</v>
      </c>
      <c r="I874" s="2" t="s">
        <v>2427</v>
      </c>
      <c r="J874" s="2" t="s">
        <v>2000</v>
      </c>
      <c r="K874" s="2" t="s">
        <v>321</v>
      </c>
      <c r="L874" s="2" t="s">
        <v>3922</v>
      </c>
      <c r="M874" s="5">
        <v>45407.790092592593</v>
      </c>
      <c r="N874" s="2" t="str">
        <f>HYPERLINK("http://twitter.com/Brian_Haenchen/status/1783631506230894927")</f>
        <v>http://twitter.com/Brian_Haenchen/status/1783631506230894927</v>
      </c>
      <c r="O874" s="2" t="str">
        <f t="shared" si="35"/>
        <v>https://www.indystar.com/story/news/local/2024/04/25/keystone-hogsett-administration-trying-to-walk-away-from-eleven-park/73453991007/</v>
      </c>
    </row>
    <row r="875" spans="1:15" ht="52.8" x14ac:dyDescent="0.3">
      <c r="A875" s="2" t="s">
        <v>3211</v>
      </c>
      <c r="B875" s="2" t="s">
        <v>3212</v>
      </c>
      <c r="C875" s="2" t="s">
        <v>3213</v>
      </c>
      <c r="D875" s="2" t="s">
        <v>3214</v>
      </c>
      <c r="E875" s="2" t="str">
        <f>HYPERLINK("http://twitter.com/DustinDopirak")</f>
        <v>http://twitter.com/DustinDopirak</v>
      </c>
      <c r="F875" s="2" t="str">
        <f>HYPERLINK("https://muckrack.com/dustin-dopirak")</f>
        <v>https://muckrack.com/dustin-dopirak</v>
      </c>
      <c r="G875" s="2">
        <v>16969</v>
      </c>
      <c r="H875" s="2" t="s">
        <v>1972</v>
      </c>
      <c r="I875" s="2" t="s">
        <v>3215</v>
      </c>
      <c r="J875" s="2" t="s">
        <v>2000</v>
      </c>
      <c r="K875" s="2" t="s">
        <v>321</v>
      </c>
      <c r="L875" s="2" t="s">
        <v>3923</v>
      </c>
      <c r="M875" s="5">
        <v>45407.6093287037</v>
      </c>
      <c r="N875" s="2" t="str">
        <f>HYPERLINK("http://twitter.com/DustinDopirak/status/1783566000018927894")</f>
        <v>http://twitter.com/DustinDopirak/status/1783566000018927894</v>
      </c>
      <c r="O875" s="2" t="str">
        <f t="shared" si="35"/>
        <v>https://www.indystar.com/story/news/local/2024/04/25/keystone-hogsett-administration-trying-to-walk-away-from-eleven-park/73453991007/</v>
      </c>
    </row>
    <row r="876" spans="1:15" ht="52.8" x14ac:dyDescent="0.3">
      <c r="A876" s="2" t="s">
        <v>3924</v>
      </c>
      <c r="B876" s="2" t="s">
        <v>2129</v>
      </c>
      <c r="C876" s="2" t="s">
        <v>3925</v>
      </c>
      <c r="D876" s="2" t="s">
        <v>3926</v>
      </c>
      <c r="E876" s="2" t="str">
        <f>HYPERLINK("http://twitter.com/hollyvhays")</f>
        <v>http://twitter.com/hollyvhays</v>
      </c>
      <c r="F876" s="2" t="str">
        <f>HYPERLINK("https://muckrack.com/holly-hays")</f>
        <v>https://muckrack.com/holly-hays</v>
      </c>
      <c r="G876" s="2">
        <v>3679</v>
      </c>
      <c r="H876" s="2" t="s">
        <v>3927</v>
      </c>
      <c r="I876" s="2" t="s">
        <v>3928</v>
      </c>
      <c r="J876" s="2" t="s">
        <v>2141</v>
      </c>
      <c r="K876" s="2" t="s">
        <v>268</v>
      </c>
      <c r="L876" s="2" t="s">
        <v>3923</v>
      </c>
      <c r="M876" s="5">
        <v>45407.609953703701</v>
      </c>
      <c r="N876" s="2" t="str">
        <f>HYPERLINK("http://twitter.com/hollyvhays/status/1783566227274711086")</f>
        <v>http://twitter.com/hollyvhays/status/1783566227274711086</v>
      </c>
      <c r="O876" s="2" t="str">
        <f t="shared" si="35"/>
        <v>https://www.indystar.com/story/news/local/2024/04/25/keystone-hogsett-administration-trying-to-walk-away-from-eleven-park/73453991007/</v>
      </c>
    </row>
    <row r="877" spans="1:15" ht="52.8" x14ac:dyDescent="0.3">
      <c r="A877" s="2" t="s">
        <v>2436</v>
      </c>
      <c r="B877" s="2" t="s">
        <v>2437</v>
      </c>
      <c r="C877" s="2" t="s">
        <v>2438</v>
      </c>
      <c r="D877" s="2" t="s">
        <v>2439</v>
      </c>
      <c r="E877" s="2" t="str">
        <f>HYPERLINK("http://twitter.com/MattGlenesk")</f>
        <v>http://twitter.com/MattGlenesk</v>
      </c>
      <c r="F877" s="2" t="str">
        <f>HYPERLINK("https://muckrack.com/matthew-glenesk")</f>
        <v>https://muckrack.com/matthew-glenesk</v>
      </c>
      <c r="G877" s="2">
        <v>8773</v>
      </c>
      <c r="H877" s="2" t="s">
        <v>2440</v>
      </c>
      <c r="I877" s="2" t="s">
        <v>2441</v>
      </c>
      <c r="J877" s="2" t="s">
        <v>2000</v>
      </c>
      <c r="K877" s="2" t="s">
        <v>321</v>
      </c>
      <c r="L877" s="2" t="s">
        <v>3923</v>
      </c>
      <c r="M877" s="5">
        <v>45407.615370370368</v>
      </c>
      <c r="N877" s="2" t="str">
        <f>HYPERLINK("http://twitter.com/MattGlenesk/status/1783568191098118229")</f>
        <v>http://twitter.com/MattGlenesk/status/1783568191098118229</v>
      </c>
      <c r="O877" s="2" t="str">
        <f t="shared" si="35"/>
        <v>https://www.indystar.com/story/news/local/2024/04/25/keystone-hogsett-administration-trying-to-walk-away-from-eleven-park/73453991007/</v>
      </c>
    </row>
    <row r="878" spans="1:15" ht="52.8" x14ac:dyDescent="0.3">
      <c r="A878" s="2" t="s">
        <v>2550</v>
      </c>
      <c r="B878" s="2" t="s">
        <v>2544</v>
      </c>
      <c r="C878" s="2" t="s">
        <v>2551</v>
      </c>
      <c r="D878" s="2" t="s">
        <v>2552</v>
      </c>
      <c r="E878" s="2" t="str">
        <f>HYPERLINK("http://twitter.com/indystartony")</f>
        <v>http://twitter.com/indystartony</v>
      </c>
      <c r="F878" s="2" t="str">
        <f>HYPERLINK("https://muckrack.com/tony-cook")</f>
        <v>https://muckrack.com/tony-cook</v>
      </c>
      <c r="G878" s="2">
        <v>11239</v>
      </c>
      <c r="H878" s="2" t="s">
        <v>1972</v>
      </c>
      <c r="I878" s="2" t="s">
        <v>2553</v>
      </c>
      <c r="J878" s="2" t="s">
        <v>2554</v>
      </c>
      <c r="K878" s="2" t="s">
        <v>321</v>
      </c>
      <c r="L878" s="2" t="s">
        <v>3929</v>
      </c>
      <c r="M878" s="5">
        <v>45407.625428240739</v>
      </c>
      <c r="N878" s="2" t="str">
        <f>HYPERLINK("http://twitter.com/indystartony/status/1783571834807480325")</f>
        <v>http://twitter.com/indystartony/status/1783571834807480325</v>
      </c>
      <c r="O878" s="2" t="str">
        <f t="shared" si="35"/>
        <v>https://www.indystar.com/story/news/local/2024/04/25/keystone-hogsett-administration-trying-to-walk-away-from-eleven-park/73453991007/</v>
      </c>
    </row>
    <row r="879" spans="1:15" ht="52.8" x14ac:dyDescent="0.3">
      <c r="A879" s="2" t="s">
        <v>2128</v>
      </c>
      <c r="B879" s="2" t="s">
        <v>2129</v>
      </c>
      <c r="C879" s="2" t="s">
        <v>2130</v>
      </c>
      <c r="D879" s="2" t="s">
        <v>2131</v>
      </c>
      <c r="E879" s="2" t="str">
        <f>HYPERLINK("http://twitter.com/srudavsky")</f>
        <v>http://twitter.com/srudavsky</v>
      </c>
      <c r="F879" s="2" t="str">
        <f>HYPERLINK("https://muckrack.com/srudavsky")</f>
        <v>https://muckrack.com/srudavsky</v>
      </c>
      <c r="G879" s="2">
        <v>6405</v>
      </c>
      <c r="H879" s="2" t="s">
        <v>2132</v>
      </c>
      <c r="I879" s="2" t="s">
        <v>2133</v>
      </c>
      <c r="J879" s="2" t="s">
        <v>2134</v>
      </c>
      <c r="K879" s="2" t="s">
        <v>321</v>
      </c>
      <c r="L879" s="2" t="s">
        <v>3930</v>
      </c>
      <c r="M879" s="5">
        <v>45407.628379629627</v>
      </c>
      <c r="N879" s="2" t="str">
        <f>HYPERLINK("http://twitter.com/srudavsky/status/1783572907542638796")</f>
        <v>http://twitter.com/srudavsky/status/1783572907542638796</v>
      </c>
      <c r="O879" s="2" t="str">
        <f t="shared" si="35"/>
        <v>https://www.indystar.com/story/news/local/2024/04/25/keystone-hogsett-administration-trying-to-walk-away-from-eleven-park/73453991007/</v>
      </c>
    </row>
    <row r="880" spans="1:15" ht="52.8" x14ac:dyDescent="0.3">
      <c r="A880" s="2" t="s">
        <v>3764</v>
      </c>
      <c r="B880" s="2" t="s">
        <v>3765</v>
      </c>
      <c r="C880" s="2" t="s">
        <v>3766</v>
      </c>
      <c r="D880" s="2" t="s">
        <v>3767</v>
      </c>
      <c r="E880" s="2" t="str">
        <f>HYPERLINK("http://twitter.com/kaitlin_lange")</f>
        <v>http://twitter.com/kaitlin_lange</v>
      </c>
      <c r="F880" s="2" t="str">
        <f>HYPERLINK("https://muckrack.com/kaitlin-lange")</f>
        <v>https://muckrack.com/kaitlin-lange</v>
      </c>
      <c r="G880" s="2">
        <v>8501</v>
      </c>
      <c r="H880" s="2" t="s">
        <v>2132</v>
      </c>
      <c r="I880" s="2" t="s">
        <v>3768</v>
      </c>
      <c r="J880" s="2" t="s">
        <v>2008</v>
      </c>
      <c r="K880" s="2" t="s">
        <v>321</v>
      </c>
      <c r="L880" s="2" t="s">
        <v>3929</v>
      </c>
      <c r="M880" s="5">
        <v>45407.633900462963</v>
      </c>
      <c r="N880" s="2" t="str">
        <f>HYPERLINK("http://twitter.com/kaitlin_lange/status/1783574907571294435")</f>
        <v>http://twitter.com/kaitlin_lange/status/1783574907571294435</v>
      </c>
      <c r="O880" s="2" t="str">
        <f t="shared" si="35"/>
        <v>https://www.indystar.com/story/news/local/2024/04/25/keystone-hogsett-administration-trying-to-walk-away-from-eleven-park/73453991007/</v>
      </c>
    </row>
    <row r="881" spans="1:15" ht="52.8" x14ac:dyDescent="0.3">
      <c r="A881" s="2" t="s">
        <v>3931</v>
      </c>
      <c r="B881" s="2" t="s">
        <v>3932</v>
      </c>
      <c r="C881" s="2" t="s">
        <v>3933</v>
      </c>
      <c r="D881" s="2" t="s">
        <v>3934</v>
      </c>
      <c r="E881" s="2" t="str">
        <f>HYPERLINK("http://twitter.com/mykalmphoto")</f>
        <v>http://twitter.com/mykalmphoto</v>
      </c>
      <c r="F881" s="2" t="str">
        <f>HYPERLINK("https://muckrack.com/mykalmphoto")</f>
        <v>https://muckrack.com/mykalmphoto</v>
      </c>
      <c r="G881" s="2">
        <v>5247</v>
      </c>
      <c r="H881" s="2" t="s">
        <v>3935</v>
      </c>
      <c r="I881" s="2" t="s">
        <v>3936</v>
      </c>
      <c r="J881" s="2" t="s">
        <v>1954</v>
      </c>
      <c r="K881" s="2" t="s">
        <v>321</v>
      </c>
      <c r="L881" s="2" t="s">
        <v>3929</v>
      </c>
      <c r="M881" s="5">
        <v>45407.643379629633</v>
      </c>
      <c r="N881" s="2" t="str">
        <f>HYPERLINK("http://twitter.com/mykalmphoto/status/1783578340604965341")</f>
        <v>http://twitter.com/mykalmphoto/status/1783578340604965341</v>
      </c>
      <c r="O881" s="2" t="str">
        <f t="shared" si="35"/>
        <v>https://www.indystar.com/story/news/local/2024/04/25/keystone-hogsett-administration-trying-to-walk-away-from-eleven-park/73453991007/</v>
      </c>
    </row>
    <row r="882" spans="1:15" ht="52.8" x14ac:dyDescent="0.3">
      <c r="A882" s="2" t="s">
        <v>3742</v>
      </c>
      <c r="B882" s="2" t="s">
        <v>3743</v>
      </c>
      <c r="C882" s="2" t="s">
        <v>3744</v>
      </c>
      <c r="D882" s="2" t="s">
        <v>3745</v>
      </c>
      <c r="E882" s="2" t="str">
        <f>HYPERLINK("http://twitter.com/kayla_dwyer17")</f>
        <v>http://twitter.com/kayla_dwyer17</v>
      </c>
      <c r="F882" s="2" t="str">
        <f>HYPERLINK("https://muckrack.com/kayla-dwyer")</f>
        <v>https://muckrack.com/kayla-dwyer</v>
      </c>
      <c r="G882" s="2">
        <v>3675</v>
      </c>
      <c r="H882" s="2" t="s">
        <v>1972</v>
      </c>
      <c r="I882" s="2" t="s">
        <v>3746</v>
      </c>
      <c r="J882" s="2" t="s">
        <v>2008</v>
      </c>
      <c r="K882" s="2" t="s">
        <v>321</v>
      </c>
      <c r="L882" s="2" t="s">
        <v>3923</v>
      </c>
      <c r="M882" s="5">
        <v>45407.645914351851</v>
      </c>
      <c r="N882" s="2" t="str">
        <f>HYPERLINK("http://twitter.com/kayla_dwyer17/status/1783579260856271278")</f>
        <v>http://twitter.com/kayla_dwyer17/status/1783579260856271278</v>
      </c>
      <c r="O882" s="2" t="str">
        <f t="shared" si="35"/>
        <v>https://www.indystar.com/story/news/local/2024/04/25/keystone-hogsett-administration-trying-to-walk-away-from-eleven-park/73453991007/</v>
      </c>
    </row>
    <row r="883" spans="1:15" ht="39.6" x14ac:dyDescent="0.3">
      <c r="A883" s="2" t="s">
        <v>1578</v>
      </c>
      <c r="B883" s="2" t="s">
        <v>2363</v>
      </c>
      <c r="C883" s="2" t="s">
        <v>2368</v>
      </c>
      <c r="D883" s="2" t="s">
        <v>2369</v>
      </c>
      <c r="E883" s="2" t="str">
        <f>HYPERLINK("http://twitter.com/choosesam")</f>
        <v>http://twitter.com/choosesam</v>
      </c>
      <c r="F883" s="2" t="str">
        <f>HYPERLINK("https://muckrack.com/choosesam")</f>
        <v>https://muckrack.com/choosesam</v>
      </c>
      <c r="G883" s="2">
        <v>4346</v>
      </c>
      <c r="H883" s="2" t="s">
        <v>2370</v>
      </c>
      <c r="I883" s="2" t="s">
        <v>2371</v>
      </c>
      <c r="J883" s="2" t="s">
        <v>2033</v>
      </c>
      <c r="K883" s="2" t="s">
        <v>2034</v>
      </c>
      <c r="L883" s="2" t="s">
        <v>3937</v>
      </c>
      <c r="M883" s="5">
        <v>45407.617083333331</v>
      </c>
      <c r="N883" s="2" t="str">
        <f>HYPERLINK("http://twitter.com/choosesam/status/1783568810747805943")</f>
        <v>http://twitter.com/choosesam/status/1783568810747805943</v>
      </c>
      <c r="O883" s="2" t="str">
        <f>HYPERLINK("https://www.soccersheet.com/p/a-goalless-weekend-for-charlotte")</f>
        <v>https://www.soccersheet.com/p/a-goalless-weekend-for-charlotte</v>
      </c>
    </row>
    <row r="884" spans="1:15" ht="39.6" x14ac:dyDescent="0.3">
      <c r="A884" s="2" t="s">
        <v>267</v>
      </c>
      <c r="B884" s="2" t="s">
        <v>2061</v>
      </c>
      <c r="C884" s="2" t="s">
        <v>2062</v>
      </c>
      <c r="D884" s="2" t="s">
        <v>2063</v>
      </c>
      <c r="E884" s="2" t="str">
        <f>HYPERLINK("http://twitter.com/MickeyShuey")</f>
        <v>http://twitter.com/MickeyShuey</v>
      </c>
      <c r="F884" s="2" t="str">
        <f>HYPERLINK("https://muckrack.com/mickeyshuey")</f>
        <v>https://muckrack.com/mickeyshuey</v>
      </c>
      <c r="G884" s="2">
        <v>1868</v>
      </c>
      <c r="H884" s="2" t="s">
        <v>1972</v>
      </c>
      <c r="I884" s="2" t="s">
        <v>2064</v>
      </c>
      <c r="J884" s="2" t="s">
        <v>2065</v>
      </c>
      <c r="K884" s="2" t="s">
        <v>268</v>
      </c>
      <c r="L884" s="2" t="s">
        <v>3938</v>
      </c>
      <c r="M884" s="5">
        <v>45407.555023148147</v>
      </c>
      <c r="N884" s="2" t="str">
        <f>HYPERLINK("http://twitter.com/MickeyShuey/status/1783546322651373708")</f>
        <v>http://twitter.com/MickeyShuey/status/1783546322651373708</v>
      </c>
      <c r="O884" s="2" t="str">
        <f t="shared" ref="O884:O891" si="36">HYPERLINK("https://www.ibj.com/articles/keystone-claims-city-trying-to-forego-eleven-park-deal")</f>
        <v>https://www.ibj.com/articles/keystone-claims-city-trying-to-forego-eleven-park-deal</v>
      </c>
    </row>
    <row r="885" spans="1:15" ht="39.6" x14ac:dyDescent="0.3">
      <c r="A885" s="2" t="s">
        <v>1069</v>
      </c>
      <c r="B885" s="2" t="s">
        <v>2297</v>
      </c>
      <c r="C885" s="2" t="s">
        <v>3689</v>
      </c>
      <c r="D885" s="2" t="s">
        <v>3690</v>
      </c>
      <c r="E885" s="2" t="str">
        <f>HYPERLINK("http://twitter.com/SusanOrr")</f>
        <v>http://twitter.com/SusanOrr</v>
      </c>
      <c r="F885" s="2" t="str">
        <f>HYPERLINK("https://muckrack.com/susan-orr")</f>
        <v>https://muckrack.com/susan-orr</v>
      </c>
      <c r="G885" s="2">
        <v>2664</v>
      </c>
      <c r="H885" s="2" t="s">
        <v>1972</v>
      </c>
      <c r="I885" s="2" t="s">
        <v>3691</v>
      </c>
      <c r="J885" s="2" t="s">
        <v>3692</v>
      </c>
      <c r="K885" s="2" t="s">
        <v>268</v>
      </c>
      <c r="L885" s="2" t="s">
        <v>3939</v>
      </c>
      <c r="M885" s="5">
        <v>45407.555046296293</v>
      </c>
      <c r="N885" s="2" t="str">
        <f>HYPERLINK("http://twitter.com/SusanOrr/status/1783546330431848855")</f>
        <v>http://twitter.com/SusanOrr/status/1783546330431848855</v>
      </c>
      <c r="O885" s="2" t="str">
        <f t="shared" si="36"/>
        <v>https://www.ibj.com/articles/keystone-claims-city-trying-to-forego-eleven-park-deal</v>
      </c>
    </row>
    <row r="886" spans="1:15" ht="39.6" x14ac:dyDescent="0.3">
      <c r="A886" s="2" t="s">
        <v>616</v>
      </c>
      <c r="B886" s="2" t="s">
        <v>1976</v>
      </c>
      <c r="C886" s="2" t="s">
        <v>1977</v>
      </c>
      <c r="D886" s="2" t="s">
        <v>1978</v>
      </c>
      <c r="E886" s="2" t="str">
        <f>HYPERLINK("http://twitter.com/ryanmartin")</f>
        <v>http://twitter.com/ryanmartin</v>
      </c>
      <c r="F886" s="2" t="str">
        <f>HYPERLINK("https://muckrack.com/ryanmartin")</f>
        <v>https://muckrack.com/ryanmartin</v>
      </c>
      <c r="G886" s="2">
        <v>11135</v>
      </c>
      <c r="H886" s="2" t="s">
        <v>1972</v>
      </c>
      <c r="I886" s="2" t="s">
        <v>1979</v>
      </c>
      <c r="J886" s="2" t="s">
        <v>1954</v>
      </c>
      <c r="K886" s="2" t="s">
        <v>1974</v>
      </c>
      <c r="L886" s="2" t="s">
        <v>3940</v>
      </c>
      <c r="M886" s="5">
        <v>45407.557083333333</v>
      </c>
      <c r="N886" s="2" t="str">
        <f>HYPERLINK("http://twitter.com/ryanmartin/status/1783547067979186539")</f>
        <v>http://twitter.com/ryanmartin/status/1783547067979186539</v>
      </c>
      <c r="O886" s="2" t="str">
        <f t="shared" si="36"/>
        <v>https://www.ibj.com/articles/keystone-claims-city-trying-to-forego-eleven-park-deal</v>
      </c>
    </row>
    <row r="887" spans="1:15" ht="39.6" x14ac:dyDescent="0.3">
      <c r="A887" s="2" t="s">
        <v>3723</v>
      </c>
      <c r="B887" s="2" t="s">
        <v>3671</v>
      </c>
      <c r="C887" s="2" t="s">
        <v>3724</v>
      </c>
      <c r="D887" s="2" t="s">
        <v>3725</v>
      </c>
      <c r="E887" s="2" t="str">
        <f>HYPERLINK("http://twitter.com/JournoJay")</f>
        <v>http://twitter.com/JournoJay</v>
      </c>
      <c r="F887" s="2" t="str">
        <f>HYPERLINK("https://muckrack.com/jaydenk")</f>
        <v>https://muckrack.com/jaydenk</v>
      </c>
      <c r="G887" s="2">
        <v>491</v>
      </c>
      <c r="H887" s="2" t="s">
        <v>1972</v>
      </c>
      <c r="I887" s="2" t="s">
        <v>3726</v>
      </c>
      <c r="J887" s="2" t="s">
        <v>3727</v>
      </c>
      <c r="K887" s="2" t="s">
        <v>3728</v>
      </c>
      <c r="L887" s="2" t="s">
        <v>3940</v>
      </c>
      <c r="M887" s="5">
        <v>45407.557314814818</v>
      </c>
      <c r="N887" s="2" t="str">
        <f>HYPERLINK("http://twitter.com/JournoJay/status/1783547152330871112")</f>
        <v>http://twitter.com/JournoJay/status/1783547152330871112</v>
      </c>
      <c r="O887" s="2" t="str">
        <f t="shared" si="36"/>
        <v>https://www.ibj.com/articles/keystone-claims-city-trying-to-forego-eleven-park-deal</v>
      </c>
    </row>
    <row r="888" spans="1:15" ht="39.6" x14ac:dyDescent="0.3">
      <c r="A888" s="2" t="s">
        <v>3539</v>
      </c>
      <c r="B888" s="2" t="s">
        <v>2467</v>
      </c>
      <c r="C888" s="2" t="s">
        <v>3540</v>
      </c>
      <c r="D888" s="2" t="s">
        <v>3541</v>
      </c>
      <c r="E888" s="2" t="str">
        <f>HYPERLINK("http://twitter.com/sammquinn13")</f>
        <v>http://twitter.com/sammquinn13</v>
      </c>
      <c r="F888" s="2" t="str">
        <f>HYPERLINK("https://muckrack.com/samm-quinn")</f>
        <v>https://muckrack.com/samm-quinn</v>
      </c>
      <c r="G888" s="2">
        <v>1265</v>
      </c>
      <c r="H888" s="2" t="s">
        <v>1972</v>
      </c>
      <c r="I888" s="2" t="s">
        <v>3542</v>
      </c>
      <c r="J888" s="2" t="s">
        <v>2141</v>
      </c>
      <c r="K888" s="2" t="s">
        <v>268</v>
      </c>
      <c r="L888" s="2" t="s">
        <v>3940</v>
      </c>
      <c r="M888" s="5">
        <v>45407.558032407411</v>
      </c>
      <c r="N888" s="2" t="str">
        <f>HYPERLINK("http://twitter.com/sammquinn13/status/1783547411563975033")</f>
        <v>http://twitter.com/sammquinn13/status/1783547411563975033</v>
      </c>
      <c r="O888" s="2" t="str">
        <f t="shared" si="36"/>
        <v>https://www.ibj.com/articles/keystone-claims-city-trying-to-forego-eleven-park-deal</v>
      </c>
    </row>
    <row r="889" spans="1:15" ht="39.6" x14ac:dyDescent="0.3">
      <c r="A889" s="2" t="s">
        <v>2245</v>
      </c>
      <c r="B889" s="2" t="s">
        <v>2246</v>
      </c>
      <c r="C889" s="2" t="s">
        <v>2247</v>
      </c>
      <c r="D889" s="2" t="s">
        <v>2248</v>
      </c>
      <c r="E889" s="2" t="str">
        <f>HYPERLINK("http://twitter.com/thegoalkeeper")</f>
        <v>http://twitter.com/thegoalkeeper</v>
      </c>
      <c r="F889" s="2" t="str">
        <f>HYPERLINK("https://muckrack.com/jonathan-tannenwald")</f>
        <v>https://muckrack.com/jonathan-tannenwald</v>
      </c>
      <c r="G889" s="2">
        <v>29037</v>
      </c>
      <c r="H889" s="2" t="s">
        <v>2249</v>
      </c>
      <c r="I889" s="2" t="s">
        <v>2250</v>
      </c>
      <c r="J889" s="2" t="s">
        <v>2251</v>
      </c>
      <c r="K889" s="2" t="s">
        <v>2252</v>
      </c>
      <c r="L889" s="2" t="s">
        <v>3940</v>
      </c>
      <c r="M889" s="5">
        <v>45407.586296296293</v>
      </c>
      <c r="N889" s="2" t="str">
        <f>HYPERLINK("http://twitter.com/thegoalkeeper/status/1783557656109633803")</f>
        <v>http://twitter.com/thegoalkeeper/status/1783557656109633803</v>
      </c>
      <c r="O889" s="2" t="str">
        <f t="shared" si="36"/>
        <v>https://www.ibj.com/articles/keystone-claims-city-trying-to-forego-eleven-park-deal</v>
      </c>
    </row>
    <row r="890" spans="1:15" ht="52.8" x14ac:dyDescent="0.3">
      <c r="A890" s="2" t="s">
        <v>3126</v>
      </c>
      <c r="B890" s="2" t="s">
        <v>3127</v>
      </c>
      <c r="C890" s="2" t="s">
        <v>3128</v>
      </c>
      <c r="D890" s="2" t="s">
        <v>3129</v>
      </c>
      <c r="E890" s="2" t="str">
        <f>HYPERLINK("http://twitter.com/DanSpehler")</f>
        <v>http://twitter.com/DanSpehler</v>
      </c>
      <c r="F890" s="2" t="str">
        <f>HYPERLINK("https://muckrack.com/danspehler")</f>
        <v>https://muckrack.com/danspehler</v>
      </c>
      <c r="G890" s="2">
        <v>5233</v>
      </c>
      <c r="H890" s="2" t="s">
        <v>1972</v>
      </c>
      <c r="I890" s="2" t="s">
        <v>3130</v>
      </c>
      <c r="J890" s="2" t="s">
        <v>2008</v>
      </c>
      <c r="K890" s="2" t="s">
        <v>147</v>
      </c>
      <c r="L890" s="2" t="s">
        <v>3941</v>
      </c>
      <c r="M890" s="5">
        <v>45407.605081018519</v>
      </c>
      <c r="N890" s="2" t="str">
        <f>HYPERLINK("http://twitter.com/DanSpehler/status/1783564462688964622")</f>
        <v>http://twitter.com/DanSpehler/status/1783564462688964622</v>
      </c>
      <c r="O890" s="2" t="str">
        <f t="shared" si="36"/>
        <v>https://www.ibj.com/articles/keystone-claims-city-trying-to-forego-eleven-park-deal</v>
      </c>
    </row>
    <row r="891" spans="1:15" ht="52.8" x14ac:dyDescent="0.3">
      <c r="A891" s="2" t="s">
        <v>2865</v>
      </c>
      <c r="B891" s="2" t="s">
        <v>2866</v>
      </c>
      <c r="C891" s="2" t="s">
        <v>2867</v>
      </c>
      <c r="D891" s="2" t="s">
        <v>2868</v>
      </c>
      <c r="E891" s="2" t="str">
        <f>HYPERLINK("http://twitter.com/OSGNelson")</f>
        <v>http://twitter.com/OSGNelson</v>
      </c>
      <c r="F891" s="2" t="str">
        <f>HYPERLINK("https://muckrack.com/jon-nelson")</f>
        <v>https://muckrack.com/jon-nelson</v>
      </c>
      <c r="G891" s="2">
        <v>3176</v>
      </c>
      <c r="H891" s="2" t="s">
        <v>2728</v>
      </c>
      <c r="I891" s="2" t="s">
        <v>2869</v>
      </c>
      <c r="J891" s="2" t="s">
        <v>2148</v>
      </c>
      <c r="K891" s="2" t="s">
        <v>2870</v>
      </c>
      <c r="L891" s="2" t="s">
        <v>3940</v>
      </c>
      <c r="M891" s="5">
        <v>45407.614525462966</v>
      </c>
      <c r="N891" s="2" t="str">
        <f>HYPERLINK("http://twitter.com/OSGNelson/status/1783567884603592918")</f>
        <v>http://twitter.com/OSGNelson/status/1783567884603592918</v>
      </c>
      <c r="O891" s="2" t="str">
        <f t="shared" si="36"/>
        <v>https://www.ibj.com/articles/keystone-claims-city-trying-to-forego-eleven-park-deal</v>
      </c>
    </row>
    <row r="892" spans="1:15" ht="52.8" x14ac:dyDescent="0.3">
      <c r="A892" s="2" t="s">
        <v>654</v>
      </c>
      <c r="B892" s="2" t="s">
        <v>2482</v>
      </c>
      <c r="C892" s="2"/>
      <c r="D892" s="2" t="s">
        <v>2483</v>
      </c>
      <c r="E892" s="2" t="str">
        <f>HYPERLINK("http://twitter.com/ldock93")</f>
        <v>http://twitter.com/ldock93</v>
      </c>
      <c r="F892" s="2" t="str">
        <f>HYPERLINK("https://muckrack.com/lawrence-dockery")</f>
        <v>https://muckrack.com/lawrence-dockery</v>
      </c>
      <c r="G892" s="2">
        <v>1147</v>
      </c>
      <c r="H892" s="2" t="s">
        <v>2484</v>
      </c>
      <c r="I892" s="2" t="s">
        <v>2485</v>
      </c>
      <c r="J892" s="2" t="s">
        <v>2033</v>
      </c>
      <c r="K892" s="2" t="s">
        <v>2486</v>
      </c>
      <c r="L892" s="2" t="s">
        <v>3942</v>
      </c>
      <c r="M892" s="5">
        <v>45402.408553240741</v>
      </c>
      <c r="N892" s="2" t="str">
        <f>HYPERLINK("http://twitter.com/ldock93/status/1781681302627918061")</f>
        <v>http://twitter.com/ldock93/status/1781681302627918061</v>
      </c>
      <c r="O892" s="2" t="str">
        <f>HYPERLINK("https://bluffcitymedia.co/memphis-901-fc-vs-monterey-bay-preview/")</f>
        <v>https://bluffcitymedia.co/memphis-901-fc-vs-monterey-bay-preview/</v>
      </c>
    </row>
    <row r="893" spans="1:15" ht="52.8" x14ac:dyDescent="0.3">
      <c r="A893" s="2" t="s">
        <v>654</v>
      </c>
      <c r="B893" s="2" t="s">
        <v>2482</v>
      </c>
      <c r="C893" s="2"/>
      <c r="D893" s="2" t="s">
        <v>2483</v>
      </c>
      <c r="E893" s="2" t="str">
        <f>HYPERLINK("http://twitter.com/ldock93")</f>
        <v>http://twitter.com/ldock93</v>
      </c>
      <c r="F893" s="2" t="str">
        <f>HYPERLINK("https://muckrack.com/lawrence-dockery")</f>
        <v>https://muckrack.com/lawrence-dockery</v>
      </c>
      <c r="G893" s="2">
        <v>1147</v>
      </c>
      <c r="H893" s="2" t="s">
        <v>2484</v>
      </c>
      <c r="I893" s="2" t="s">
        <v>2485</v>
      </c>
      <c r="J893" s="2" t="s">
        <v>2033</v>
      </c>
      <c r="K893" s="2" t="s">
        <v>2486</v>
      </c>
      <c r="L893" s="2" t="s">
        <v>3943</v>
      </c>
      <c r="M893" s="5">
        <v>45402.410358796304</v>
      </c>
      <c r="N893" s="2" t="str">
        <f>HYPERLINK("http://twitter.com/ldock93/status/1781681959237816634")</f>
        <v>http://twitter.com/ldock93/status/1781681959237816634</v>
      </c>
      <c r="O893" s="2" t="str">
        <f>HYPERLINK("https://bluffcitymedia.co/memphis-901-fc-vs-monterey-bay-preview/")</f>
        <v>https://bluffcitymedia.co/memphis-901-fc-vs-monterey-bay-preview/</v>
      </c>
    </row>
    <row r="894" spans="1:15" ht="52.8" x14ac:dyDescent="0.3">
      <c r="A894" s="2" t="s">
        <v>1858</v>
      </c>
      <c r="B894" s="2" t="s">
        <v>3298</v>
      </c>
      <c r="C894" s="2" t="s">
        <v>3299</v>
      </c>
      <c r="D894" s="2" t="s">
        <v>3300</v>
      </c>
      <c r="E894" s="2" t="str">
        <f>HYPERLINK("http://twitter.com/lhenry019")</f>
        <v>http://twitter.com/lhenry019</v>
      </c>
      <c r="F894" s="2" t="str">
        <f>HYPERLINK("https://muckrack.com/larry-henry-jr-1")</f>
        <v>https://muckrack.com/larry-henry-jr-1</v>
      </c>
      <c r="G894" s="2">
        <v>4262</v>
      </c>
      <c r="H894" s="2" t="s">
        <v>3301</v>
      </c>
      <c r="I894" s="2" t="s">
        <v>3302</v>
      </c>
      <c r="J894" s="2" t="s">
        <v>2000</v>
      </c>
      <c r="K894" s="2" t="s">
        <v>3303</v>
      </c>
      <c r="L894" s="2" t="s">
        <v>3944</v>
      </c>
      <c r="M894" s="5">
        <v>45400.837152777778</v>
      </c>
      <c r="N894" s="2" t="str">
        <f>HYPERLINK("http://twitter.com/lhenry019/status/1781111846826594621")</f>
        <v>http://twitter.com/lhenry019/status/1781111846826594621</v>
      </c>
      <c r="O894" s="2" t="str">
        <f>HYPERLINK("https://sbisoccer.com/2024/04/2024-u-s-open-cup-houston-dynamo-lafc-among-mls-clubs-to-enter-round-of-32")</f>
        <v>https://sbisoccer.com/2024/04/2024-u-s-open-cup-houston-dynamo-lafc-among-mls-clubs-to-enter-round-of-32</v>
      </c>
    </row>
    <row r="895" spans="1:15" ht="39.6" x14ac:dyDescent="0.3">
      <c r="A895" s="2" t="s">
        <v>272</v>
      </c>
      <c r="B895" s="2" t="s">
        <v>2068</v>
      </c>
      <c r="C895" s="2"/>
      <c r="D895" s="2" t="s">
        <v>2069</v>
      </c>
      <c r="E895" s="2" t="str">
        <f>HYPERLINK("http://twitter.com/jeffrueter")</f>
        <v>http://twitter.com/jeffrueter</v>
      </c>
      <c r="F895" s="2" t="str">
        <f>HYPERLINK("https://muckrack.com/jeffrueter")</f>
        <v>https://muckrack.com/jeffrueter</v>
      </c>
      <c r="G895" s="2">
        <v>16090</v>
      </c>
      <c r="H895" s="2" t="s">
        <v>2070</v>
      </c>
      <c r="I895" s="2" t="s">
        <v>2071</v>
      </c>
      <c r="J895" s="2" t="s">
        <v>2033</v>
      </c>
      <c r="K895" s="2" t="s">
        <v>1565</v>
      </c>
      <c r="L895" s="2" t="s">
        <v>3945</v>
      </c>
      <c r="M895" s="5">
        <v>45400.799826388888</v>
      </c>
      <c r="N895" s="2" t="str">
        <f>HYPERLINK("http://twitter.com/jeffrueter/status/1781098319856480698")</f>
        <v>http://twitter.com/jeffrueter/status/1781098319856480698</v>
      </c>
      <c r="O895" s="2" t="str">
        <f>HYPERLINK("https://theathletic.com/5426899/2024/04/18/us-open-cup-round-32-draw-mls/")</f>
        <v>https://theathletic.com/5426899/2024/04/18/us-open-cup-round-32-draw-mls/</v>
      </c>
    </row>
    <row r="896" spans="1:15" ht="39.6" x14ac:dyDescent="0.3">
      <c r="A896" s="2" t="s">
        <v>272</v>
      </c>
      <c r="B896" s="2" t="s">
        <v>2068</v>
      </c>
      <c r="C896" s="2"/>
      <c r="D896" s="2" t="s">
        <v>2069</v>
      </c>
      <c r="E896" s="2" t="str">
        <f>HYPERLINK("http://twitter.com/jeffrueter")</f>
        <v>http://twitter.com/jeffrueter</v>
      </c>
      <c r="F896" s="2" t="str">
        <f>HYPERLINK("https://muckrack.com/jeffrueter")</f>
        <v>https://muckrack.com/jeffrueter</v>
      </c>
      <c r="G896" s="2">
        <v>16090</v>
      </c>
      <c r="H896" s="2" t="s">
        <v>2070</v>
      </c>
      <c r="I896" s="2" t="s">
        <v>2071</v>
      </c>
      <c r="J896" s="2" t="s">
        <v>2033</v>
      </c>
      <c r="K896" s="2" t="s">
        <v>1565</v>
      </c>
      <c r="L896" s="2" t="s">
        <v>3946</v>
      </c>
      <c r="M896" s="5">
        <v>45419.990833333337</v>
      </c>
      <c r="N896" s="2" t="str">
        <f>HYPERLINK("http://twitter.com/jeffrueter/status/1788052910359662723")</f>
        <v>http://twitter.com/jeffrueter/status/1788052910359662723</v>
      </c>
      <c r="O896" s="2" t="str">
        <f>HYPERLINK("https://theathletic.com/5426899/2024/04/18/us-open-cup-round-32-draw-mls/")</f>
        <v>https://theathletic.com/5426899/2024/04/18/us-open-cup-round-32-draw-mls/</v>
      </c>
    </row>
    <row r="897" spans="1:15" ht="39.6" x14ac:dyDescent="0.3">
      <c r="A897" s="2" t="s">
        <v>3370</v>
      </c>
      <c r="B897" s="2" t="s">
        <v>3371</v>
      </c>
      <c r="C897" s="2" t="s">
        <v>3372</v>
      </c>
      <c r="D897" s="2" t="s">
        <v>3373</v>
      </c>
      <c r="E897" s="2" t="str">
        <f>HYPERLINK("http://twitter.com/AnAbnos")</f>
        <v>http://twitter.com/AnAbnos</v>
      </c>
      <c r="F897" s="2" t="str">
        <f>HYPERLINK("https://muckrack.com/alexander-abnos")</f>
        <v>https://muckrack.com/alexander-abnos</v>
      </c>
      <c r="G897" s="2">
        <v>4782</v>
      </c>
      <c r="H897" s="2" t="s">
        <v>3374</v>
      </c>
      <c r="I897" s="2" t="s">
        <v>3375</v>
      </c>
      <c r="J897" s="2" t="s">
        <v>2033</v>
      </c>
      <c r="K897" s="2" t="s">
        <v>3376</v>
      </c>
      <c r="L897" s="2" t="s">
        <v>3947</v>
      </c>
      <c r="M897" s="5">
        <v>45401.387488425928</v>
      </c>
      <c r="N897" s="2" t="str">
        <f>HYPERLINK("http://twitter.com/AnAbnos/status/1781311281368060112")</f>
        <v>http://twitter.com/AnAbnos/status/1781311281368060112</v>
      </c>
      <c r="O897" s="2" t="str">
        <f>HYPERLINK("https://theathletic.com/5426899/2024/04/18/us-open-cup-round-32-draw-mls/")</f>
        <v>https://theathletic.com/5426899/2024/04/18/us-open-cup-round-32-draw-mls/</v>
      </c>
    </row>
    <row r="898" spans="1:15" ht="79.2" x14ac:dyDescent="0.3">
      <c r="A898" s="2" t="s">
        <v>993</v>
      </c>
      <c r="B898" s="2" t="s">
        <v>2289</v>
      </c>
      <c r="C898" s="2" t="s">
        <v>2981</v>
      </c>
      <c r="D898" s="2" t="s">
        <v>2982</v>
      </c>
      <c r="E898" s="2" t="str">
        <f>HYPERLINK("http://twitter.com/StephenWhit89")</f>
        <v>http://twitter.com/StephenWhit89</v>
      </c>
      <c r="F898" s="2" t="str">
        <f>HYPERLINK("https://muckrack.com/stephen-whitaker")</f>
        <v>https://muckrack.com/stephen-whitaker</v>
      </c>
      <c r="G898" s="2">
        <v>1127</v>
      </c>
      <c r="H898" s="2" t="s">
        <v>2983</v>
      </c>
      <c r="I898" s="2" t="s">
        <v>2984</v>
      </c>
      <c r="J898" s="2" t="s">
        <v>2033</v>
      </c>
      <c r="K898" s="2" t="s">
        <v>2985</v>
      </c>
      <c r="L898" s="2" t="s">
        <v>3948</v>
      </c>
      <c r="M898" s="5">
        <v>45401.796898148154</v>
      </c>
      <c r="N898" s="2" t="str">
        <f>HYPERLINK("http://twitter.com/StephenWhit89/status/1781459646626107432")</f>
        <v>http://twitter.com/StephenWhit89/status/1781459646626107432</v>
      </c>
      <c r="O898" s="2" t="str">
        <f>HYPERLINK("https://www.expressnews.com/sports/article/san-antonio-hits-road-contest-hartford-athletic-19410682.php")</f>
        <v>https://www.expressnews.com/sports/article/san-antonio-hits-road-contest-hartford-athletic-19410682.php</v>
      </c>
    </row>
    <row r="899" spans="1:15" ht="66" x14ac:dyDescent="0.3">
      <c r="A899" s="2" t="s">
        <v>3949</v>
      </c>
      <c r="B899" s="2" t="s">
        <v>3950</v>
      </c>
      <c r="C899" s="2" t="s">
        <v>3951</v>
      </c>
      <c r="D899" s="2" t="s">
        <v>3952</v>
      </c>
      <c r="E899" s="2" t="str">
        <f>HYPERLINK("http://twitter.com/David_Hashagen")</f>
        <v>http://twitter.com/David_Hashagen</v>
      </c>
      <c r="F899" s="2" t="str">
        <f>HYPERLINK("https://muckrack.com/david-hashagen")</f>
        <v>https://muckrack.com/david-hashagen</v>
      </c>
      <c r="G899" s="2">
        <v>85</v>
      </c>
      <c r="H899" s="2"/>
      <c r="I899" s="2" t="s">
        <v>3953</v>
      </c>
      <c r="J899" s="2" t="s">
        <v>3954</v>
      </c>
      <c r="K899" s="2" t="s">
        <v>3955</v>
      </c>
      <c r="L899" s="2" t="s">
        <v>3956</v>
      </c>
      <c r="M899" s="5">
        <v>45400.940185185187</v>
      </c>
      <c r="N899" s="2" t="str">
        <f>HYPERLINK("http://twitter.com/David_Hashagen/status/1781149184877318626")</f>
        <v>http://twitter.com/David_Hashagen/status/1781149184877318626</v>
      </c>
      <c r="O899" s="2" t="str">
        <f>HYPERLINK("https://www.ussoccer.com/stories/2024/04/2024-us-open-cup-round-of-32-draw-result-schedule-matches-may-7-8")</f>
        <v>https://www.ussoccer.com/stories/2024/04/2024-us-open-cup-round-of-32-draw-result-schedule-matches-may-7-8</v>
      </c>
    </row>
    <row r="900" spans="1:15" ht="52.8" x14ac:dyDescent="0.3">
      <c r="A900" s="2" t="s">
        <v>1464</v>
      </c>
      <c r="B900" s="2" t="s">
        <v>2363</v>
      </c>
      <c r="C900" s="2"/>
      <c r="D900" s="2" t="s">
        <v>3624</v>
      </c>
      <c r="E900" s="2" t="str">
        <f>HYPERLINK("http://twitter.com/cesarhfutbol")</f>
        <v>http://twitter.com/cesarhfutbol</v>
      </c>
      <c r="F900" s="2" t="str">
        <f>HYPERLINK("https://muckrack.com/cesar-hernandez-1")</f>
        <v>https://muckrack.com/cesar-hernandez-1</v>
      </c>
      <c r="G900" s="2">
        <v>11656</v>
      </c>
      <c r="H900" s="2" t="s">
        <v>3625</v>
      </c>
      <c r="I900" s="2" t="s">
        <v>3626</v>
      </c>
      <c r="J900" s="2" t="s">
        <v>2529</v>
      </c>
      <c r="K900" s="2" t="s">
        <v>209</v>
      </c>
      <c r="L900" s="2" t="s">
        <v>3957</v>
      </c>
      <c r="M900" s="5">
        <v>45400.669629629629</v>
      </c>
      <c r="N900" s="2" t="str">
        <f>HYPERLINK("http://twitter.com/cesarhfutbol/status/1781051138248466843")</f>
        <v>http://twitter.com/cesarhfutbol/status/1781051138248466843</v>
      </c>
      <c r="O900" s="2" t="str">
        <f>HYPERLINK("https://www.uslchampionship.com/news_article/show/1307440")</f>
        <v>https://www.uslchampionship.com/news_article/show/1307440</v>
      </c>
    </row>
    <row r="901" spans="1:15" ht="52.8" x14ac:dyDescent="0.3">
      <c r="A901" s="2" t="s">
        <v>3487</v>
      </c>
      <c r="B901" s="2" t="s">
        <v>3488</v>
      </c>
      <c r="C901" s="2" t="s">
        <v>3489</v>
      </c>
      <c r="D901" s="2" t="s">
        <v>3490</v>
      </c>
      <c r="E901" s="2" t="str">
        <f>HYPERLINK("http://twitter.com/TomLeiss")</f>
        <v>http://twitter.com/TomLeiss</v>
      </c>
      <c r="F901" s="2" t="str">
        <f>HYPERLINK("https://muckrack.com/tom-leiss")</f>
        <v>https://muckrack.com/tom-leiss</v>
      </c>
      <c r="G901" s="2">
        <v>1039</v>
      </c>
      <c r="H901" s="2" t="s">
        <v>3491</v>
      </c>
      <c r="I901" s="2" t="s">
        <v>3492</v>
      </c>
      <c r="J901" s="2" t="s">
        <v>1929</v>
      </c>
      <c r="K901" s="2" t="s">
        <v>3493</v>
      </c>
      <c r="L901" s="2" t="s">
        <v>3957</v>
      </c>
      <c r="M901" s="5">
        <v>45401.001701388886</v>
      </c>
      <c r="N901" s="2" t="str">
        <f>HYPERLINK("http://twitter.com/TomLeiss/status/1781171478794227863")</f>
        <v>http://twitter.com/TomLeiss/status/1781171478794227863</v>
      </c>
      <c r="O901" s="2" t="str">
        <f>HYPERLINK("https://www.uslchampionship.com/news_article/show/1307440")</f>
        <v>https://www.uslchampionship.com/news_article/show/1307440</v>
      </c>
    </row>
    <row r="902" spans="1:15" ht="79.2" x14ac:dyDescent="0.3">
      <c r="A902" s="2" t="s">
        <v>1656</v>
      </c>
      <c r="B902" s="2" t="s">
        <v>3415</v>
      </c>
      <c r="C902" s="2" t="s">
        <v>3416</v>
      </c>
      <c r="D902" s="2" t="s">
        <v>3417</v>
      </c>
      <c r="E902" s="2" t="str">
        <f>HYPERLINK("http://twitter.com/kkfla737")</f>
        <v>http://twitter.com/kkfla737</v>
      </c>
      <c r="F902" s="2" t="str">
        <f>HYPERLINK("https://muckrack.com/kartik-krishnaiyer")</f>
        <v>https://muckrack.com/kartik-krishnaiyer</v>
      </c>
      <c r="G902" s="2">
        <v>8469</v>
      </c>
      <c r="H902" s="2" t="s">
        <v>3418</v>
      </c>
      <c r="I902" s="2" t="s">
        <v>3419</v>
      </c>
      <c r="J902" s="2" t="s">
        <v>2033</v>
      </c>
      <c r="K902" s="2" t="s">
        <v>3420</v>
      </c>
      <c r="L902" s="2" t="s">
        <v>3958</v>
      </c>
      <c r="M902" s="5">
        <v>45400.386608796303</v>
      </c>
      <c r="N902" s="2" t="str">
        <f>HYPERLINK("http://twitter.com/kkfla737/status/1780948574391476436")</f>
        <v>http://twitter.com/kkfla737/status/1780948574391476436</v>
      </c>
      <c r="O902" s="2" t="str">
        <f>HYPERLINK("https://beyondthe90.substack.com/p/a-wild-and-wacky-us-open-cup-third?triedRedirect=true")</f>
        <v>https://beyondthe90.substack.com/p/a-wild-and-wacky-us-open-cup-third?triedRedirect=true</v>
      </c>
    </row>
    <row r="903" spans="1:15" ht="39.6" x14ac:dyDescent="0.3">
      <c r="A903" s="2" t="s">
        <v>2102</v>
      </c>
      <c r="B903" s="2" t="s">
        <v>2103</v>
      </c>
      <c r="C903" s="2" t="s">
        <v>2104</v>
      </c>
      <c r="D903" s="2" t="s">
        <v>2105</v>
      </c>
      <c r="E903" s="2" t="str">
        <f>HYPERLINK("http://twitter.com/HolyCitySinner")</f>
        <v>http://twitter.com/HolyCitySinner</v>
      </c>
      <c r="F903" s="2" t="str">
        <f>HYPERLINK("https://muckrack.com/christian-senger")</f>
        <v>https://muckrack.com/christian-senger</v>
      </c>
      <c r="G903" s="2">
        <v>61543</v>
      </c>
      <c r="H903" s="2" t="s">
        <v>2106</v>
      </c>
      <c r="I903" s="2" t="s">
        <v>2107</v>
      </c>
      <c r="J903" s="2" t="s">
        <v>2108</v>
      </c>
      <c r="K903" s="2" t="s">
        <v>2109</v>
      </c>
      <c r="L903" s="2" t="s">
        <v>3959</v>
      </c>
      <c r="M903" s="5">
        <v>45398.946909722217</v>
      </c>
      <c r="N903" s="2" t="str">
        <f>HYPERLINK("http://twitter.com/HolyCitySinner/status/1780426847097942252")</f>
        <v>http://twitter.com/HolyCitySinner/status/1780426847097942252</v>
      </c>
      <c r="O903" s="2" t="str">
        <f>HYPERLINK("http://holycitysinner.com/sports/charleston-battery-s-markanich-named-week-6-player-of-the-we/")</f>
        <v>http://holycitysinner.com/sports/charleston-battery-s-markanich-named-week-6-player-of-the-we/</v>
      </c>
    </row>
    <row r="904" spans="1:15" ht="39.6" x14ac:dyDescent="0.3">
      <c r="A904" s="2" t="s">
        <v>2102</v>
      </c>
      <c r="B904" s="2" t="s">
        <v>2103</v>
      </c>
      <c r="C904" s="2" t="s">
        <v>2104</v>
      </c>
      <c r="D904" s="2" t="s">
        <v>2105</v>
      </c>
      <c r="E904" s="2" t="str">
        <f>HYPERLINK("http://twitter.com/HolyCitySinner")</f>
        <v>http://twitter.com/HolyCitySinner</v>
      </c>
      <c r="F904" s="2" t="str">
        <f>HYPERLINK("https://muckrack.com/christian-senger")</f>
        <v>https://muckrack.com/christian-senger</v>
      </c>
      <c r="G904" s="2">
        <v>61543</v>
      </c>
      <c r="H904" s="2" t="s">
        <v>2106</v>
      </c>
      <c r="I904" s="2" t="s">
        <v>2107</v>
      </c>
      <c r="J904" s="2" t="s">
        <v>2108</v>
      </c>
      <c r="K904" s="2" t="s">
        <v>2109</v>
      </c>
      <c r="L904" s="2" t="s">
        <v>3960</v>
      </c>
      <c r="M904" s="5">
        <v>45399.622916666667</v>
      </c>
      <c r="N904" s="2" t="str">
        <f>HYPERLINK("http://twitter.com/HolyCitySinner/status/1780671821500563514")</f>
        <v>http://twitter.com/HolyCitySinner/status/1780671821500563514</v>
      </c>
      <c r="O904" s="2" t="str">
        <f>HYPERLINK("http://holycitysinner.com/sports/charleston-battery-s-markanich-named-week-6-player-of-the-we/")</f>
        <v>http://holycitysinner.com/sports/charleston-battery-s-markanich-named-week-6-player-of-the-we/</v>
      </c>
    </row>
    <row r="905" spans="1:15" ht="39.6" x14ac:dyDescent="0.3">
      <c r="A905" s="2" t="s">
        <v>2102</v>
      </c>
      <c r="B905" s="2" t="s">
        <v>2103</v>
      </c>
      <c r="C905" s="2" t="s">
        <v>2104</v>
      </c>
      <c r="D905" s="2" t="s">
        <v>2105</v>
      </c>
      <c r="E905" s="2" t="str">
        <f>HYPERLINK("http://twitter.com/HolyCitySinner")</f>
        <v>http://twitter.com/HolyCitySinner</v>
      </c>
      <c r="F905" s="2" t="str">
        <f>HYPERLINK("https://muckrack.com/christian-senger")</f>
        <v>https://muckrack.com/christian-senger</v>
      </c>
      <c r="G905" s="2">
        <v>61543</v>
      </c>
      <c r="H905" s="2" t="s">
        <v>2106</v>
      </c>
      <c r="I905" s="2" t="s">
        <v>2107</v>
      </c>
      <c r="J905" s="2" t="s">
        <v>2108</v>
      </c>
      <c r="K905" s="2" t="s">
        <v>2109</v>
      </c>
      <c r="L905" s="2" t="s">
        <v>3961</v>
      </c>
      <c r="M905" s="5">
        <v>45396.811111111107</v>
      </c>
      <c r="N905" s="2" t="str">
        <f>HYPERLINK("http://twitter.com/HolyCitySinner/status/1779652857299341489")</f>
        <v>http://twitter.com/HolyCitySinner/status/1779652857299341489</v>
      </c>
      <c r="O905" s="2" t="str">
        <f>HYPERLINK("http://holycitysinner.com/sports/battery-battle-back-for-2-4-victory-over-indy-ycaza-markanic/")</f>
        <v>http://holycitysinner.com/sports/battery-battle-back-for-2-4-victory-over-indy-ycaza-markanic/</v>
      </c>
    </row>
    <row r="906" spans="1:15" ht="39.6" x14ac:dyDescent="0.3">
      <c r="A906" s="2" t="s">
        <v>2102</v>
      </c>
      <c r="B906" s="2" t="s">
        <v>2103</v>
      </c>
      <c r="C906" s="2" t="s">
        <v>2104</v>
      </c>
      <c r="D906" s="2" t="s">
        <v>2105</v>
      </c>
      <c r="E906" s="2" t="str">
        <f>HYPERLINK("http://twitter.com/HolyCitySinner")</f>
        <v>http://twitter.com/HolyCitySinner</v>
      </c>
      <c r="F906" s="2" t="str">
        <f>HYPERLINK("https://muckrack.com/christian-senger")</f>
        <v>https://muckrack.com/christian-senger</v>
      </c>
      <c r="G906" s="2">
        <v>61543</v>
      </c>
      <c r="H906" s="2" t="s">
        <v>2106</v>
      </c>
      <c r="I906" s="2" t="s">
        <v>2107</v>
      </c>
      <c r="J906" s="2" t="s">
        <v>2108</v>
      </c>
      <c r="K906" s="2" t="s">
        <v>2109</v>
      </c>
      <c r="L906" s="2" t="s">
        <v>3962</v>
      </c>
      <c r="M906" s="5">
        <v>45397.397916666669</v>
      </c>
      <c r="N906" s="2" t="str">
        <f>HYPERLINK("http://twitter.com/HolyCitySinner/status/1779865509195882859")</f>
        <v>http://twitter.com/HolyCitySinner/status/1779865509195882859</v>
      </c>
      <c r="O906" s="2" t="str">
        <f>HYPERLINK("http://holycitysinner.com/sports/battery-battle-back-for-2-4-victory-over-indy-ycaza-markanic/")</f>
        <v>http://holycitysinner.com/sports/battery-battle-back-for-2-4-victory-over-indy-ycaza-markanic/</v>
      </c>
    </row>
    <row r="907" spans="1:15" ht="52.8" x14ac:dyDescent="0.3">
      <c r="A907" s="2" t="s">
        <v>654</v>
      </c>
      <c r="B907" s="2" t="s">
        <v>2482</v>
      </c>
      <c r="C907" s="2"/>
      <c r="D907" s="2" t="s">
        <v>2483</v>
      </c>
      <c r="E907" s="2" t="str">
        <f>HYPERLINK("http://twitter.com/ldock93")</f>
        <v>http://twitter.com/ldock93</v>
      </c>
      <c r="F907" s="2" t="str">
        <f>HYPERLINK("https://muckrack.com/lawrence-dockery")</f>
        <v>https://muckrack.com/lawrence-dockery</v>
      </c>
      <c r="G907" s="2">
        <v>1147</v>
      </c>
      <c r="H907" s="2" t="s">
        <v>2484</v>
      </c>
      <c r="I907" s="2" t="s">
        <v>2485</v>
      </c>
      <c r="J907" s="2" t="s">
        <v>2033</v>
      </c>
      <c r="K907" s="2" t="s">
        <v>2486</v>
      </c>
      <c r="L907" s="2" t="s">
        <v>3963</v>
      </c>
      <c r="M907" s="5">
        <v>45395.423391203702</v>
      </c>
      <c r="N907" s="2" t="str">
        <f>HYPERLINK("http://twitter.com/ldock93/status/1779149964804821114")</f>
        <v>http://twitter.com/ldock93/status/1779149964804821114</v>
      </c>
      <c r="O907" s="2" t="str">
        <f>HYPERLINK("https://bluffcitymedia.co/memphis-901-fc-loudoun-united-preview/")</f>
        <v>https://bluffcitymedia.co/memphis-901-fc-loudoun-united-preview/</v>
      </c>
    </row>
    <row r="908" spans="1:15" ht="52.8" x14ac:dyDescent="0.3">
      <c r="A908" s="2" t="s">
        <v>654</v>
      </c>
      <c r="B908" s="2" t="s">
        <v>2482</v>
      </c>
      <c r="C908" s="2"/>
      <c r="D908" s="2" t="s">
        <v>2483</v>
      </c>
      <c r="E908" s="2" t="str">
        <f>HYPERLINK("http://twitter.com/ldock93")</f>
        <v>http://twitter.com/ldock93</v>
      </c>
      <c r="F908" s="2" t="str">
        <f>HYPERLINK("https://muckrack.com/lawrence-dockery")</f>
        <v>https://muckrack.com/lawrence-dockery</v>
      </c>
      <c r="G908" s="2">
        <v>1147</v>
      </c>
      <c r="H908" s="2" t="s">
        <v>2484</v>
      </c>
      <c r="I908" s="2" t="s">
        <v>2485</v>
      </c>
      <c r="J908" s="2" t="s">
        <v>2033</v>
      </c>
      <c r="K908" s="2" t="s">
        <v>2486</v>
      </c>
      <c r="L908" s="2" t="s">
        <v>3964</v>
      </c>
      <c r="M908" s="5">
        <v>45395.425150462957</v>
      </c>
      <c r="N908" s="2" t="str">
        <f>HYPERLINK("http://twitter.com/ldock93/status/1779150601642766501")</f>
        <v>http://twitter.com/ldock93/status/1779150601642766501</v>
      </c>
      <c r="O908" s="2" t="str">
        <f>HYPERLINK("https://bluffcitymedia.co/memphis-901-fc-loudoun-united-preview/")</f>
        <v>https://bluffcitymedia.co/memphis-901-fc-loudoun-united-preview/</v>
      </c>
    </row>
    <row r="909" spans="1:15" ht="66" x14ac:dyDescent="0.3">
      <c r="A909" s="2" t="s">
        <v>3965</v>
      </c>
      <c r="B909" s="2" t="s">
        <v>3966</v>
      </c>
      <c r="C909" s="2" t="s">
        <v>3967</v>
      </c>
      <c r="D909" s="2" t="s">
        <v>3968</v>
      </c>
      <c r="E909" s="2" t="str">
        <f>HYPERLINK("http://twitter.com/KarthikV_")</f>
        <v>http://twitter.com/KarthikV_</v>
      </c>
      <c r="F909" s="2" t="str">
        <f>HYPERLINK("https://muckrack.com/karthik-venkataraman")</f>
        <v>https://muckrack.com/karthik-venkataraman</v>
      </c>
      <c r="G909" s="2">
        <v>3435</v>
      </c>
      <c r="H909" s="2" t="s">
        <v>3969</v>
      </c>
      <c r="I909" s="2" t="s">
        <v>3970</v>
      </c>
      <c r="J909" s="2" t="s">
        <v>3971</v>
      </c>
      <c r="K909" s="2" t="s">
        <v>3972</v>
      </c>
      <c r="L909" s="2" t="s">
        <v>3973</v>
      </c>
      <c r="M909" s="5">
        <v>45395.835532407407</v>
      </c>
      <c r="N909" s="2" t="str">
        <f>HYPERLINK("http://twitter.com/KarthikV_/status/1779299318886711342")</f>
        <v>http://twitter.com/KarthikV_/status/1779299318886711342</v>
      </c>
      <c r="O909" s="2" t="str">
        <f>HYPERLINK("https://www.espn.com/watch/player/_/id/d40b115e-3bb9-4219-8a78-4ba5b72742ea")</f>
        <v>https://www.espn.com/watch/player/_/id/d40b115e-3bb9-4219-8a78-4ba5b72742ea</v>
      </c>
    </row>
    <row r="910" spans="1:15" ht="79.2" x14ac:dyDescent="0.3">
      <c r="A910" s="2" t="s">
        <v>3974</v>
      </c>
      <c r="B910" s="2" t="s">
        <v>2172</v>
      </c>
      <c r="C910" s="2" t="s">
        <v>3975</v>
      </c>
      <c r="D910" s="2" t="s">
        <v>3976</v>
      </c>
      <c r="E910" s="2" t="str">
        <f>HYPERLINK("http://twitter.com/bybryanramos")</f>
        <v>http://twitter.com/bybryanramos</v>
      </c>
      <c r="F910" s="2" t="str">
        <f>HYPERLINK("https://muckrack.com/bryan-ramos")</f>
        <v>https://muckrack.com/bryan-ramos</v>
      </c>
      <c r="G910" s="2">
        <v>2843</v>
      </c>
      <c r="H910" s="2" t="s">
        <v>3977</v>
      </c>
      <c r="I910" s="2" t="s">
        <v>3978</v>
      </c>
      <c r="J910" s="2" t="s">
        <v>1929</v>
      </c>
      <c r="K910" s="2" t="s">
        <v>3979</v>
      </c>
      <c r="L910" s="2" t="s">
        <v>3980</v>
      </c>
      <c r="M910" s="5">
        <v>45395.814189814817</v>
      </c>
      <c r="N910" s="2" t="str">
        <f>HYPERLINK("http://twitter.com/bybryanramos/status/1779291586234388978")</f>
        <v>http://twitter.com/bybryanramos/status/1779291586234388978</v>
      </c>
      <c r="O910" s="2" t="str">
        <f>HYPERLINK("https://www.espn.com/espnplus/player/_/id/c038d17a-25ab-44a5-8019-e009182fb69d")</f>
        <v>https://www.espn.com/espnplus/player/_/id/c038d17a-25ab-44a5-8019-e009182fb69d</v>
      </c>
    </row>
    <row r="911" spans="1:15" ht="79.2" x14ac:dyDescent="0.3">
      <c r="A911" s="2" t="s">
        <v>3974</v>
      </c>
      <c r="B911" s="2" t="s">
        <v>2172</v>
      </c>
      <c r="C911" s="2" t="s">
        <v>3975</v>
      </c>
      <c r="D911" s="2" t="s">
        <v>3976</v>
      </c>
      <c r="E911" s="2" t="str">
        <f>HYPERLINK("http://twitter.com/bybryanramos")</f>
        <v>http://twitter.com/bybryanramos</v>
      </c>
      <c r="F911" s="2" t="str">
        <f>HYPERLINK("https://muckrack.com/bryan-ramos")</f>
        <v>https://muckrack.com/bryan-ramos</v>
      </c>
      <c r="G911" s="2">
        <v>2843</v>
      </c>
      <c r="H911" s="2" t="s">
        <v>3977</v>
      </c>
      <c r="I911" s="2" t="s">
        <v>3978</v>
      </c>
      <c r="J911" s="2" t="s">
        <v>1929</v>
      </c>
      <c r="K911" s="2" t="s">
        <v>3979</v>
      </c>
      <c r="L911" s="2" t="s">
        <v>3981</v>
      </c>
      <c r="M911" s="5">
        <v>45395.83222222222</v>
      </c>
      <c r="N911" s="2" t="str">
        <f>HYPERLINK("http://twitter.com/bybryanramos/status/1779298119135473888")</f>
        <v>http://twitter.com/bybryanramos/status/1779298119135473888</v>
      </c>
      <c r="O911" s="2" t="str">
        <f>HYPERLINK("https://www.espn.com/espnplus/player/_/id/c038d17a-25ab-44a5-8019-e009182fb69d")</f>
        <v>https://www.espn.com/espnplus/player/_/id/c038d17a-25ab-44a5-8019-e009182fb69d</v>
      </c>
    </row>
    <row r="912" spans="1:15" ht="92.4" x14ac:dyDescent="0.3">
      <c r="A912" s="2" t="s">
        <v>3974</v>
      </c>
      <c r="B912" s="2" t="s">
        <v>2172</v>
      </c>
      <c r="C912" s="2" t="s">
        <v>3975</v>
      </c>
      <c r="D912" s="2" t="s">
        <v>3976</v>
      </c>
      <c r="E912" s="2" t="str">
        <f>HYPERLINK("http://twitter.com/bybryanramos")</f>
        <v>http://twitter.com/bybryanramos</v>
      </c>
      <c r="F912" s="2" t="str">
        <f>HYPERLINK("https://muckrack.com/bryan-ramos")</f>
        <v>https://muckrack.com/bryan-ramos</v>
      </c>
      <c r="G912" s="2">
        <v>2843</v>
      </c>
      <c r="H912" s="2" t="s">
        <v>3977</v>
      </c>
      <c r="I912" s="2" t="s">
        <v>3978</v>
      </c>
      <c r="J912" s="2" t="s">
        <v>1929</v>
      </c>
      <c r="K912" s="2" t="s">
        <v>3979</v>
      </c>
      <c r="L912" s="2" t="s">
        <v>3982</v>
      </c>
      <c r="M912" s="5">
        <v>45395.914895833332</v>
      </c>
      <c r="N912" s="2" t="str">
        <f>HYPERLINK("http://twitter.com/bybryanramos/status/1779328082932855234")</f>
        <v>http://twitter.com/bybryanramos/status/1779328082932855234</v>
      </c>
      <c r="O912" s="2" t="str">
        <f>HYPERLINK("https://www.espn.com/espnplus/player/_/id/c038d17a-25ab-44a5-8019-e009182fb69d")</f>
        <v>https://www.espn.com/espnplus/player/_/id/c038d17a-25ab-44a5-8019-e009182fb69d</v>
      </c>
    </row>
    <row r="913" spans="1:15" ht="52.8" x14ac:dyDescent="0.3">
      <c r="A913" s="2" t="s">
        <v>3983</v>
      </c>
      <c r="B913" s="2" t="s">
        <v>3984</v>
      </c>
      <c r="C913" s="2" t="s">
        <v>3985</v>
      </c>
      <c r="D913" s="2" t="s">
        <v>3986</v>
      </c>
      <c r="E913" s="2" t="str">
        <f>HYPERLINK("http://twitter.com/elliottbaseball")</f>
        <v>http://twitter.com/elliottbaseball</v>
      </c>
      <c r="F913" s="2" t="str">
        <f>HYPERLINK("https://muckrack.com/elliottbaseball")</f>
        <v>https://muckrack.com/elliottbaseball</v>
      </c>
      <c r="G913" s="2">
        <v>24282</v>
      </c>
      <c r="H913" s="2" t="s">
        <v>2230</v>
      </c>
      <c r="I913" s="2" t="s">
        <v>3987</v>
      </c>
      <c r="J913" s="2" t="s">
        <v>3988</v>
      </c>
      <c r="K913" s="2" t="s">
        <v>3989</v>
      </c>
      <c r="L913" s="2" t="s">
        <v>3990</v>
      </c>
      <c r="M913" s="5">
        <v>45395.882800925923</v>
      </c>
      <c r="N913" s="2" t="str">
        <f>HYPERLINK("http://twitter.com/elliottbaseball/status/1779316451800646001")</f>
        <v>http://twitter.com/elliottbaseball/status/1779316451800646001</v>
      </c>
      <c r="O913" s="2" t="str">
        <f>HYPERLINK("https://www.espn.com/espnplus/player/_/id/485d629a-e088-4630-986b-1abfb030d92d")</f>
        <v>https://www.espn.com/espnplus/player/_/id/485d629a-e088-4630-986b-1abfb030d92d</v>
      </c>
    </row>
    <row r="914" spans="1:15" ht="52.8" x14ac:dyDescent="0.3">
      <c r="A914" s="2" t="s">
        <v>1656</v>
      </c>
      <c r="B914" s="2" t="s">
        <v>3415</v>
      </c>
      <c r="C914" s="2" t="s">
        <v>3416</v>
      </c>
      <c r="D914" s="2" t="s">
        <v>3417</v>
      </c>
      <c r="E914" s="2" t="str">
        <f>HYPERLINK("http://twitter.com/kkfla737")</f>
        <v>http://twitter.com/kkfla737</v>
      </c>
      <c r="F914" s="2" t="str">
        <f>HYPERLINK("https://muckrack.com/kartik-krishnaiyer")</f>
        <v>https://muckrack.com/kartik-krishnaiyer</v>
      </c>
      <c r="G914" s="2">
        <v>8469</v>
      </c>
      <c r="H914" s="2" t="s">
        <v>3418</v>
      </c>
      <c r="I914" s="2" t="s">
        <v>3419</v>
      </c>
      <c r="J914" s="2" t="s">
        <v>2033</v>
      </c>
      <c r="K914" s="2" t="s">
        <v>3420</v>
      </c>
      <c r="L914" s="2" t="s">
        <v>3991</v>
      </c>
      <c r="M914" s="5">
        <v>45393.635162037041</v>
      </c>
      <c r="N914" s="2" t="str">
        <f>HYPERLINK("http://twitter.com/kkfla737/status/1778501935168893029")</f>
        <v>http://twitter.com/kkfla737/status/1778501935168893029</v>
      </c>
      <c r="O914" s="2" t="str">
        <f>HYPERLINK("https://beyondthe90.substack.com/p/breaking-news-miami-fc-shuffles-roster?triedRedirect=true")</f>
        <v>https://beyondthe90.substack.com/p/breaking-news-miami-fc-shuffles-roster?triedRedirect=true</v>
      </c>
    </row>
    <row r="915" spans="1:15" ht="66" x14ac:dyDescent="0.3">
      <c r="A915" s="2" t="s">
        <v>1662</v>
      </c>
      <c r="B915" s="2" t="s">
        <v>1910</v>
      </c>
      <c r="C915" s="2" t="s">
        <v>3992</v>
      </c>
      <c r="D915" s="2" t="s">
        <v>3993</v>
      </c>
      <c r="E915" s="2" t="str">
        <f>HYPERLINK("http://twitter.com/TheJonahDylan")</f>
        <v>http://twitter.com/TheJonahDylan</v>
      </c>
      <c r="F915" s="2" t="str">
        <f>HYPERLINK("https://muckrack.com/jonah-dylan")</f>
        <v>https://muckrack.com/jonah-dylan</v>
      </c>
      <c r="G915" s="2">
        <v>3323</v>
      </c>
      <c r="H915" s="2" t="s">
        <v>3994</v>
      </c>
      <c r="I915" s="2" t="s">
        <v>3995</v>
      </c>
      <c r="J915" s="2" t="s">
        <v>2033</v>
      </c>
      <c r="K915" s="2" t="s">
        <v>1663</v>
      </c>
      <c r="L915" s="2" t="s">
        <v>3996</v>
      </c>
      <c r="M915" s="5">
        <v>45393.441192129627</v>
      </c>
      <c r="N915" s="2" t="str">
        <f>HYPERLINK("http://twitter.com/TheJonahDylan/status/1778431642475872729")</f>
        <v>http://twitter.com/TheJonahDylan/status/1778431642475872729</v>
      </c>
      <c r="O915" s="2" t="str">
        <f>HYPERLINK("https://www.commercialappeal.com/story/sports/2024/04/11/memphis-901-fc-stadium-usl-championship-autozone-park-funding-memphis-grizzlies/72718995007/")</f>
        <v>https://www.commercialappeal.com/story/sports/2024/04/11/memphis-901-fc-stadium-usl-championship-autozone-park-funding-memphis-grizzlies/72718995007/</v>
      </c>
    </row>
    <row r="916" spans="1:15" ht="66" x14ac:dyDescent="0.3">
      <c r="A916" s="2" t="s">
        <v>1656</v>
      </c>
      <c r="B916" s="2" t="s">
        <v>3415</v>
      </c>
      <c r="C916" s="2" t="s">
        <v>3416</v>
      </c>
      <c r="D916" s="2" t="s">
        <v>3417</v>
      </c>
      <c r="E916" s="2" t="str">
        <f>HYPERLINK("http://twitter.com/kkfla737")</f>
        <v>http://twitter.com/kkfla737</v>
      </c>
      <c r="F916" s="2" t="str">
        <f>HYPERLINK("https://muckrack.com/kartik-krishnaiyer")</f>
        <v>https://muckrack.com/kartik-krishnaiyer</v>
      </c>
      <c r="G916" s="2">
        <v>8469</v>
      </c>
      <c r="H916" s="2" t="s">
        <v>3418</v>
      </c>
      <c r="I916" s="2" t="s">
        <v>3419</v>
      </c>
      <c r="J916" s="2" t="s">
        <v>2033</v>
      </c>
      <c r="K916" s="2" t="s">
        <v>3420</v>
      </c>
      <c r="L916" s="2" t="s">
        <v>3997</v>
      </c>
      <c r="M916" s="5">
        <v>45393.451921296299</v>
      </c>
      <c r="N916" s="2" t="str">
        <f>HYPERLINK("http://twitter.com/kkfla737/status/1778435529823936656")</f>
        <v>http://twitter.com/kkfla737/status/1778435529823936656</v>
      </c>
      <c r="O916" s="2" t="str">
        <f>HYPERLINK("https://www.commercialappeal.com/story/sports/2024/04/11/memphis-901-fc-stadium-usl-championship-autozone-park-funding-memphis-grizzlies/72718995007/")</f>
        <v>https://www.commercialappeal.com/story/sports/2024/04/11/memphis-901-fc-stadium-usl-championship-autozone-park-funding-memphis-grizzlies/72718995007/</v>
      </c>
    </row>
    <row r="917" spans="1:15" ht="66" x14ac:dyDescent="0.3">
      <c r="A917" s="2" t="s">
        <v>3998</v>
      </c>
      <c r="B917" s="2" t="s">
        <v>3999</v>
      </c>
      <c r="C917" s="2" t="s">
        <v>4000</v>
      </c>
      <c r="D917" s="2" t="s">
        <v>4001</v>
      </c>
      <c r="E917" s="2" t="str">
        <f>HYPERLINK("http://twitter.com/munzly")</f>
        <v>http://twitter.com/munzly</v>
      </c>
      <c r="F917" s="2" t="str">
        <f>HYPERLINK("https://muckrack.com/munzly")</f>
        <v>https://muckrack.com/munzly</v>
      </c>
      <c r="G917" s="2">
        <v>19708</v>
      </c>
      <c r="H917" s="2" t="s">
        <v>3994</v>
      </c>
      <c r="I917" s="2" t="s">
        <v>4002</v>
      </c>
      <c r="J917" s="2" t="s">
        <v>2000</v>
      </c>
      <c r="K917" s="2" t="s">
        <v>1663</v>
      </c>
      <c r="L917" s="2" t="s">
        <v>3997</v>
      </c>
      <c r="M917" s="5">
        <v>45393.453634259262</v>
      </c>
      <c r="N917" s="2" t="str">
        <f>HYPERLINK("http://twitter.com/munzly/status/1778436151314927819")</f>
        <v>http://twitter.com/munzly/status/1778436151314927819</v>
      </c>
      <c r="O917" s="2" t="str">
        <f>HYPERLINK("https://www.commercialappeal.com/story/sports/2024/04/11/memphis-901-fc-stadium-usl-championship-autozone-park-funding-memphis-grizzlies/72718995007/")</f>
        <v>https://www.commercialappeal.com/story/sports/2024/04/11/memphis-901-fc-stadium-usl-championship-autozone-park-funding-memphis-grizzlies/72718995007/</v>
      </c>
    </row>
    <row r="918" spans="1:15" ht="105.6" x14ac:dyDescent="0.3">
      <c r="A918" s="2" t="s">
        <v>1651</v>
      </c>
      <c r="B918" s="2" t="s">
        <v>2619</v>
      </c>
      <c r="C918" s="2" t="s">
        <v>2620</v>
      </c>
      <c r="D918" s="2" t="s">
        <v>2621</v>
      </c>
      <c r="E918" s="2" t="str">
        <f>HYPERLINK("http://twitter.com/worldsoccertalk")</f>
        <v>http://twitter.com/worldsoccertalk</v>
      </c>
      <c r="F918" s="2" t="str">
        <f>HYPERLINK("https://muckrack.com/christophermharris")</f>
        <v>https://muckrack.com/christophermharris</v>
      </c>
      <c r="G918" s="2">
        <v>81386</v>
      </c>
      <c r="H918" s="2" t="s">
        <v>2622</v>
      </c>
      <c r="I918" s="2" t="s">
        <v>2623</v>
      </c>
      <c r="J918" s="2" t="s">
        <v>2624</v>
      </c>
      <c r="K918" s="2" t="s">
        <v>2625</v>
      </c>
      <c r="L918" s="2" t="s">
        <v>4003</v>
      </c>
      <c r="M918" s="5">
        <v>45392.76798611111</v>
      </c>
      <c r="N918" s="2" t="str">
        <f>HYPERLINK("http://twitter.com/worldsoccertalk/status/1778187680775610845")</f>
        <v>http://twitter.com/worldsoccertalk/status/1778187680775610845</v>
      </c>
      <c r="O918" s="2" t="str">
        <f>HYPERLINK("https://shows.acast.com/world-soccer-talk-premier-league-mls-champions-league-efl-and-more/episodes/mls-season-pass-pros-and-cons-after-year-one")</f>
        <v>https://shows.acast.com/world-soccer-talk-premier-league-mls-champions-league-efl-and-more/episodes/mls-season-pass-pros-and-cons-after-year-one</v>
      </c>
    </row>
    <row r="919" spans="1:15" ht="66" x14ac:dyDescent="0.3">
      <c r="A919" s="2" t="s">
        <v>1656</v>
      </c>
      <c r="B919" s="2" t="s">
        <v>3415</v>
      </c>
      <c r="C919" s="2" t="s">
        <v>3416</v>
      </c>
      <c r="D919" s="2" t="s">
        <v>3417</v>
      </c>
      <c r="E919" s="2" t="str">
        <f>HYPERLINK("http://twitter.com/kkfla737")</f>
        <v>http://twitter.com/kkfla737</v>
      </c>
      <c r="F919" s="2" t="str">
        <f>HYPERLINK("https://muckrack.com/kartik-krishnaiyer")</f>
        <v>https://muckrack.com/kartik-krishnaiyer</v>
      </c>
      <c r="G919" s="2">
        <v>8469</v>
      </c>
      <c r="H919" s="2" t="s">
        <v>3418</v>
      </c>
      <c r="I919" s="2" t="s">
        <v>3419</v>
      </c>
      <c r="J919" s="2" t="s">
        <v>2033</v>
      </c>
      <c r="K919" s="2" t="s">
        <v>3420</v>
      </c>
      <c r="L919" s="2" t="s">
        <v>4004</v>
      </c>
      <c r="M919" s="5">
        <v>45392.909108796302</v>
      </c>
      <c r="N919" s="2" t="str">
        <f>HYPERLINK("http://twitter.com/kkfla737/status/1778238820451766515")</f>
        <v>http://twitter.com/kkfla737/status/1778238820451766515</v>
      </c>
      <c r="O919" s="2" t="str">
        <f>HYPERLINK("https://shows.acast.com/world-soccer-talk-premier-league-mls-champions-league-efl-and-more/episodes/mls-season-pass-pros-and-cons-after-year-one")</f>
        <v>https://shows.acast.com/world-soccer-talk-premier-league-mls-champions-league-efl-and-more/episodes/mls-season-pass-pros-and-cons-after-year-one</v>
      </c>
    </row>
    <row r="920" spans="1:15" ht="52.8" x14ac:dyDescent="0.3">
      <c r="A920" s="2" t="s">
        <v>4005</v>
      </c>
      <c r="B920" s="2" t="s">
        <v>4006</v>
      </c>
      <c r="C920" s="2" t="s">
        <v>4007</v>
      </c>
      <c r="D920" s="2" t="s">
        <v>4008</v>
      </c>
      <c r="E920" s="2" t="str">
        <f>HYPERLINK("http://twitter.com/Brendan_Dunlop")</f>
        <v>http://twitter.com/Brendan_Dunlop</v>
      </c>
      <c r="F920" s="2" t="str">
        <f>HYPERLINK("https://muckrack.com/brendan-dunlop")</f>
        <v>https://muckrack.com/brendan-dunlop</v>
      </c>
      <c r="G920" s="2">
        <v>9807</v>
      </c>
      <c r="H920" s="2" t="s">
        <v>4009</v>
      </c>
      <c r="I920" s="2" t="s">
        <v>4010</v>
      </c>
      <c r="J920" s="2" t="s">
        <v>2698</v>
      </c>
      <c r="K920" s="2" t="s">
        <v>778</v>
      </c>
      <c r="L920" s="2" t="s">
        <v>4011</v>
      </c>
      <c r="M920" s="5">
        <v>45392.729247685187</v>
      </c>
      <c r="N920" s="2" t="str">
        <f>HYPERLINK("http://twitter.com/Brendan_Dunlop/status/1778173640317579418")</f>
        <v>http://twitter.com/Brendan_Dunlop/status/1778173640317579418</v>
      </c>
      <c r="O920" s="2" t="str">
        <f>HYPERLINK("https://wakingthered.com/2024/04/10/15215/toronto-fc-icon-danny-dichio-wins-coach-of-the-month-honours-in-first-season-as-detroit-city-fc-gaffer/")</f>
        <v>https://wakingthered.com/2024/04/10/15215/toronto-fc-icon-danny-dichio-wins-coach-of-the-month-honours-in-first-season-as-detroit-city-fc-gaffer/</v>
      </c>
    </row>
    <row r="921" spans="1:15" ht="105.6" x14ac:dyDescent="0.3">
      <c r="A921" s="2" t="s">
        <v>1651</v>
      </c>
      <c r="B921" s="2" t="s">
        <v>2619</v>
      </c>
      <c r="C921" s="2" t="s">
        <v>2620</v>
      </c>
      <c r="D921" s="2" t="s">
        <v>2621</v>
      </c>
      <c r="E921" s="2" t="str">
        <f>HYPERLINK("http://twitter.com/worldsoccertalk")</f>
        <v>http://twitter.com/worldsoccertalk</v>
      </c>
      <c r="F921" s="2" t="str">
        <f>HYPERLINK("https://muckrack.com/christophermharris")</f>
        <v>https://muckrack.com/christophermharris</v>
      </c>
      <c r="G921" s="2">
        <v>81386</v>
      </c>
      <c r="H921" s="2" t="s">
        <v>2622</v>
      </c>
      <c r="I921" s="2" t="s">
        <v>2623</v>
      </c>
      <c r="J921" s="2" t="s">
        <v>2624</v>
      </c>
      <c r="K921" s="2" t="s">
        <v>2625</v>
      </c>
      <c r="L921" s="2" t="s">
        <v>4012</v>
      </c>
      <c r="M921" s="5">
        <v>45392.292638888888</v>
      </c>
      <c r="N921" s="2" t="str">
        <f>HYPERLINK("http://twitter.com/worldsoccertalk/status/1778015419812487657")</f>
        <v>http://twitter.com/worldsoccertalk/status/1778015419812487657</v>
      </c>
      <c r="O921" s="2" t="str">
        <f>HYPERLINK("https://worldsoccertalk.com/tv/usl-championship-beats-mls-in-national-tv-audience")</f>
        <v>https://worldsoccertalk.com/tv/usl-championship-beats-mls-in-national-tv-audience</v>
      </c>
    </row>
    <row r="922" spans="1:15" ht="105.6" x14ac:dyDescent="0.3">
      <c r="A922" s="2" t="s">
        <v>1651</v>
      </c>
      <c r="B922" s="2" t="s">
        <v>2619</v>
      </c>
      <c r="C922" s="2" t="s">
        <v>2620</v>
      </c>
      <c r="D922" s="2" t="s">
        <v>2621</v>
      </c>
      <c r="E922" s="2" t="str">
        <f>HYPERLINK("http://twitter.com/worldsoccertalk")</f>
        <v>http://twitter.com/worldsoccertalk</v>
      </c>
      <c r="F922" s="2" t="str">
        <f>HYPERLINK("https://muckrack.com/christophermharris")</f>
        <v>https://muckrack.com/christophermharris</v>
      </c>
      <c r="G922" s="2">
        <v>81386</v>
      </c>
      <c r="H922" s="2" t="s">
        <v>2622</v>
      </c>
      <c r="I922" s="2" t="s">
        <v>2623</v>
      </c>
      <c r="J922" s="2" t="s">
        <v>2624</v>
      </c>
      <c r="K922" s="2" t="s">
        <v>2625</v>
      </c>
      <c r="L922" s="2" t="s">
        <v>4013</v>
      </c>
      <c r="M922" s="5">
        <v>45392.409594907411</v>
      </c>
      <c r="N922" s="2" t="str">
        <f>HYPERLINK("http://twitter.com/worldsoccertalk/status/1778057801530593344")</f>
        <v>http://twitter.com/worldsoccertalk/status/1778057801530593344</v>
      </c>
      <c r="O922" s="2" t="str">
        <f>HYPERLINK("https://worldsoccertalk.com/tv/usl-championship-beats-mls-in-national-tv-audience")</f>
        <v>https://worldsoccertalk.com/tv/usl-championship-beats-mls-in-national-tv-audience</v>
      </c>
    </row>
    <row r="923" spans="1:15" ht="39.6" x14ac:dyDescent="0.3">
      <c r="A923" s="2" t="s">
        <v>1671</v>
      </c>
      <c r="B923" s="2" t="s">
        <v>2289</v>
      </c>
      <c r="C923" s="2" t="s">
        <v>4014</v>
      </c>
      <c r="D923" s="2" t="s">
        <v>4015</v>
      </c>
      <c r="E923" s="2" t="str">
        <f t="shared" ref="E923:E930" si="37">HYPERLINK("http://twitter.com/JDNalton")</f>
        <v>http://twitter.com/JDNalton</v>
      </c>
      <c r="F923" s="2" t="str">
        <f t="shared" ref="F923:F930" si="38">HYPERLINK("https://muckrack.com/james-nalton")</f>
        <v>https://muckrack.com/james-nalton</v>
      </c>
      <c r="G923" s="2">
        <v>17681</v>
      </c>
      <c r="H923" s="2" t="s">
        <v>4016</v>
      </c>
      <c r="I923" s="2" t="s">
        <v>4017</v>
      </c>
      <c r="J923" s="2" t="s">
        <v>2033</v>
      </c>
      <c r="K923" s="2" t="s">
        <v>2034</v>
      </c>
      <c r="L923" s="2" t="s">
        <v>4018</v>
      </c>
      <c r="M923" s="5">
        <v>45391.294907407413</v>
      </c>
      <c r="N923" s="2" t="str">
        <f>HYPERLINK("http://twitter.com/JDNalton/status/1777653851736232125")</f>
        <v>http://twitter.com/JDNalton/status/1777653851736232125</v>
      </c>
      <c r="O923" s="2" t="str">
        <f t="shared" ref="O923:O937" si="39">HYPERLINK("https://www.theguardian.com/football/2024/apr/09/promotion-relegation-cbs-messi-usl-soccer-mls")</f>
        <v>https://www.theguardian.com/football/2024/apr/09/promotion-relegation-cbs-messi-usl-soccer-mls</v>
      </c>
    </row>
    <row r="924" spans="1:15" ht="39.6" x14ac:dyDescent="0.3">
      <c r="A924" s="2" t="s">
        <v>1671</v>
      </c>
      <c r="B924" s="2" t="s">
        <v>2289</v>
      </c>
      <c r="C924" s="2" t="s">
        <v>4014</v>
      </c>
      <c r="D924" s="2" t="s">
        <v>4015</v>
      </c>
      <c r="E924" s="2" t="str">
        <f t="shared" si="37"/>
        <v>http://twitter.com/JDNalton</v>
      </c>
      <c r="F924" s="2" t="str">
        <f t="shared" si="38"/>
        <v>https://muckrack.com/james-nalton</v>
      </c>
      <c r="G924" s="2">
        <v>17681</v>
      </c>
      <c r="H924" s="2" t="s">
        <v>4016</v>
      </c>
      <c r="I924" s="2" t="s">
        <v>4017</v>
      </c>
      <c r="J924" s="2" t="s">
        <v>2033</v>
      </c>
      <c r="K924" s="2" t="s">
        <v>2034</v>
      </c>
      <c r="L924" s="2" t="s">
        <v>4019</v>
      </c>
      <c r="M924" s="5">
        <v>45391.357997685183</v>
      </c>
      <c r="N924" s="2" t="str">
        <f>HYPERLINK("http://twitter.com/JDNalton/status/1777676718565699812")</f>
        <v>http://twitter.com/JDNalton/status/1777676718565699812</v>
      </c>
      <c r="O924" s="2" t="str">
        <f t="shared" si="39"/>
        <v>https://www.theguardian.com/football/2024/apr/09/promotion-relegation-cbs-messi-usl-soccer-mls</v>
      </c>
    </row>
    <row r="925" spans="1:15" ht="39.6" x14ac:dyDescent="0.3">
      <c r="A925" s="2" t="s">
        <v>1671</v>
      </c>
      <c r="B925" s="2" t="s">
        <v>2289</v>
      </c>
      <c r="C925" s="2" t="s">
        <v>4014</v>
      </c>
      <c r="D925" s="2" t="s">
        <v>4015</v>
      </c>
      <c r="E925" s="2" t="str">
        <f t="shared" si="37"/>
        <v>http://twitter.com/JDNalton</v>
      </c>
      <c r="F925" s="2" t="str">
        <f t="shared" si="38"/>
        <v>https://muckrack.com/james-nalton</v>
      </c>
      <c r="G925" s="2">
        <v>17681</v>
      </c>
      <c r="H925" s="2" t="s">
        <v>4016</v>
      </c>
      <c r="I925" s="2" t="s">
        <v>4017</v>
      </c>
      <c r="J925" s="2" t="s">
        <v>2033</v>
      </c>
      <c r="K925" s="2" t="s">
        <v>2034</v>
      </c>
      <c r="L925" s="2" t="s">
        <v>4020</v>
      </c>
      <c r="M925" s="5">
        <v>45391.461180555547</v>
      </c>
      <c r="N925" s="2" t="str">
        <f>HYPERLINK("http://twitter.com/JDNalton/status/1777714110316056723")</f>
        <v>http://twitter.com/JDNalton/status/1777714110316056723</v>
      </c>
      <c r="O925" s="2" t="str">
        <f t="shared" si="39"/>
        <v>https://www.theguardian.com/football/2024/apr/09/promotion-relegation-cbs-messi-usl-soccer-mls</v>
      </c>
    </row>
    <row r="926" spans="1:15" ht="66" x14ac:dyDescent="0.3">
      <c r="A926" s="2" t="s">
        <v>1671</v>
      </c>
      <c r="B926" s="2" t="s">
        <v>2289</v>
      </c>
      <c r="C926" s="2" t="s">
        <v>4014</v>
      </c>
      <c r="D926" s="2" t="s">
        <v>4015</v>
      </c>
      <c r="E926" s="2" t="str">
        <f t="shared" si="37"/>
        <v>http://twitter.com/JDNalton</v>
      </c>
      <c r="F926" s="2" t="str">
        <f t="shared" si="38"/>
        <v>https://muckrack.com/james-nalton</v>
      </c>
      <c r="G926" s="2">
        <v>17681</v>
      </c>
      <c r="H926" s="2" t="s">
        <v>4016</v>
      </c>
      <c r="I926" s="2" t="s">
        <v>4017</v>
      </c>
      <c r="J926" s="2" t="s">
        <v>2033</v>
      </c>
      <c r="K926" s="2" t="s">
        <v>2034</v>
      </c>
      <c r="L926" s="2" t="s">
        <v>4021</v>
      </c>
      <c r="M926" s="5">
        <v>45392.443796296298</v>
      </c>
      <c r="N926" s="2" t="str">
        <f>HYPERLINK("http://twitter.com/JDNalton/status/1778070197204632047")</f>
        <v>http://twitter.com/JDNalton/status/1778070197204632047</v>
      </c>
      <c r="O926" s="2" t="str">
        <f t="shared" si="39"/>
        <v>https://www.theguardian.com/football/2024/apr/09/promotion-relegation-cbs-messi-usl-soccer-mls</v>
      </c>
    </row>
    <row r="927" spans="1:15" ht="39.6" x14ac:dyDescent="0.3">
      <c r="A927" s="2" t="s">
        <v>1671</v>
      </c>
      <c r="B927" s="2" t="s">
        <v>2289</v>
      </c>
      <c r="C927" s="2" t="s">
        <v>4014</v>
      </c>
      <c r="D927" s="2" t="s">
        <v>4015</v>
      </c>
      <c r="E927" s="2" t="str">
        <f t="shared" si="37"/>
        <v>http://twitter.com/JDNalton</v>
      </c>
      <c r="F927" s="2" t="str">
        <f t="shared" si="38"/>
        <v>https://muckrack.com/james-nalton</v>
      </c>
      <c r="G927" s="2">
        <v>17681</v>
      </c>
      <c r="H927" s="2" t="s">
        <v>4016</v>
      </c>
      <c r="I927" s="2" t="s">
        <v>4017</v>
      </c>
      <c r="J927" s="2" t="s">
        <v>2033</v>
      </c>
      <c r="K927" s="2" t="s">
        <v>2034</v>
      </c>
      <c r="L927" s="2" t="s">
        <v>4022</v>
      </c>
      <c r="M927" s="5">
        <v>45408.846365740741</v>
      </c>
      <c r="N927" s="2" t="str">
        <f>HYPERLINK("http://twitter.com/JDNalton/status/1784014288413159750")</f>
        <v>http://twitter.com/JDNalton/status/1784014288413159750</v>
      </c>
      <c r="O927" s="2" t="str">
        <f t="shared" si="39"/>
        <v>https://www.theguardian.com/football/2024/apr/09/promotion-relegation-cbs-messi-usl-soccer-mls</v>
      </c>
    </row>
    <row r="928" spans="1:15" ht="39.6" x14ac:dyDescent="0.3">
      <c r="A928" s="2" t="s">
        <v>1671</v>
      </c>
      <c r="B928" s="2" t="s">
        <v>2289</v>
      </c>
      <c r="C928" s="2" t="s">
        <v>4014</v>
      </c>
      <c r="D928" s="2" t="s">
        <v>4015</v>
      </c>
      <c r="E928" s="2" t="str">
        <f t="shared" si="37"/>
        <v>http://twitter.com/JDNalton</v>
      </c>
      <c r="F928" s="2" t="str">
        <f t="shared" si="38"/>
        <v>https://muckrack.com/james-nalton</v>
      </c>
      <c r="G928" s="2">
        <v>17681</v>
      </c>
      <c r="H928" s="2" t="s">
        <v>4016</v>
      </c>
      <c r="I928" s="2" t="s">
        <v>4017</v>
      </c>
      <c r="J928" s="2" t="s">
        <v>2033</v>
      </c>
      <c r="K928" s="2" t="s">
        <v>2034</v>
      </c>
      <c r="L928" s="2" t="s">
        <v>4023</v>
      </c>
      <c r="M928" s="5">
        <v>45421.430532407408</v>
      </c>
      <c r="N928" s="2" t="str">
        <f>HYPERLINK("http://twitter.com/JDNalton/status/1788574638664036376")</f>
        <v>http://twitter.com/JDNalton/status/1788574638664036376</v>
      </c>
      <c r="O928" s="2" t="str">
        <f t="shared" si="39"/>
        <v>https://www.theguardian.com/football/2024/apr/09/promotion-relegation-cbs-messi-usl-soccer-mls</v>
      </c>
    </row>
    <row r="929" spans="1:15" ht="39.6" x14ac:dyDescent="0.3">
      <c r="A929" s="2" t="s">
        <v>1671</v>
      </c>
      <c r="B929" s="2" t="s">
        <v>2289</v>
      </c>
      <c r="C929" s="2" t="s">
        <v>4014</v>
      </c>
      <c r="D929" s="2" t="s">
        <v>4015</v>
      </c>
      <c r="E929" s="2" t="str">
        <f t="shared" si="37"/>
        <v>http://twitter.com/JDNalton</v>
      </c>
      <c r="F929" s="2" t="str">
        <f t="shared" si="38"/>
        <v>https://muckrack.com/james-nalton</v>
      </c>
      <c r="G929" s="2">
        <v>17681</v>
      </c>
      <c r="H929" s="2" t="s">
        <v>4016</v>
      </c>
      <c r="I929" s="2" t="s">
        <v>4017</v>
      </c>
      <c r="J929" s="2" t="s">
        <v>2033</v>
      </c>
      <c r="K929" s="2" t="s">
        <v>2034</v>
      </c>
      <c r="L929" s="2" t="s">
        <v>4024</v>
      </c>
      <c r="M929" s="5">
        <v>45422.124849537038</v>
      </c>
      <c r="N929" s="2" t="str">
        <f>HYPERLINK("http://twitter.com/JDNalton/status/1788826250766643508")</f>
        <v>http://twitter.com/JDNalton/status/1788826250766643508</v>
      </c>
      <c r="O929" s="2" t="str">
        <f t="shared" si="39"/>
        <v>https://www.theguardian.com/football/2024/apr/09/promotion-relegation-cbs-messi-usl-soccer-mls</v>
      </c>
    </row>
    <row r="930" spans="1:15" ht="79.2" x14ac:dyDescent="0.3">
      <c r="A930" s="2" t="s">
        <v>1671</v>
      </c>
      <c r="B930" s="2" t="s">
        <v>2289</v>
      </c>
      <c r="C930" s="2" t="s">
        <v>4014</v>
      </c>
      <c r="D930" s="2" t="s">
        <v>4015</v>
      </c>
      <c r="E930" s="2" t="str">
        <f t="shared" si="37"/>
        <v>http://twitter.com/JDNalton</v>
      </c>
      <c r="F930" s="2" t="str">
        <f t="shared" si="38"/>
        <v>https://muckrack.com/james-nalton</v>
      </c>
      <c r="G930" s="2">
        <v>17681</v>
      </c>
      <c r="H930" s="2" t="s">
        <v>4016</v>
      </c>
      <c r="I930" s="2" t="s">
        <v>4017</v>
      </c>
      <c r="J930" s="2" t="s">
        <v>2033</v>
      </c>
      <c r="K930" s="2" t="s">
        <v>2034</v>
      </c>
      <c r="L930" s="2" t="s">
        <v>4025</v>
      </c>
      <c r="M930" s="5">
        <v>45500.300138888888</v>
      </c>
      <c r="N930" s="2" t="str">
        <f>HYPERLINK("http://twitter.com/JDNalton/status/1817156028187725899")</f>
        <v>http://twitter.com/JDNalton/status/1817156028187725899</v>
      </c>
      <c r="O930" s="2" t="str">
        <f t="shared" si="39"/>
        <v>https://www.theguardian.com/football/2024/apr/09/promotion-relegation-cbs-messi-usl-soccer-mls</v>
      </c>
    </row>
    <row r="931" spans="1:15" ht="39.6" x14ac:dyDescent="0.3">
      <c r="A931" s="2" t="s">
        <v>4026</v>
      </c>
      <c r="B931" s="2" t="s">
        <v>4027</v>
      </c>
      <c r="C931" s="2" t="s">
        <v>4028</v>
      </c>
      <c r="D931" s="2" t="s">
        <v>4029</v>
      </c>
      <c r="E931" s="2" t="str">
        <f>HYPERLINK("http://twitter.com/HiMyNameIsSeton")</f>
        <v>http://twitter.com/HiMyNameIsSeton</v>
      </c>
      <c r="F931" s="2" t="str">
        <f>HYPERLINK("https://muckrack.com/patrick-seton-oconnor")</f>
        <v>https://muckrack.com/patrick-seton-oconnor</v>
      </c>
      <c r="G931" s="2">
        <v>113511</v>
      </c>
      <c r="H931" s="2" t="s">
        <v>4030</v>
      </c>
      <c r="I931" s="2" t="s">
        <v>4031</v>
      </c>
      <c r="J931" s="2" t="s">
        <v>1929</v>
      </c>
      <c r="K931" s="2" t="s">
        <v>4032</v>
      </c>
      <c r="L931" s="2" t="s">
        <v>4018</v>
      </c>
      <c r="M931" s="5">
        <v>45391.307974537027</v>
      </c>
      <c r="N931" s="2" t="str">
        <f>HYPERLINK("http://twitter.com/HiMyNameIsSeton/status/1777658589592645988")</f>
        <v>http://twitter.com/HiMyNameIsSeton/status/1777658589592645988</v>
      </c>
      <c r="O931" s="2" t="str">
        <f t="shared" si="39"/>
        <v>https://www.theguardian.com/football/2024/apr/09/promotion-relegation-cbs-messi-usl-soccer-mls</v>
      </c>
    </row>
    <row r="932" spans="1:15" ht="39.6" x14ac:dyDescent="0.3">
      <c r="A932" s="2" t="s">
        <v>4026</v>
      </c>
      <c r="B932" s="2" t="s">
        <v>4027</v>
      </c>
      <c r="C932" s="2" t="s">
        <v>4028</v>
      </c>
      <c r="D932" s="2" t="s">
        <v>4029</v>
      </c>
      <c r="E932" s="2" t="str">
        <f>HYPERLINK("http://twitter.com/HiMyNameIsSeton")</f>
        <v>http://twitter.com/HiMyNameIsSeton</v>
      </c>
      <c r="F932" s="2" t="str">
        <f>HYPERLINK("https://muckrack.com/patrick-seton-oconnor")</f>
        <v>https://muckrack.com/patrick-seton-oconnor</v>
      </c>
      <c r="G932" s="2">
        <v>113511</v>
      </c>
      <c r="H932" s="2" t="s">
        <v>4030</v>
      </c>
      <c r="I932" s="2" t="s">
        <v>4031</v>
      </c>
      <c r="J932" s="2" t="s">
        <v>1929</v>
      </c>
      <c r="K932" s="2" t="s">
        <v>4032</v>
      </c>
      <c r="L932" s="2" t="s">
        <v>4020</v>
      </c>
      <c r="M932" s="5">
        <v>45391.380219907413</v>
      </c>
      <c r="N932" s="2" t="str">
        <f>HYPERLINK("http://twitter.com/HiMyNameIsSeton/status/1777684767850336345")</f>
        <v>http://twitter.com/HiMyNameIsSeton/status/1777684767850336345</v>
      </c>
      <c r="O932" s="2" t="str">
        <f t="shared" si="39"/>
        <v>https://www.theguardian.com/football/2024/apr/09/promotion-relegation-cbs-messi-usl-soccer-mls</v>
      </c>
    </row>
    <row r="933" spans="1:15" ht="39.6" x14ac:dyDescent="0.3">
      <c r="A933" s="2" t="s">
        <v>4033</v>
      </c>
      <c r="B933" s="2" t="s">
        <v>4034</v>
      </c>
      <c r="C933" s="2" t="s">
        <v>4035</v>
      </c>
      <c r="D933" s="2" t="s">
        <v>4036</v>
      </c>
      <c r="E933" s="2" t="str">
        <f>HYPERLINK("http://twitter.com/JasonLaCanfora")</f>
        <v>http://twitter.com/JasonLaCanfora</v>
      </c>
      <c r="F933" s="2" t="str">
        <f>HYPERLINK("https://muckrack.com/jasonlacanfora")</f>
        <v>https://muckrack.com/jasonlacanfora</v>
      </c>
      <c r="G933" s="2">
        <v>445598</v>
      </c>
      <c r="H933" s="2" t="s">
        <v>4037</v>
      </c>
      <c r="I933" s="2" t="s">
        <v>4038</v>
      </c>
      <c r="J933" s="2" t="s">
        <v>2000</v>
      </c>
      <c r="K933" s="2" t="s">
        <v>2034</v>
      </c>
      <c r="L933" s="2" t="s">
        <v>4018</v>
      </c>
      <c r="M933" s="5">
        <v>45391.311145833337</v>
      </c>
      <c r="N933" s="2" t="str">
        <f>HYPERLINK("http://twitter.com/JasonLaCanfora/status/1777659738160836817")</f>
        <v>http://twitter.com/JasonLaCanfora/status/1777659738160836817</v>
      </c>
      <c r="O933" s="2" t="str">
        <f t="shared" si="39"/>
        <v>https://www.theguardian.com/football/2024/apr/09/promotion-relegation-cbs-messi-usl-soccer-mls</v>
      </c>
    </row>
    <row r="934" spans="1:15" ht="39.6" x14ac:dyDescent="0.3">
      <c r="A934" s="2" t="s">
        <v>1656</v>
      </c>
      <c r="B934" s="2" t="s">
        <v>3415</v>
      </c>
      <c r="C934" s="2" t="s">
        <v>3416</v>
      </c>
      <c r="D934" s="2" t="s">
        <v>3417</v>
      </c>
      <c r="E934" s="2" t="str">
        <f>HYPERLINK("http://twitter.com/kkfla737")</f>
        <v>http://twitter.com/kkfla737</v>
      </c>
      <c r="F934" s="2" t="str">
        <f>HYPERLINK("https://muckrack.com/kartik-krishnaiyer")</f>
        <v>https://muckrack.com/kartik-krishnaiyer</v>
      </c>
      <c r="G934" s="2">
        <v>8469</v>
      </c>
      <c r="H934" s="2" t="s">
        <v>3418</v>
      </c>
      <c r="I934" s="2" t="s">
        <v>3419</v>
      </c>
      <c r="J934" s="2" t="s">
        <v>2033</v>
      </c>
      <c r="K934" s="2" t="s">
        <v>3420</v>
      </c>
      <c r="L934" s="2" t="s">
        <v>4020</v>
      </c>
      <c r="M934" s="5">
        <v>45391.401620370372</v>
      </c>
      <c r="N934" s="2" t="str">
        <f>HYPERLINK("http://twitter.com/kkfla737/status/1777692525819552185")</f>
        <v>http://twitter.com/kkfla737/status/1777692525819552185</v>
      </c>
      <c r="O934" s="2" t="str">
        <f t="shared" si="39"/>
        <v>https://www.theguardian.com/football/2024/apr/09/promotion-relegation-cbs-messi-usl-soccer-mls</v>
      </c>
    </row>
    <row r="935" spans="1:15" ht="39.6" x14ac:dyDescent="0.3">
      <c r="A935" s="2" t="s">
        <v>4039</v>
      </c>
      <c r="B935" s="2" t="s">
        <v>4040</v>
      </c>
      <c r="C935" s="2" t="s">
        <v>4041</v>
      </c>
      <c r="D935" s="2" t="s">
        <v>4042</v>
      </c>
      <c r="E935" s="2" t="str">
        <f>HYPERLINK("http://twitter.com/RyanJayBailey")</f>
        <v>http://twitter.com/RyanJayBailey</v>
      </c>
      <c r="F935" s="2" t="str">
        <f>HYPERLINK("https://muckrack.com/ryanjaybailey")</f>
        <v>https://muckrack.com/ryanjaybailey</v>
      </c>
      <c r="G935" s="2">
        <v>10253</v>
      </c>
      <c r="H935" s="2" t="s">
        <v>3366</v>
      </c>
      <c r="I935" s="2" t="s">
        <v>4043</v>
      </c>
      <c r="J935" s="2" t="s">
        <v>1929</v>
      </c>
      <c r="K935" s="2" t="s">
        <v>4044</v>
      </c>
      <c r="L935" s="2" t="s">
        <v>4020</v>
      </c>
      <c r="M935" s="5">
        <v>45391.477986111109</v>
      </c>
      <c r="N935" s="2" t="str">
        <f>HYPERLINK("http://twitter.com/RyanJayBailey/status/1777720198566437018")</f>
        <v>http://twitter.com/RyanJayBailey/status/1777720198566437018</v>
      </c>
      <c r="O935" s="2" t="str">
        <f t="shared" si="39"/>
        <v>https://www.theguardian.com/football/2024/apr/09/promotion-relegation-cbs-messi-usl-soccer-mls</v>
      </c>
    </row>
    <row r="936" spans="1:15" ht="39.6" x14ac:dyDescent="0.3">
      <c r="A936" s="2" t="s">
        <v>755</v>
      </c>
      <c r="B936" s="2" t="s">
        <v>2702</v>
      </c>
      <c r="C936" s="2" t="s">
        <v>2703</v>
      </c>
      <c r="D936" s="2" t="s">
        <v>2704</v>
      </c>
      <c r="E936" s="2" t="str">
        <f>HYPERLINK("http://twitter.com/nolanbianchi")</f>
        <v>http://twitter.com/nolanbianchi</v>
      </c>
      <c r="F936" s="2" t="str">
        <f>HYPERLINK("https://muckrack.com/nolan-bianchi")</f>
        <v>https://muckrack.com/nolan-bianchi</v>
      </c>
      <c r="G936" s="2">
        <v>11819</v>
      </c>
      <c r="H936" s="2"/>
      <c r="I936" s="2" t="s">
        <v>2705</v>
      </c>
      <c r="J936" s="2" t="s">
        <v>2706</v>
      </c>
      <c r="K936" s="2" t="s">
        <v>64</v>
      </c>
      <c r="L936" s="2" t="s">
        <v>4020</v>
      </c>
      <c r="M936" s="5">
        <v>45391.649456018517</v>
      </c>
      <c r="N936" s="2" t="str">
        <f>HYPERLINK("http://twitter.com/nolanbianchi/status/1777782339415806074")</f>
        <v>http://twitter.com/nolanbianchi/status/1777782339415806074</v>
      </c>
      <c r="O936" s="2" t="str">
        <f t="shared" si="39"/>
        <v>https://www.theguardian.com/football/2024/apr/09/promotion-relegation-cbs-messi-usl-soccer-mls</v>
      </c>
    </row>
    <row r="937" spans="1:15" ht="52.8" x14ac:dyDescent="0.3">
      <c r="A937" s="2" t="s">
        <v>4045</v>
      </c>
      <c r="B937" s="2" t="s">
        <v>4046</v>
      </c>
      <c r="C937" s="2" t="s">
        <v>4047</v>
      </c>
      <c r="D937" s="2" t="s">
        <v>4048</v>
      </c>
      <c r="E937" s="2" t="str">
        <f>HYPERLINK("http://twitter.com/Callum7McFadden")</f>
        <v>http://twitter.com/Callum7McFadden</v>
      </c>
      <c r="F937" s="2" t="str">
        <f>HYPERLINK("https://muckrack.com/callum-mcfadden")</f>
        <v>https://muckrack.com/callum-mcfadden</v>
      </c>
      <c r="G937" s="2">
        <v>4655</v>
      </c>
      <c r="H937" s="2" t="s">
        <v>4049</v>
      </c>
      <c r="I937" s="2" t="s">
        <v>4050</v>
      </c>
      <c r="J937" s="2" t="s">
        <v>2033</v>
      </c>
      <c r="K937" s="2" t="s">
        <v>4051</v>
      </c>
      <c r="L937" s="2" t="s">
        <v>4052</v>
      </c>
      <c r="M937" s="5">
        <v>45392.446701388893</v>
      </c>
      <c r="N937" s="2" t="str">
        <f>HYPERLINK("http://twitter.com/Callum7McFadden/status/1778071249433809202")</f>
        <v>http://twitter.com/Callum7McFadden/status/1778071249433809202</v>
      </c>
      <c r="O937" s="2" t="str">
        <f t="shared" si="39"/>
        <v>https://www.theguardian.com/football/2024/apr/09/promotion-relegation-cbs-messi-usl-soccer-mls</v>
      </c>
    </row>
    <row r="938" spans="1:15" ht="66" x14ac:dyDescent="0.3">
      <c r="A938" s="2" t="s">
        <v>1674</v>
      </c>
      <c r="B938" s="2" t="s">
        <v>4053</v>
      </c>
      <c r="C938" s="2" t="s">
        <v>4054</v>
      </c>
      <c r="D938" s="2" t="s">
        <v>4055</v>
      </c>
      <c r="E938" s="2" t="str">
        <f>HYPERLINK("http://twitter.com/Sam_Draut")</f>
        <v>http://twitter.com/Sam_Draut</v>
      </c>
      <c r="F938" s="2" t="str">
        <f>HYPERLINK("https://muckrack.com/sam-draut")</f>
        <v>https://muckrack.com/sam-draut</v>
      </c>
      <c r="G938" s="2">
        <v>1201</v>
      </c>
      <c r="H938" s="2" t="s">
        <v>4056</v>
      </c>
      <c r="I938" s="2" t="s">
        <v>4057</v>
      </c>
      <c r="J938" s="2" t="s">
        <v>1929</v>
      </c>
      <c r="K938" s="2" t="s">
        <v>222</v>
      </c>
      <c r="L938" s="2" t="s">
        <v>4058</v>
      </c>
      <c r="M938" s="5">
        <v>45389.565486111111</v>
      </c>
      <c r="N938" s="2" t="str">
        <f>HYPERLINK("http://twitter.com/Sam_Draut/status/1777027131559510117")</f>
        <v>http://twitter.com/Sam_Draut/status/1777027131559510117</v>
      </c>
      <c r="O938" s="2" t="str">
        <f>HYPERLINK("https://www.wdrb.com/derby_150/louisville-city-fc-fans-get-close-look-at-kentucky-derby-150-trophy-at-lynn-family/article_2fdc07ca-f456-11ee-abb6-63825198a7c7.html")</f>
        <v>https://www.wdrb.com/derby_150/louisville-city-fc-fans-get-close-look-at-kentucky-derby-150-trophy-at-lynn-family/article_2fdc07ca-f456-11ee-abb6-63825198a7c7.html</v>
      </c>
    </row>
    <row r="939" spans="1:15" ht="52.8" x14ac:dyDescent="0.3">
      <c r="A939" s="2" t="s">
        <v>4059</v>
      </c>
      <c r="B939" s="2" t="s">
        <v>2467</v>
      </c>
      <c r="C939" s="2" t="s">
        <v>4060</v>
      </c>
      <c r="D939" s="2" t="s">
        <v>4061</v>
      </c>
      <c r="E939" s="2" t="str">
        <f>HYPERLINK("http://twitter.com/MattAboutMoney")</f>
        <v>http://twitter.com/MattAboutMoney</v>
      </c>
      <c r="F939" s="2" t="str">
        <f>HYPERLINK("https://muckrack.com/matt-bell-16")</f>
        <v>https://muckrack.com/matt-bell-16</v>
      </c>
      <c r="G939" s="2">
        <v>1413</v>
      </c>
      <c r="H939" s="2" t="s">
        <v>4056</v>
      </c>
      <c r="I939" s="2" t="s">
        <v>4062</v>
      </c>
      <c r="J939" s="2" t="s">
        <v>4063</v>
      </c>
      <c r="K939" s="2" t="s">
        <v>4064</v>
      </c>
      <c r="L939" s="2" t="s">
        <v>4065</v>
      </c>
      <c r="M939" s="5">
        <v>45389.636076388888</v>
      </c>
      <c r="N939" s="2" t="str">
        <f>HYPERLINK("http://twitter.com/MattAboutMoney/status/1777052712334487672")</f>
        <v>http://twitter.com/MattAboutMoney/status/1777052712334487672</v>
      </c>
      <c r="O939" s="2" t="str">
        <f>HYPERLINK("https://www.loucity.com/news/2024/04/07/analysis-what-stands-out-with-harris-in-career-best-form/")</f>
        <v>https://www.loucity.com/news/2024/04/07/analysis-what-stands-out-with-harris-in-career-best-form/</v>
      </c>
    </row>
    <row r="940" spans="1:15" ht="52.8" x14ac:dyDescent="0.3">
      <c r="A940" s="2" t="s">
        <v>654</v>
      </c>
      <c r="B940" s="2" t="s">
        <v>2482</v>
      </c>
      <c r="C940" s="2"/>
      <c r="D940" s="2" t="s">
        <v>2483</v>
      </c>
      <c r="E940" s="2" t="str">
        <f>HYPERLINK("http://twitter.com/ldock93")</f>
        <v>http://twitter.com/ldock93</v>
      </c>
      <c r="F940" s="2" t="str">
        <f>HYPERLINK("https://muckrack.com/lawrence-dockery")</f>
        <v>https://muckrack.com/lawrence-dockery</v>
      </c>
      <c r="G940" s="2">
        <v>1147</v>
      </c>
      <c r="H940" s="2" t="s">
        <v>2484</v>
      </c>
      <c r="I940" s="2" t="s">
        <v>2485</v>
      </c>
      <c r="J940" s="2" t="s">
        <v>2033</v>
      </c>
      <c r="K940" s="2" t="s">
        <v>2486</v>
      </c>
      <c r="L940" s="2" t="s">
        <v>4066</v>
      </c>
      <c r="M940" s="5">
        <v>45388.352731481478</v>
      </c>
      <c r="N940" s="2" t="str">
        <f>HYPERLINK("http://twitter.com/ldock93/status/1776587644803174789")</f>
        <v>http://twitter.com/ldock93/status/1776587644803174789</v>
      </c>
      <c r="O940" s="2" t="str">
        <f>HYPERLINK("https://bluffcitymedia.co/memphis-901-fc-vs-orange-county-sc-preview-2/")</f>
        <v>https://bluffcitymedia.co/memphis-901-fc-vs-orange-county-sc-preview-2/</v>
      </c>
    </row>
    <row r="941" spans="1:15" ht="52.8" x14ac:dyDescent="0.3">
      <c r="A941" s="2" t="s">
        <v>654</v>
      </c>
      <c r="B941" s="2" t="s">
        <v>2482</v>
      </c>
      <c r="C941" s="2"/>
      <c r="D941" s="2" t="s">
        <v>2483</v>
      </c>
      <c r="E941" s="2" t="str">
        <f>HYPERLINK("http://twitter.com/ldock93")</f>
        <v>http://twitter.com/ldock93</v>
      </c>
      <c r="F941" s="2" t="str">
        <f>HYPERLINK("https://muckrack.com/lawrence-dockery")</f>
        <v>https://muckrack.com/lawrence-dockery</v>
      </c>
      <c r="G941" s="2">
        <v>1147</v>
      </c>
      <c r="H941" s="2" t="s">
        <v>2484</v>
      </c>
      <c r="I941" s="2" t="s">
        <v>2485</v>
      </c>
      <c r="J941" s="2" t="s">
        <v>2033</v>
      </c>
      <c r="K941" s="2" t="s">
        <v>2486</v>
      </c>
      <c r="L941" s="2" t="s">
        <v>4067</v>
      </c>
      <c r="M941" s="5">
        <v>45388.354895833327</v>
      </c>
      <c r="N941" s="2" t="str">
        <f>HYPERLINK("http://twitter.com/ldock93/status/1776588427355373683")</f>
        <v>http://twitter.com/ldock93/status/1776588427355373683</v>
      </c>
      <c r="O941" s="2" t="str">
        <f>HYPERLINK("https://bluffcitymedia.co/memphis-901-fc-vs-orange-county-sc-preview-2/")</f>
        <v>https://bluffcitymedia.co/memphis-901-fc-vs-orange-county-sc-preview-2/</v>
      </c>
    </row>
    <row r="942" spans="1:15" ht="39.6" x14ac:dyDescent="0.3">
      <c r="A942" s="2" t="s">
        <v>263</v>
      </c>
      <c r="B942" s="2" t="s">
        <v>2221</v>
      </c>
      <c r="C942" s="2" t="s">
        <v>2222</v>
      </c>
      <c r="D942" s="2" t="s">
        <v>2223</v>
      </c>
      <c r="E942" s="2" t="str">
        <f>HYPERLINK("http://twitter.com/pkedit")</f>
        <v>http://twitter.com/pkedit</v>
      </c>
      <c r="F942" s="2" t="str">
        <f>HYPERLINK("https://muckrack.com/paul-kennedy")</f>
        <v>https://muckrack.com/paul-kennedy</v>
      </c>
      <c r="G942" s="2">
        <v>10080</v>
      </c>
      <c r="H942" s="2"/>
      <c r="I942" s="2" t="s">
        <v>2224</v>
      </c>
      <c r="J942" s="2" t="s">
        <v>1929</v>
      </c>
      <c r="K942" s="2" t="s">
        <v>264</v>
      </c>
      <c r="L942" s="2" t="s">
        <v>4068</v>
      </c>
      <c r="M942" s="5">
        <v>45387.911423611113</v>
      </c>
      <c r="N942" s="2" t="str">
        <f>HYPERLINK("http://twitter.com/pkedit/status/1776427718298812492")</f>
        <v>http://twitter.com/pkedit/status/1776427718298812492</v>
      </c>
      <c r="O942" s="2" t="str">
        <f>HYPERLINK("https://www.socceramerica.com/soccer-on-tv-456/")</f>
        <v>https://www.socceramerica.com/soccer-on-tv-456/</v>
      </c>
    </row>
    <row r="943" spans="1:15" ht="66" x14ac:dyDescent="0.3">
      <c r="A943" s="2" t="s">
        <v>263</v>
      </c>
      <c r="B943" s="2" t="s">
        <v>2221</v>
      </c>
      <c r="C943" s="2" t="s">
        <v>2222</v>
      </c>
      <c r="D943" s="2" t="s">
        <v>2223</v>
      </c>
      <c r="E943" s="2" t="str">
        <f>HYPERLINK("http://twitter.com/pkedit")</f>
        <v>http://twitter.com/pkedit</v>
      </c>
      <c r="F943" s="2" t="str">
        <f>HYPERLINK("https://muckrack.com/paul-kennedy")</f>
        <v>https://muckrack.com/paul-kennedy</v>
      </c>
      <c r="G943" s="2">
        <v>10080</v>
      </c>
      <c r="H943" s="2"/>
      <c r="I943" s="2" t="s">
        <v>2224</v>
      </c>
      <c r="J943" s="2" t="s">
        <v>1929</v>
      </c>
      <c r="K943" s="2" t="s">
        <v>264</v>
      </c>
      <c r="L943" s="2" t="s">
        <v>4069</v>
      </c>
      <c r="M943" s="5">
        <v>45388.379861111112</v>
      </c>
      <c r="N943" s="2" t="str">
        <f>HYPERLINK("http://twitter.com/pkedit/status/1776597474859483312")</f>
        <v>http://twitter.com/pkedit/status/1776597474859483312</v>
      </c>
      <c r="O943" s="2" t="str">
        <f>HYPERLINK("https://www.socceramerica.com/soccer-on-tv-456/")</f>
        <v>https://www.socceramerica.com/soccer-on-tv-456/</v>
      </c>
    </row>
    <row r="944" spans="1:15" ht="52.8" x14ac:dyDescent="0.3">
      <c r="A944" s="2" t="s">
        <v>1694</v>
      </c>
      <c r="B944" s="2" t="s">
        <v>4070</v>
      </c>
      <c r="C944" s="2" t="s">
        <v>4071</v>
      </c>
      <c r="D944" s="2" t="s">
        <v>4072</v>
      </c>
      <c r="E944" s="2" t="str">
        <f>HYPERLINK("http://twitter.com/CardChronicle")</f>
        <v>http://twitter.com/CardChronicle</v>
      </c>
      <c r="F944" s="2" t="str">
        <f>HYPERLINK("https://muckrack.com/mike-rutherford")</f>
        <v>https://muckrack.com/mike-rutherford</v>
      </c>
      <c r="G944" s="2">
        <v>82794</v>
      </c>
      <c r="H944" s="2" t="s">
        <v>4056</v>
      </c>
      <c r="I944" s="2" t="s">
        <v>4073</v>
      </c>
      <c r="J944" s="2" t="s">
        <v>2000</v>
      </c>
      <c r="K944" s="2" t="s">
        <v>4074</v>
      </c>
      <c r="L944" s="2" t="s">
        <v>4075</v>
      </c>
      <c r="M944" s="5">
        <v>45387.608981481477</v>
      </c>
      <c r="N944" s="2" t="str">
        <f>HYPERLINK("http://twitter.com/CardChronicle/status/1776318116907147593")</f>
        <v>http://twitter.com/CardChronicle/status/1776318116907147593</v>
      </c>
      <c r="O944" s="2" t="str">
        <f>HYPERLINK("https://www.cardchronicle.com/2024/4/5/24121752/friday-afternoon-cardinal-news-and-notes-louisville-cardinals")</f>
        <v>https://www.cardchronicle.com/2024/4/5/24121752/friday-afternoon-cardinal-news-and-notes-louisville-cardinals</v>
      </c>
    </row>
    <row r="945" spans="1:15" ht="66" x14ac:dyDescent="0.3">
      <c r="A945" s="2" t="s">
        <v>1695</v>
      </c>
      <c r="B945" s="2" t="s">
        <v>4076</v>
      </c>
      <c r="C945" s="2" t="s">
        <v>4077</v>
      </c>
      <c r="D945" s="2" t="s">
        <v>4078</v>
      </c>
      <c r="E945" s="2" t="str">
        <f>HYPERLINK("http://twitter.com/SVG_Brandon")</f>
        <v>http://twitter.com/SVG_Brandon</v>
      </c>
      <c r="F945" s="2" t="str">
        <f>HYPERLINK("https://muckrack.com/brandon-costa")</f>
        <v>https://muckrack.com/brandon-costa</v>
      </c>
      <c r="G945" s="2">
        <v>6139</v>
      </c>
      <c r="H945" s="2" t="s">
        <v>4079</v>
      </c>
      <c r="I945" s="2" t="s">
        <v>4080</v>
      </c>
      <c r="J945" s="2" t="s">
        <v>3954</v>
      </c>
      <c r="K945" s="2" t="s">
        <v>4081</v>
      </c>
      <c r="L945" s="2" t="s">
        <v>4082</v>
      </c>
      <c r="M945" s="5">
        <v>45388.616782407407</v>
      </c>
      <c r="N945" s="2" t="str">
        <f>HYPERLINK("http://twitter.com/SVG_Brandon/status/1776683332992180558")</f>
        <v>http://twitter.com/SVG_Brandon/status/1776683332992180558</v>
      </c>
      <c r="O945" s="2" t="str">
        <f>HYPERLINK("https://www.sportsvideo.org/2024/04/05/united-soccer-league-to-make-broadcast-tv-debut-ushers-in-new-cbs-partnership-with-biggest-production-in-league-history/")</f>
        <v>https://www.sportsvideo.org/2024/04/05/united-soccer-league-to-make-broadcast-tv-debut-ushers-in-new-cbs-partnership-with-biggest-production-in-league-history/</v>
      </c>
    </row>
    <row r="946" spans="1:15" ht="66" x14ac:dyDescent="0.3">
      <c r="A946" s="2" t="s">
        <v>4083</v>
      </c>
      <c r="B946" s="2" t="s">
        <v>4084</v>
      </c>
      <c r="C946" s="2" t="s">
        <v>4085</v>
      </c>
      <c r="D946" s="2" t="s">
        <v>4086</v>
      </c>
      <c r="E946" s="2" t="str">
        <f>HYPERLINK("http://twitter.com/pstiegman")</f>
        <v>http://twitter.com/pstiegman</v>
      </c>
      <c r="F946" s="2" t="str">
        <f>HYPERLINK("https://muckrack.com/pstiegman")</f>
        <v>https://muckrack.com/pstiegman</v>
      </c>
      <c r="G946" s="2">
        <v>4400</v>
      </c>
      <c r="H946" s="2"/>
      <c r="I946" s="2" t="s">
        <v>4087</v>
      </c>
      <c r="J946" s="2" t="s">
        <v>4088</v>
      </c>
      <c r="K946" s="2" t="s">
        <v>209</v>
      </c>
      <c r="L946" s="2" t="s">
        <v>4089</v>
      </c>
      <c r="M946" s="5">
        <v>45387.570034722223</v>
      </c>
      <c r="N946" s="2" t="str">
        <f>HYPERLINK("http://twitter.com/pstiegman/status/1776304003304817013")</f>
        <v>http://twitter.com/pstiegman/status/1776304003304817013</v>
      </c>
      <c r="O946" s="2" t="str">
        <f>HYPERLINK("https://www.goal.com/en-za/news/civil-war-uniforms-36-35-shootouts-and-nickelback-usl-lipafc-rivalry-is-best-derby-you-have-never-heard/blt02965b61cc62140b")</f>
        <v>https://www.goal.com/en-za/news/civil-war-uniforms-36-35-shootouts-and-nickelback-usl-lipafc-rivalry-is-best-derby-you-have-never-heard/blt02965b61cc62140b</v>
      </c>
    </row>
    <row r="947" spans="1:15" ht="66" x14ac:dyDescent="0.3">
      <c r="A947" s="2" t="s">
        <v>4090</v>
      </c>
      <c r="B947" s="2" t="s">
        <v>4091</v>
      </c>
      <c r="C947" s="2" t="s">
        <v>4092</v>
      </c>
      <c r="D947" s="2" t="s">
        <v>4093</v>
      </c>
      <c r="E947" s="2" t="str">
        <f>HYPERLINK("http://twitter.com/RyanTolmich")</f>
        <v>http://twitter.com/RyanTolmich</v>
      </c>
      <c r="F947" s="2" t="str">
        <f>HYPERLINK("https://muckrack.com/ryan-tolmich")</f>
        <v>https://muckrack.com/ryan-tolmich</v>
      </c>
      <c r="G947" s="2">
        <v>1460</v>
      </c>
      <c r="H947" s="2" t="s">
        <v>3366</v>
      </c>
      <c r="I947" s="2" t="s">
        <v>4094</v>
      </c>
      <c r="J947" s="2" t="s">
        <v>2033</v>
      </c>
      <c r="K947" s="2" t="s">
        <v>275</v>
      </c>
      <c r="L947" s="2" t="s">
        <v>4095</v>
      </c>
      <c r="M947" s="5">
        <v>45388.07439814815</v>
      </c>
      <c r="N947" s="2" t="str">
        <f>HYPERLINK("http://twitter.com/RyanTolmich/status/1776486777806565886")</f>
        <v>http://twitter.com/RyanTolmich/status/1776486777806565886</v>
      </c>
      <c r="O947" s="2" t="str">
        <f>HYPERLINK("https://www.goal.com/en-za/news/civil-war-uniforms-36-35-shootouts-and-nickelback-usl-lipafc-rivalry-is-best-derby-you-have-never-heard/blt02965b61cc62140b")</f>
        <v>https://www.goal.com/en-za/news/civil-war-uniforms-36-35-shootouts-and-nickelback-usl-lipafc-rivalry-is-best-derby-you-have-never-heard/blt02965b61cc62140b</v>
      </c>
    </row>
    <row r="948" spans="1:15" ht="52.8" x14ac:dyDescent="0.3">
      <c r="A948" s="2" t="s">
        <v>4026</v>
      </c>
      <c r="B948" s="2" t="s">
        <v>4027</v>
      </c>
      <c r="C948" s="2" t="s">
        <v>4028</v>
      </c>
      <c r="D948" s="2" t="s">
        <v>4029</v>
      </c>
      <c r="E948" s="2" t="str">
        <f>HYPERLINK("http://twitter.com/HiMyNameIsSeton")</f>
        <v>http://twitter.com/HiMyNameIsSeton</v>
      </c>
      <c r="F948" s="2" t="str">
        <f>HYPERLINK("https://muckrack.com/patrick-seton-oconnor")</f>
        <v>https://muckrack.com/patrick-seton-oconnor</v>
      </c>
      <c r="G948" s="2">
        <v>113511</v>
      </c>
      <c r="H948" s="2" t="s">
        <v>4030</v>
      </c>
      <c r="I948" s="2" t="s">
        <v>4031</v>
      </c>
      <c r="J948" s="2" t="s">
        <v>1929</v>
      </c>
      <c r="K948" s="2" t="s">
        <v>4032</v>
      </c>
      <c r="L948" s="2" t="s">
        <v>4096</v>
      </c>
      <c r="M948" s="5">
        <v>45387.339618055557</v>
      </c>
      <c r="N948" s="2" t="str">
        <f>HYPERLINK("http://twitter.com/HiMyNameIsSeton/status/1776220503021060250")</f>
        <v>http://twitter.com/HiMyNameIsSeton/status/1776220503021060250</v>
      </c>
      <c r="O948" s="2" t="str">
        <f>HYPERLINK("https://www.backheeled.com/inside-usl-media-progress-ahead-of-historic-cbs-tv-broadcast-debut/")</f>
        <v>https://www.backheeled.com/inside-usl-media-progress-ahead-of-historic-cbs-tv-broadcast-debut/</v>
      </c>
    </row>
    <row r="949" spans="1:15" ht="39.6" x14ac:dyDescent="0.3">
      <c r="A949" s="2" t="s">
        <v>4097</v>
      </c>
      <c r="B949" s="2" t="s">
        <v>4098</v>
      </c>
      <c r="C949" s="2" t="s">
        <v>4099</v>
      </c>
      <c r="D949" s="2" t="s">
        <v>4100</v>
      </c>
      <c r="E949" s="2" t="str">
        <f>HYPERLINK("http://twitter.com/JECdAPress")</f>
        <v>http://twitter.com/JECdAPress</v>
      </c>
      <c r="F949" s="2" t="str">
        <f>HYPERLINK("https://muckrack.com/jason-elliott")</f>
        <v>https://muckrack.com/jason-elliott</v>
      </c>
      <c r="G949" s="2">
        <v>1210</v>
      </c>
      <c r="H949" s="2" t="s">
        <v>4101</v>
      </c>
      <c r="I949" s="2" t="s">
        <v>4102</v>
      </c>
      <c r="J949" s="2" t="s">
        <v>4103</v>
      </c>
      <c r="K949" s="2" t="s">
        <v>1701</v>
      </c>
      <c r="L949" s="2" t="s">
        <v>4104</v>
      </c>
      <c r="M949" s="5">
        <v>45387.509050925917</v>
      </c>
      <c r="N949" s="2" t="str">
        <f>HYPERLINK("http://twitter.com/JECdAPress/status/1776281902879773101")</f>
        <v>http://twitter.com/JECdAPress/status/1776281902879773101</v>
      </c>
      <c r="O949" s="2" t="str">
        <f>HYPERLINK("https://cdapress.com/news/2024/apr/05/weekend-tvradio-highlights/")</f>
        <v>https://cdapress.com/news/2024/apr/05/weekend-tvradio-highlights/</v>
      </c>
    </row>
    <row r="950" spans="1:15" ht="39.6" x14ac:dyDescent="0.3">
      <c r="A950" s="2" t="s">
        <v>4105</v>
      </c>
      <c r="B950" s="2" t="s">
        <v>2178</v>
      </c>
      <c r="C950" s="2" t="s">
        <v>4106</v>
      </c>
      <c r="D950" s="2" t="s">
        <v>4107</v>
      </c>
      <c r="E950" s="2" t="str">
        <f>HYPERLINK("http://twitter.com/CdAPressSports")</f>
        <v>http://twitter.com/CdAPressSports</v>
      </c>
      <c r="F950" s="2" t="str">
        <f>HYPERLINK("https://muckrack.com/mark-nelke")</f>
        <v>https://muckrack.com/mark-nelke</v>
      </c>
      <c r="G950" s="2">
        <v>1978</v>
      </c>
      <c r="H950" s="2" t="s">
        <v>4108</v>
      </c>
      <c r="I950" s="2" t="s">
        <v>4109</v>
      </c>
      <c r="J950" s="2" t="s">
        <v>2033</v>
      </c>
      <c r="K950" s="2" t="s">
        <v>1701</v>
      </c>
      <c r="L950" s="2" t="s">
        <v>4110</v>
      </c>
      <c r="M950" s="5">
        <v>45387.564849537041</v>
      </c>
      <c r="N950" s="2" t="str">
        <f>HYPERLINK("http://twitter.com/CdAPressSports/status/1776302125221548037")</f>
        <v>http://twitter.com/CdAPressSports/status/1776302125221548037</v>
      </c>
      <c r="O950" s="2" t="str">
        <f>HYPERLINK("https://cdapress.com/news/2024/apr/05/weekend-tvradio-highlights/")</f>
        <v>https://cdapress.com/news/2024/apr/05/weekend-tvradio-highlights/</v>
      </c>
    </row>
    <row r="951" spans="1:15" ht="52.8" x14ac:dyDescent="0.3">
      <c r="A951" s="2" t="s">
        <v>4111</v>
      </c>
      <c r="B951" s="2" t="s">
        <v>2532</v>
      </c>
      <c r="C951" s="2" t="s">
        <v>4112</v>
      </c>
      <c r="D951" s="2" t="s">
        <v>4113</v>
      </c>
      <c r="E951" s="2" t="str">
        <f>HYPERLINK("http://twitter.com/bashirra")</f>
        <v>http://twitter.com/bashirra</v>
      </c>
      <c r="F951" s="2" t="str">
        <f>HYPERLINK("https://muckrack.com/raheem-bashir")</f>
        <v>https://muckrack.com/raheem-bashir</v>
      </c>
      <c r="G951" s="2">
        <v>475</v>
      </c>
      <c r="H951" s="2" t="s">
        <v>4114</v>
      </c>
      <c r="I951" s="2" t="s">
        <v>4115</v>
      </c>
      <c r="J951" s="2" t="s">
        <v>2033</v>
      </c>
      <c r="K951" s="2" t="s">
        <v>1706</v>
      </c>
      <c r="L951" s="2" t="s">
        <v>4116</v>
      </c>
      <c r="M951" s="5">
        <v>45386.835358796299</v>
      </c>
      <c r="N951" s="2" t="str">
        <f>HYPERLINK("http://twitter.com/bashirra/status/1776037766679199800")</f>
        <v>http://twitter.com/bashirra/status/1776037766679199800</v>
      </c>
      <c r="O951" s="2" t="str">
        <f>HYPERLINK("https://lastwordonsports.com/soccer/2024/04/04/open-cup-chicago-fires-youth/")</f>
        <v>https://lastwordonsports.com/soccer/2024/04/04/open-cup-chicago-fires-youth/</v>
      </c>
    </row>
    <row r="952" spans="1:15" ht="105.6" x14ac:dyDescent="0.3">
      <c r="A952" s="2" t="s">
        <v>4117</v>
      </c>
      <c r="B952" s="2" t="s">
        <v>4118</v>
      </c>
      <c r="C952" s="2" t="s">
        <v>4119</v>
      </c>
      <c r="D952" s="2" t="s">
        <v>4120</v>
      </c>
      <c r="E952" s="2" t="str">
        <f>HYPERLINK("http://twitter.com/genehenley3")</f>
        <v>http://twitter.com/genehenley3</v>
      </c>
      <c r="F952" s="2" t="str">
        <f>HYPERLINK("https://muckrack.com/gene-henley")</f>
        <v>https://muckrack.com/gene-henley</v>
      </c>
      <c r="G952" s="2">
        <v>5681</v>
      </c>
      <c r="H952" s="2" t="s">
        <v>4121</v>
      </c>
      <c r="I952" s="2" t="s">
        <v>4122</v>
      </c>
      <c r="J952" s="2" t="s">
        <v>2000</v>
      </c>
      <c r="K952" s="2" t="s">
        <v>4123</v>
      </c>
      <c r="L952" s="2" t="s">
        <v>4124</v>
      </c>
      <c r="M952" s="5">
        <v>45386.711030092592</v>
      </c>
      <c r="N952" s="2" t="str">
        <f>HYPERLINK("http://twitter.com/genehenley3/status/1775992711016833175")</f>
        <v>http://twitter.com/genehenley3/status/1775992711016833175</v>
      </c>
      <c r="O952" s="2" t="str">
        <f>HYPERLINK("https://www.ussoccer.com/stories/2024/04/2024-us-open-cup-third-round-schedule-matches-how-to-watch-stream-april-16-17")</f>
        <v>https://www.ussoccer.com/stories/2024/04/2024-us-open-cup-third-round-schedule-matches-how-to-watch-stream-april-16-17</v>
      </c>
    </row>
    <row r="953" spans="1:15" ht="52.8" x14ac:dyDescent="0.3">
      <c r="A953" s="2" t="s">
        <v>3487</v>
      </c>
      <c r="B953" s="2" t="s">
        <v>3488</v>
      </c>
      <c r="C953" s="2" t="s">
        <v>3489</v>
      </c>
      <c r="D953" s="2" t="s">
        <v>3490</v>
      </c>
      <c r="E953" s="2" t="str">
        <f>HYPERLINK("http://twitter.com/TomLeiss")</f>
        <v>http://twitter.com/TomLeiss</v>
      </c>
      <c r="F953" s="2" t="str">
        <f>HYPERLINK("https://muckrack.com/tom-leiss")</f>
        <v>https://muckrack.com/tom-leiss</v>
      </c>
      <c r="G953" s="2">
        <v>1039</v>
      </c>
      <c r="H953" s="2" t="s">
        <v>3491</v>
      </c>
      <c r="I953" s="2" t="s">
        <v>3492</v>
      </c>
      <c r="J953" s="2" t="s">
        <v>1929</v>
      </c>
      <c r="K953" s="2" t="s">
        <v>3493</v>
      </c>
      <c r="L953" s="2" t="s">
        <v>4125</v>
      </c>
      <c r="M953" s="5">
        <v>45386.749421296299</v>
      </c>
      <c r="N953" s="2" t="str">
        <f>HYPERLINK("http://twitter.com/TomLeiss/status/1776006622483005596")</f>
        <v>http://twitter.com/TomLeiss/status/1776006622483005596</v>
      </c>
      <c r="O953" s="2" t="str">
        <f>HYPERLINK("https://www.ussoccer.com/stories/2024/04/2024-us-open-cup-third-round-schedule-matches-how-to-watch-stream-april-16-17")</f>
        <v>https://www.ussoccer.com/stories/2024/04/2024-us-open-cup-third-round-schedule-matches-how-to-watch-stream-april-16-17</v>
      </c>
    </row>
    <row r="954" spans="1:15" ht="66" x14ac:dyDescent="0.3">
      <c r="A954" s="2" t="s">
        <v>4126</v>
      </c>
      <c r="B954" s="2" t="s">
        <v>4127</v>
      </c>
      <c r="C954" s="2" t="s">
        <v>4128</v>
      </c>
      <c r="D954" s="2" t="s">
        <v>4129</v>
      </c>
      <c r="E954" s="2" t="str">
        <f>HYPERLINK("http://twitter.com/GFO1025")</f>
        <v>http://twitter.com/GFO1025</v>
      </c>
      <c r="F954" s="2" t="str">
        <f>HYPERLINK("https://muckrack.com/greg-orlandini-1")</f>
        <v>https://muckrack.com/greg-orlandini-1</v>
      </c>
      <c r="G954" s="2">
        <v>1031</v>
      </c>
      <c r="H954" s="2" t="s">
        <v>4130</v>
      </c>
      <c r="I954" s="2" t="s">
        <v>4131</v>
      </c>
      <c r="J954" s="2" t="s">
        <v>1954</v>
      </c>
      <c r="K954" s="2" t="s">
        <v>4132</v>
      </c>
      <c r="L954" s="2" t="s">
        <v>4133</v>
      </c>
      <c r="M954" s="5">
        <v>45386.823159722233</v>
      </c>
      <c r="N954" s="2" t="str">
        <f>HYPERLINK("http://twitter.com/GFO1025/status/1776033345001885962")</f>
        <v>http://twitter.com/GFO1025/status/1776033345001885962</v>
      </c>
      <c r="O954" s="2" t="str">
        <f>HYPERLINK("https://www.cbssports.com/soccer/news/from-superfan-jack-harlow-to-the-euro-pipeline-meet-louisville-city-fc-one-of-american-soccers-hidden-gems/")</f>
        <v>https://www.cbssports.com/soccer/news/from-superfan-jack-harlow-to-the-euro-pipeline-meet-louisville-city-fc-one-of-american-soccers-hidden-gems/</v>
      </c>
    </row>
    <row r="955" spans="1:15" ht="66" x14ac:dyDescent="0.3">
      <c r="A955" s="2" t="s">
        <v>1307</v>
      </c>
      <c r="B955" s="2" t="s">
        <v>2770</v>
      </c>
      <c r="C955" s="2" t="s">
        <v>2771</v>
      </c>
      <c r="D955" s="2" t="s">
        <v>2772</v>
      </c>
      <c r="E955" s="2" t="str">
        <f>HYPERLINK("http://twitter.com/ChuckBoothSport")</f>
        <v>http://twitter.com/ChuckBoothSport</v>
      </c>
      <c r="F955" s="2" t="str">
        <f>HYPERLINK("https://muckrack.com/chuck-booth")</f>
        <v>https://muckrack.com/chuck-booth</v>
      </c>
      <c r="G955" s="2">
        <v>4380</v>
      </c>
      <c r="H955" s="2" t="s">
        <v>2773</v>
      </c>
      <c r="I955" s="2" t="s">
        <v>2774</v>
      </c>
      <c r="J955" s="2" t="s">
        <v>2775</v>
      </c>
      <c r="K955" s="2" t="s">
        <v>813</v>
      </c>
      <c r="L955" s="2" t="s">
        <v>4133</v>
      </c>
      <c r="M955" s="5">
        <v>45387.388784722221</v>
      </c>
      <c r="N955" s="2" t="str">
        <f>HYPERLINK("http://twitter.com/ChuckBoothSport/status/1776238323092148321")</f>
        <v>http://twitter.com/ChuckBoothSport/status/1776238323092148321</v>
      </c>
      <c r="O955" s="2" t="str">
        <f>HYPERLINK("https://www.cbssports.com/soccer/news/from-superfan-jack-harlow-to-the-euro-pipeline-meet-louisville-city-fc-one-of-american-soccers-hidden-gems/")</f>
        <v>https://www.cbssports.com/soccer/news/from-superfan-jack-harlow-to-the-euro-pipeline-meet-louisville-city-fc-one-of-american-soccers-hidden-gems/</v>
      </c>
    </row>
    <row r="956" spans="1:15" ht="66" x14ac:dyDescent="0.3">
      <c r="A956" s="2" t="s">
        <v>1307</v>
      </c>
      <c r="B956" s="2" t="s">
        <v>2770</v>
      </c>
      <c r="C956" s="2" t="s">
        <v>2771</v>
      </c>
      <c r="D956" s="2" t="s">
        <v>2772</v>
      </c>
      <c r="E956" s="2" t="str">
        <f>HYPERLINK("http://twitter.com/ChuckBoothSport")</f>
        <v>http://twitter.com/ChuckBoothSport</v>
      </c>
      <c r="F956" s="2" t="str">
        <f>HYPERLINK("https://muckrack.com/chuck-booth")</f>
        <v>https://muckrack.com/chuck-booth</v>
      </c>
      <c r="G956" s="2">
        <v>4380</v>
      </c>
      <c r="H956" s="2" t="s">
        <v>2773</v>
      </c>
      <c r="I956" s="2" t="s">
        <v>2774</v>
      </c>
      <c r="J956" s="2" t="s">
        <v>2775</v>
      </c>
      <c r="K956" s="2" t="s">
        <v>813</v>
      </c>
      <c r="L956" s="2" t="s">
        <v>4134</v>
      </c>
      <c r="M956" s="5">
        <v>45386.636805555558</v>
      </c>
      <c r="N956" s="2" t="str">
        <f>HYPERLINK("http://twitter.com/ChuckBoothSport/status/1775965814367142145")</f>
        <v>http://twitter.com/ChuckBoothSport/status/1775965814367142145</v>
      </c>
      <c r="O956" s="2" t="str">
        <f>HYPERLINK("https://www.cbssports.com/soccer/news/louisville-city-fc-americas-best-soccer-team-that-you-may-not-know-earns-fans-including-rapper-jack-harlow/")</f>
        <v>https://www.cbssports.com/soccer/news/louisville-city-fc-americas-best-soccer-team-that-you-may-not-know-earns-fans-including-rapper-jack-harlow/</v>
      </c>
    </row>
    <row r="957" spans="1:15" ht="66" x14ac:dyDescent="0.3">
      <c r="A957" s="2" t="s">
        <v>1307</v>
      </c>
      <c r="B957" s="2" t="s">
        <v>2770</v>
      </c>
      <c r="C957" s="2" t="s">
        <v>2771</v>
      </c>
      <c r="D957" s="2" t="s">
        <v>2772</v>
      </c>
      <c r="E957" s="2" t="str">
        <f>HYPERLINK("http://twitter.com/ChuckBoothSport")</f>
        <v>http://twitter.com/ChuckBoothSport</v>
      </c>
      <c r="F957" s="2" t="str">
        <f>HYPERLINK("https://muckrack.com/chuck-booth")</f>
        <v>https://muckrack.com/chuck-booth</v>
      </c>
      <c r="G957" s="2">
        <v>4380</v>
      </c>
      <c r="H957" s="2" t="s">
        <v>2773</v>
      </c>
      <c r="I957" s="2" t="s">
        <v>2774</v>
      </c>
      <c r="J957" s="2" t="s">
        <v>2775</v>
      </c>
      <c r="K957" s="2" t="s">
        <v>813</v>
      </c>
      <c r="L957" s="2" t="s">
        <v>4133</v>
      </c>
      <c r="M957" s="5">
        <v>45387.388784722221</v>
      </c>
      <c r="N957" s="2" t="str">
        <f>HYPERLINK("http://twitter.com/ChuckBoothSport/status/1776238323092148321")</f>
        <v>http://twitter.com/ChuckBoothSport/status/1776238323092148321</v>
      </c>
      <c r="O957" s="2" t="str">
        <f>HYPERLINK("https://www.cbssports.com/soccer/news/louisville-city-fc-americas-best-soccer-team-that-you-may-not-know-earns-fans-including-rapper-jack-harlow/")</f>
        <v>https://www.cbssports.com/soccer/news/louisville-city-fc-americas-best-soccer-team-that-you-may-not-know-earns-fans-including-rapper-jack-harlow/</v>
      </c>
    </row>
    <row r="958" spans="1:15" ht="66" x14ac:dyDescent="0.3">
      <c r="A958" s="2" t="s">
        <v>4135</v>
      </c>
      <c r="B958" s="2" t="s">
        <v>1949</v>
      </c>
      <c r="C958" s="2"/>
      <c r="D958" s="2" t="s">
        <v>4136</v>
      </c>
      <c r="E958" s="2" t="str">
        <f>HYPERLINK("http://twitter.com/TheM_L_G")</f>
        <v>http://twitter.com/TheM_L_G</v>
      </c>
      <c r="F958" s="2" t="str">
        <f>HYPERLINK("https://muckrack.com/mike-goodman-4")</f>
        <v>https://muckrack.com/mike-goodman-4</v>
      </c>
      <c r="G958" s="2">
        <v>22997</v>
      </c>
      <c r="H958" s="2" t="s">
        <v>4137</v>
      </c>
      <c r="I958" s="2" t="s">
        <v>4138</v>
      </c>
      <c r="J958" s="2" t="s">
        <v>2033</v>
      </c>
      <c r="K958" s="2" t="s">
        <v>4139</v>
      </c>
      <c r="L958" s="2" t="s">
        <v>4133</v>
      </c>
      <c r="M958" s="5">
        <v>45386.64266203704</v>
      </c>
      <c r="N958" s="2" t="str">
        <f>HYPERLINK("http://twitter.com/TheM_L_G/status/1775967937557405796")</f>
        <v>http://twitter.com/TheM_L_G/status/1775967937557405796</v>
      </c>
      <c r="O958" s="2" t="str">
        <f>HYPERLINK("https://www.cbssports.com/soccer/news/louisville-city-fc-americas-best-soccer-team-that-you-may-not-know-earns-fans-including-rapper-jack-harlow/")</f>
        <v>https://www.cbssports.com/soccer/news/louisville-city-fc-americas-best-soccer-team-that-you-may-not-know-earns-fans-including-rapper-jack-harlow/</v>
      </c>
    </row>
    <row r="959" spans="1:15" ht="66" x14ac:dyDescent="0.3">
      <c r="A959" s="2" t="s">
        <v>4126</v>
      </c>
      <c r="B959" s="2" t="s">
        <v>4127</v>
      </c>
      <c r="C959" s="2" t="s">
        <v>4128</v>
      </c>
      <c r="D959" s="2" t="s">
        <v>4129</v>
      </c>
      <c r="E959" s="2" t="str">
        <f>HYPERLINK("http://twitter.com/GFO1025")</f>
        <v>http://twitter.com/GFO1025</v>
      </c>
      <c r="F959" s="2" t="str">
        <f>HYPERLINK("https://muckrack.com/greg-orlandini-1")</f>
        <v>https://muckrack.com/greg-orlandini-1</v>
      </c>
      <c r="G959" s="2">
        <v>1031</v>
      </c>
      <c r="H959" s="2" t="s">
        <v>4130</v>
      </c>
      <c r="I959" s="2" t="s">
        <v>4131</v>
      </c>
      <c r="J959" s="2" t="s">
        <v>1954</v>
      </c>
      <c r="K959" s="2" t="s">
        <v>4132</v>
      </c>
      <c r="L959" s="2" t="s">
        <v>4133</v>
      </c>
      <c r="M959" s="5">
        <v>45386.823159722233</v>
      </c>
      <c r="N959" s="2" t="str">
        <f>HYPERLINK("http://twitter.com/GFO1025/status/1776033345001885962")</f>
        <v>http://twitter.com/GFO1025/status/1776033345001885962</v>
      </c>
      <c r="O959" s="2" t="str">
        <f>HYPERLINK("https://www.cbssports.com/soccer/news/louisville-city-fc-americas-best-soccer-team-that-you-may-not-know-earns-fans-including-rapper-jack-harlow/")</f>
        <v>https://www.cbssports.com/soccer/news/louisville-city-fc-americas-best-soccer-team-that-you-may-not-know-earns-fans-including-rapper-jack-harlow/</v>
      </c>
    </row>
    <row r="960" spans="1:15" ht="39.6" x14ac:dyDescent="0.3">
      <c r="A960" s="2" t="s">
        <v>2362</v>
      </c>
      <c r="B960" s="2" t="s">
        <v>2363</v>
      </c>
      <c r="C960" s="2" t="s">
        <v>2364</v>
      </c>
      <c r="D960" s="2" t="s">
        <v>2365</v>
      </c>
      <c r="E960" s="2" t="str">
        <f>HYPERLINK("http://twitter.com/victoraraiza")</f>
        <v>http://twitter.com/victoraraiza</v>
      </c>
      <c r="F960" s="2" t="str">
        <f>HYPERLINK("https://muckrack.com/victor-araiza-1")</f>
        <v>https://muckrack.com/victor-araiza-1</v>
      </c>
      <c r="G960" s="2">
        <v>6470</v>
      </c>
      <c r="H960" s="2" t="s">
        <v>2366</v>
      </c>
      <c r="I960" s="2" t="s">
        <v>2367</v>
      </c>
      <c r="J960" s="2" t="s">
        <v>1929</v>
      </c>
      <c r="K960" s="2" t="s">
        <v>2034</v>
      </c>
      <c r="L960" s="2" t="s">
        <v>4140</v>
      </c>
      <c r="M960" s="5">
        <v>45386.794895833344</v>
      </c>
      <c r="N960" s="2" t="str">
        <f>HYPERLINK("http://twitter.com/victoraraiza/status/1776023104868745608")</f>
        <v>http://twitter.com/victoraraiza/status/1776023104868745608</v>
      </c>
      <c r="O960" s="2" t="str">
        <f>HYPERLINK("https://www.uslsoccer.com/news_article/show/1306074")</f>
        <v>https://www.uslsoccer.com/news_article/show/1306074</v>
      </c>
    </row>
    <row r="961" spans="1:15" ht="52.8" x14ac:dyDescent="0.3">
      <c r="A961" s="2" t="s">
        <v>2029</v>
      </c>
      <c r="B961" s="2" t="s">
        <v>1910</v>
      </c>
      <c r="C961" s="2"/>
      <c r="D961" s="2" t="s">
        <v>2030</v>
      </c>
      <c r="E961" s="2" t="str">
        <f>HYPERLINK("http://twitter.com/jj_pavlick")</f>
        <v>http://twitter.com/jj_pavlick</v>
      </c>
      <c r="F961" s="2" t="str">
        <f>HYPERLINK("https://muckrack.com/jj-pavlick")</f>
        <v>https://muckrack.com/jj-pavlick</v>
      </c>
      <c r="G961" s="2">
        <v>1887</v>
      </c>
      <c r="H961" s="2" t="s">
        <v>2031</v>
      </c>
      <c r="I961" s="2" t="s">
        <v>2032</v>
      </c>
      <c r="J961" s="2" t="s">
        <v>2033</v>
      </c>
      <c r="K961" s="2" t="s">
        <v>2034</v>
      </c>
      <c r="L961" s="2" t="s">
        <v>4140</v>
      </c>
      <c r="M961" s="5">
        <v>45434.584560185183</v>
      </c>
      <c r="N961" s="2" t="str">
        <f>HYPERLINK("http://twitter.com/jj_pavlick/status/1793341498131374246")</f>
        <v>http://twitter.com/jj_pavlick/status/1793341498131374246</v>
      </c>
      <c r="O961" s="2" t="str">
        <f>HYPERLINK("https://www.uslsoccer.com/news_article/show/1306074")</f>
        <v>https://www.uslsoccer.com/news_article/show/1306074</v>
      </c>
    </row>
    <row r="962" spans="1:15" ht="105.6" x14ac:dyDescent="0.3">
      <c r="A962" s="2" t="s">
        <v>1651</v>
      </c>
      <c r="B962" s="2" t="s">
        <v>2619</v>
      </c>
      <c r="C962" s="2" t="s">
        <v>2620</v>
      </c>
      <c r="D962" s="2" t="s">
        <v>2621</v>
      </c>
      <c r="E962" s="2" t="str">
        <f>HYPERLINK("http://twitter.com/worldsoccertalk")</f>
        <v>http://twitter.com/worldsoccertalk</v>
      </c>
      <c r="F962" s="2" t="str">
        <f>HYPERLINK("https://muckrack.com/christophermharris")</f>
        <v>https://muckrack.com/christophermharris</v>
      </c>
      <c r="G962" s="2">
        <v>81386</v>
      </c>
      <c r="H962" s="2" t="s">
        <v>2622</v>
      </c>
      <c r="I962" s="2" t="s">
        <v>2623</v>
      </c>
      <c r="J962" s="2" t="s">
        <v>2624</v>
      </c>
      <c r="K962" s="2" t="s">
        <v>2625</v>
      </c>
      <c r="L962" s="2" t="s">
        <v>4141</v>
      </c>
      <c r="M962" s="5">
        <v>45386.592245370368</v>
      </c>
      <c r="N962" s="2" t="str">
        <f>HYPERLINK("http://twitter.com/worldsoccertalk/status/1775949667152367627")</f>
        <v>http://twitter.com/worldsoccertalk/status/1775949667152367627</v>
      </c>
      <c r="O962" s="2" t="str">
        <f>HYPERLINK("https://worldsoccertalk.com/tv/cbs-to-broadcast-first-usl-game-on-over-the-air-network-tv")</f>
        <v>https://worldsoccertalk.com/tv/cbs-to-broadcast-first-usl-game-on-over-the-air-network-tv</v>
      </c>
    </row>
    <row r="963" spans="1:15" ht="52.8" x14ac:dyDescent="0.3">
      <c r="A963" s="2" t="s">
        <v>654</v>
      </c>
      <c r="B963" s="2" t="s">
        <v>2482</v>
      </c>
      <c r="C963" s="2"/>
      <c r="D963" s="2" t="s">
        <v>2483</v>
      </c>
      <c r="E963" s="2" t="str">
        <f>HYPERLINK("http://twitter.com/ldock93")</f>
        <v>http://twitter.com/ldock93</v>
      </c>
      <c r="F963" s="2" t="str">
        <f>HYPERLINK("https://muckrack.com/lawrence-dockery")</f>
        <v>https://muckrack.com/lawrence-dockery</v>
      </c>
      <c r="G963" s="2">
        <v>1147</v>
      </c>
      <c r="H963" s="2" t="s">
        <v>2484</v>
      </c>
      <c r="I963" s="2" t="s">
        <v>2485</v>
      </c>
      <c r="J963" s="2" t="s">
        <v>2033</v>
      </c>
      <c r="K963" s="2" t="s">
        <v>2486</v>
      </c>
      <c r="L963" s="2" t="s">
        <v>4142</v>
      </c>
      <c r="M963" s="5">
        <v>45386.577638888892</v>
      </c>
      <c r="N963" s="2" t="str">
        <f>HYPERLINK("http://twitter.com/ldock93/status/1775944371927404621")</f>
        <v>http://twitter.com/ldock93/status/1775944371927404621</v>
      </c>
      <c r="O963" s="2" t="str">
        <f>HYPERLINK("https://bluffcitymedia.co/memphis-901-fc-gets-us-open-cup-home-game/")</f>
        <v>https://bluffcitymedia.co/memphis-901-fc-gets-us-open-cup-home-game/</v>
      </c>
    </row>
    <row r="964" spans="1:15" ht="52.8" x14ac:dyDescent="0.3">
      <c r="A964" s="2" t="s">
        <v>654</v>
      </c>
      <c r="B964" s="2" t="s">
        <v>2482</v>
      </c>
      <c r="C964" s="2"/>
      <c r="D964" s="2" t="s">
        <v>2483</v>
      </c>
      <c r="E964" s="2" t="str">
        <f>HYPERLINK("http://twitter.com/ldock93")</f>
        <v>http://twitter.com/ldock93</v>
      </c>
      <c r="F964" s="2" t="str">
        <f>HYPERLINK("https://muckrack.com/lawrence-dockery")</f>
        <v>https://muckrack.com/lawrence-dockery</v>
      </c>
      <c r="G964" s="2">
        <v>1147</v>
      </c>
      <c r="H964" s="2" t="s">
        <v>2484</v>
      </c>
      <c r="I964" s="2" t="s">
        <v>2485</v>
      </c>
      <c r="J964" s="2" t="s">
        <v>2033</v>
      </c>
      <c r="K964" s="2" t="s">
        <v>2486</v>
      </c>
      <c r="L964" s="2" t="s">
        <v>4143</v>
      </c>
      <c r="M964" s="5">
        <v>45386.57953703704</v>
      </c>
      <c r="N964" s="2" t="str">
        <f>HYPERLINK("http://twitter.com/ldock93/status/1775945060325945605")</f>
        <v>http://twitter.com/ldock93/status/1775945060325945605</v>
      </c>
      <c r="O964" s="2" t="str">
        <f>HYPERLINK("https://bluffcitymedia.co/memphis-901-fc-gets-us-open-cup-home-game/")</f>
        <v>https://bluffcitymedia.co/memphis-901-fc-gets-us-open-cup-home-game/</v>
      </c>
    </row>
    <row r="965" spans="1:15" ht="39.6" x14ac:dyDescent="0.3">
      <c r="A965" s="2" t="s">
        <v>1656</v>
      </c>
      <c r="B965" s="2" t="s">
        <v>3415</v>
      </c>
      <c r="C965" s="2" t="s">
        <v>3416</v>
      </c>
      <c r="D965" s="2" t="s">
        <v>3417</v>
      </c>
      <c r="E965" s="2" t="str">
        <f>HYPERLINK("http://twitter.com/kkfla737")</f>
        <v>http://twitter.com/kkfla737</v>
      </c>
      <c r="F965" s="2" t="str">
        <f>HYPERLINK("https://muckrack.com/kartik-krishnaiyer")</f>
        <v>https://muckrack.com/kartik-krishnaiyer</v>
      </c>
      <c r="G965" s="2">
        <v>8469</v>
      </c>
      <c r="H965" s="2" t="s">
        <v>3418</v>
      </c>
      <c r="I965" s="2" t="s">
        <v>3419</v>
      </c>
      <c r="J965" s="2" t="s">
        <v>2033</v>
      </c>
      <c r="K965" s="2" t="s">
        <v>3420</v>
      </c>
      <c r="L965" s="2" t="s">
        <v>4144</v>
      </c>
      <c r="M965" s="5">
        <v>45386.596180555563</v>
      </c>
      <c r="N965" s="2" t="str">
        <f>HYPERLINK("http://twitter.com/kkfla737/status/1775951090434912263")</f>
        <v>http://twitter.com/kkfla737/status/1775951090434912263</v>
      </c>
      <c r="O965" s="2" t="str">
        <f>HYPERLINK("https://bluffcitymedia.co/memphis-901-fc-gets-us-open-cup-home-game/")</f>
        <v>https://bluffcitymedia.co/memphis-901-fc-gets-us-open-cup-home-game/</v>
      </c>
    </row>
    <row r="966" spans="1:15" ht="52.8" x14ac:dyDescent="0.3">
      <c r="A966" s="2" t="s">
        <v>4145</v>
      </c>
      <c r="B966" s="2" t="s">
        <v>3263</v>
      </c>
      <c r="C966" s="2" t="s">
        <v>4146</v>
      </c>
      <c r="D966" s="2" t="s">
        <v>4147</v>
      </c>
      <c r="E966" s="2" t="str">
        <f>HYPERLINK("http://twitter.com/TawanaAndrew")</f>
        <v>http://twitter.com/TawanaAndrew</v>
      </c>
      <c r="F966" s="2" t="str">
        <f>HYPERLINK("https://muckrack.com/tawana-andrew")</f>
        <v>https://muckrack.com/tawana-andrew</v>
      </c>
      <c r="G966" s="2">
        <v>3005</v>
      </c>
      <c r="H966" s="2" t="s">
        <v>4056</v>
      </c>
      <c r="I966" s="2" t="s">
        <v>4148</v>
      </c>
      <c r="J966" s="2" t="s">
        <v>3874</v>
      </c>
      <c r="K966" s="2" t="s">
        <v>984</v>
      </c>
      <c r="L966" s="2" t="s">
        <v>4149</v>
      </c>
      <c r="M966" s="5">
        <v>45386.587627314817</v>
      </c>
      <c r="N966" s="2" t="str">
        <f>HYPERLINK("http://twitter.com/TawanaAndrew/status/1775947991079092560")</f>
        <v>http://twitter.com/TawanaAndrew/status/1775947991079092560</v>
      </c>
      <c r="O966" s="2" t="str">
        <f>HYPERLINK("https://www.uslchampionship.com/news_article/show/1306076")</f>
        <v>https://www.uslchampionship.com/news_article/show/1306076</v>
      </c>
    </row>
    <row r="967" spans="1:15" ht="52.8" x14ac:dyDescent="0.3">
      <c r="A967" s="2" t="s">
        <v>4145</v>
      </c>
      <c r="B967" s="2" t="s">
        <v>3263</v>
      </c>
      <c r="C967" s="2" t="s">
        <v>4146</v>
      </c>
      <c r="D967" s="2" t="s">
        <v>4147</v>
      </c>
      <c r="E967" s="2" t="str">
        <f>HYPERLINK("http://twitter.com/TawanaAndrew")</f>
        <v>http://twitter.com/TawanaAndrew</v>
      </c>
      <c r="F967" s="2" t="str">
        <f>HYPERLINK("https://muckrack.com/tawana-andrew")</f>
        <v>https://muckrack.com/tawana-andrew</v>
      </c>
      <c r="G967" s="2">
        <v>3005</v>
      </c>
      <c r="H967" s="2" t="s">
        <v>4056</v>
      </c>
      <c r="I967" s="2" t="s">
        <v>4148</v>
      </c>
      <c r="J967" s="2" t="s">
        <v>3874</v>
      </c>
      <c r="K967" s="2" t="s">
        <v>984</v>
      </c>
      <c r="L967" s="2" t="s">
        <v>4150</v>
      </c>
      <c r="M967" s="5">
        <v>45386.588067129633</v>
      </c>
      <c r="N967" s="2" t="str">
        <f>HYPERLINK("http://twitter.com/TawanaAndrew/status/1775948151653855647")</f>
        <v>http://twitter.com/TawanaAndrew/status/1775948151653855647</v>
      </c>
      <c r="O967" s="2" t="str">
        <f>HYPERLINK("https://www.uslchampionship.com/news_article/show/1306076")</f>
        <v>https://www.uslchampionship.com/news_article/show/1306076</v>
      </c>
    </row>
    <row r="968" spans="1:15" ht="79.2" x14ac:dyDescent="0.3">
      <c r="A968" s="2" t="s">
        <v>4151</v>
      </c>
      <c r="B968" s="2" t="s">
        <v>4152</v>
      </c>
      <c r="C968" s="2" t="s">
        <v>4153</v>
      </c>
      <c r="D968" s="2" t="s">
        <v>4154</v>
      </c>
      <c r="E968" s="2" t="str">
        <f>HYPERLINK("http://twitter.com/JackAlbrightMU")</f>
        <v>http://twitter.com/JackAlbrightMU</v>
      </c>
      <c r="F968" s="2" t="str">
        <f>HYPERLINK("https://muckrack.com/jack-albright")</f>
        <v>https://muckrack.com/jack-albright</v>
      </c>
      <c r="G968" s="2">
        <v>512</v>
      </c>
      <c r="H968" s="2" t="s">
        <v>1952</v>
      </c>
      <c r="I968" s="2" t="s">
        <v>4155</v>
      </c>
      <c r="J968" s="2" t="s">
        <v>2033</v>
      </c>
      <c r="K968" s="2" t="s">
        <v>4156</v>
      </c>
      <c r="L968" s="2" t="s">
        <v>4157</v>
      </c>
      <c r="M968" s="5">
        <v>45386.689432870371</v>
      </c>
      <c r="N968" s="2" t="str">
        <f>HYPERLINK("http://twitter.com/JackAlbrightMU/status/1775984883157909581")</f>
        <v>http://twitter.com/JackAlbrightMU/status/1775984883157909581</v>
      </c>
      <c r="O968" s="2" t="str">
        <f>HYPERLINK("https://gomarquette.com/news/2024/4/4/mens-soccer-msoc-adds-five-signees-to-2024-class")</f>
        <v>https://gomarquette.com/news/2024/4/4/mens-soccer-msoc-adds-five-signees-to-2024-class</v>
      </c>
    </row>
    <row r="969" spans="1:15" ht="52.8" x14ac:dyDescent="0.3">
      <c r="A969" s="2" t="s">
        <v>1724</v>
      </c>
      <c r="B969" s="2" t="s">
        <v>4158</v>
      </c>
      <c r="C969" s="2" t="s">
        <v>4159</v>
      </c>
      <c r="D969" s="2" t="s">
        <v>4160</v>
      </c>
      <c r="E969" s="2" t="str">
        <f>HYPERLINK("http://twitter.com/schrayguy")</f>
        <v>http://twitter.com/schrayguy</v>
      </c>
      <c r="F969" s="2" t="str">
        <f>HYPERLINK("https://muckrack.com/gabriel-schray")</f>
        <v>https://muckrack.com/gabriel-schray</v>
      </c>
      <c r="G969" s="2">
        <v>4293</v>
      </c>
      <c r="H969" s="2" t="s">
        <v>4161</v>
      </c>
      <c r="I969" s="2" t="s">
        <v>4162</v>
      </c>
      <c r="J969" s="2" t="s">
        <v>4163</v>
      </c>
      <c r="K969" s="2" t="s">
        <v>4164</v>
      </c>
      <c r="L969" s="2" t="s">
        <v>4165</v>
      </c>
      <c r="M969" s="5">
        <v>45384.782407407409</v>
      </c>
      <c r="N969" s="2" t="str">
        <f>HYPERLINK("http://twitter.com/schrayguy/status/1775293803714203827")</f>
        <v>http://twitter.com/schrayguy/status/1775293803714203827</v>
      </c>
      <c r="O969" s="2" t="str">
        <f>HYPERLINK("https://mwsn.net/archives/historic-usl-match-between-louisville-city-and-indy-eleven-to-air-on-cbs-television-network/")</f>
        <v>https://mwsn.net/archives/historic-usl-match-between-louisville-city-and-indy-eleven-to-air-on-cbs-television-network/</v>
      </c>
    </row>
    <row r="970" spans="1:15" ht="52.8" x14ac:dyDescent="0.3">
      <c r="A970" s="2" t="s">
        <v>3487</v>
      </c>
      <c r="B970" s="2" t="s">
        <v>3488</v>
      </c>
      <c r="C970" s="2" t="s">
        <v>3489</v>
      </c>
      <c r="D970" s="2" t="s">
        <v>3490</v>
      </c>
      <c r="E970" s="2" t="str">
        <f>HYPERLINK("http://twitter.com/TomLeiss")</f>
        <v>http://twitter.com/TomLeiss</v>
      </c>
      <c r="F970" s="2" t="str">
        <f>HYPERLINK("https://muckrack.com/tom-leiss")</f>
        <v>https://muckrack.com/tom-leiss</v>
      </c>
      <c r="G970" s="2">
        <v>1039</v>
      </c>
      <c r="H970" s="2" t="s">
        <v>3491</v>
      </c>
      <c r="I970" s="2" t="s">
        <v>3492</v>
      </c>
      <c r="J970" s="2" t="s">
        <v>1929</v>
      </c>
      <c r="K970" s="2" t="s">
        <v>3493</v>
      </c>
      <c r="L970" s="2" t="s">
        <v>4166</v>
      </c>
      <c r="M970" s="5">
        <v>45384.50885416667</v>
      </c>
      <c r="N970" s="2" t="str">
        <f>HYPERLINK("http://twitter.com/TomLeiss/status/1775194671561478627")</f>
        <v>http://twitter.com/TomLeiss/status/1775194671561478627</v>
      </c>
      <c r="O970" s="2" t="str">
        <f>HYPERLINK("https://thecup.us/2024/04/01/2024-us-open-cup-round-2-preview-usl-championship-teams-await-winners/")</f>
        <v>https://thecup.us/2024/04/01/2024-us-open-cup-round-2-preview-usl-championship-teams-await-winners/</v>
      </c>
    </row>
    <row r="971" spans="1:15" ht="52.8" x14ac:dyDescent="0.3">
      <c r="A971" s="2" t="s">
        <v>4059</v>
      </c>
      <c r="B971" s="2" t="s">
        <v>2467</v>
      </c>
      <c r="C971" s="2" t="s">
        <v>4060</v>
      </c>
      <c r="D971" s="2" t="s">
        <v>4061</v>
      </c>
      <c r="E971" s="2" t="str">
        <f>HYPERLINK("http://twitter.com/MattAboutMoney")</f>
        <v>http://twitter.com/MattAboutMoney</v>
      </c>
      <c r="F971" s="2" t="str">
        <f>HYPERLINK("https://muckrack.com/matt-bell-16")</f>
        <v>https://muckrack.com/matt-bell-16</v>
      </c>
      <c r="G971" s="2">
        <v>1413</v>
      </c>
      <c r="H971" s="2" t="s">
        <v>4056</v>
      </c>
      <c r="I971" s="2" t="s">
        <v>4062</v>
      </c>
      <c r="J971" s="2" t="s">
        <v>4063</v>
      </c>
      <c r="K971" s="2" t="s">
        <v>4064</v>
      </c>
      <c r="L971" s="2" t="s">
        <v>4167</v>
      </c>
      <c r="M971" s="5">
        <v>45384.907407407409</v>
      </c>
      <c r="N971" s="2" t="str">
        <f>HYPERLINK("http://twitter.com/MattAboutMoney/status/1775339101488578663")</f>
        <v>http://twitter.com/MattAboutMoney/status/1775339101488578663</v>
      </c>
      <c r="O971" s="2" t="str">
        <f>HYPERLINK("https://www.loucity.com/news/2024/03/31/analysis-newcomers-have-raised-loucitys-2024-ceiling/")</f>
        <v>https://www.loucity.com/news/2024/03/31/analysis-newcomers-have-raised-loucitys-2024-ceiling/</v>
      </c>
    </row>
    <row r="972" spans="1:15" ht="52.8" x14ac:dyDescent="0.3">
      <c r="A972" s="2" t="s">
        <v>654</v>
      </c>
      <c r="B972" s="2" t="s">
        <v>2482</v>
      </c>
      <c r="C972" s="2"/>
      <c r="D972" s="2" t="s">
        <v>2483</v>
      </c>
      <c r="E972" s="2" t="str">
        <f>HYPERLINK("http://twitter.com/ldock93")</f>
        <v>http://twitter.com/ldock93</v>
      </c>
      <c r="F972" s="2" t="str">
        <f>HYPERLINK("https://muckrack.com/lawrence-dockery")</f>
        <v>https://muckrack.com/lawrence-dockery</v>
      </c>
      <c r="G972" s="2">
        <v>1147</v>
      </c>
      <c r="H972" s="2" t="s">
        <v>2484</v>
      </c>
      <c r="I972" s="2" t="s">
        <v>2485</v>
      </c>
      <c r="J972" s="2" t="s">
        <v>2033</v>
      </c>
      <c r="K972" s="2" t="s">
        <v>2486</v>
      </c>
      <c r="L972" s="2" t="s">
        <v>4168</v>
      </c>
      <c r="M972" s="5">
        <v>45381.37704861111</v>
      </c>
      <c r="N972" s="2" t="str">
        <f>HYPERLINK("http://twitter.com/ldock93/status/1774059743230796160")</f>
        <v>http://twitter.com/ldock93/status/1774059743230796160</v>
      </c>
      <c r="O972" s="2" t="str">
        <f>HYPERLINK("https://bluffcitymedia.co/memphis-901-fc-sacramento-republic-preview/")</f>
        <v>https://bluffcitymedia.co/memphis-901-fc-sacramento-republic-preview/</v>
      </c>
    </row>
    <row r="973" spans="1:15" ht="52.8" x14ac:dyDescent="0.3">
      <c r="A973" s="2" t="s">
        <v>654</v>
      </c>
      <c r="B973" s="2" t="s">
        <v>2482</v>
      </c>
      <c r="C973" s="2"/>
      <c r="D973" s="2" t="s">
        <v>2483</v>
      </c>
      <c r="E973" s="2" t="str">
        <f>HYPERLINK("http://twitter.com/ldock93")</f>
        <v>http://twitter.com/ldock93</v>
      </c>
      <c r="F973" s="2" t="str">
        <f>HYPERLINK("https://muckrack.com/lawrence-dockery")</f>
        <v>https://muckrack.com/lawrence-dockery</v>
      </c>
      <c r="G973" s="2">
        <v>1147</v>
      </c>
      <c r="H973" s="2" t="s">
        <v>2484</v>
      </c>
      <c r="I973" s="2" t="s">
        <v>2485</v>
      </c>
      <c r="J973" s="2" t="s">
        <v>2033</v>
      </c>
      <c r="K973" s="2" t="s">
        <v>2486</v>
      </c>
      <c r="L973" s="2" t="s">
        <v>4169</v>
      </c>
      <c r="M973" s="5">
        <v>45381.379108796304</v>
      </c>
      <c r="N973" s="2" t="str">
        <f>HYPERLINK("http://twitter.com/ldock93/status/1774060490173349925")</f>
        <v>http://twitter.com/ldock93/status/1774060490173349925</v>
      </c>
      <c r="O973" s="2" t="str">
        <f>HYPERLINK("https://bluffcitymedia.co/memphis-901-fc-sacramento-republic-preview/")</f>
        <v>https://bluffcitymedia.co/memphis-901-fc-sacramento-republic-preview/</v>
      </c>
    </row>
    <row r="974" spans="1:15" ht="39.6" x14ac:dyDescent="0.3">
      <c r="A974" s="2" t="s">
        <v>1756</v>
      </c>
      <c r="B974" s="2" t="s">
        <v>2467</v>
      </c>
      <c r="C974" s="2" t="s">
        <v>4170</v>
      </c>
      <c r="D974" s="2" t="s">
        <v>4171</v>
      </c>
      <c r="E974" s="2" t="str">
        <f>HYPERLINK("http://twitter.com/marisaroffman")</f>
        <v>http://twitter.com/marisaroffman</v>
      </c>
      <c r="F974" s="2" t="str">
        <f>HYPERLINK("https://muckrack.com/marisa-roffman")</f>
        <v>https://muckrack.com/marisa-roffman</v>
      </c>
      <c r="G974" s="2">
        <v>14259</v>
      </c>
      <c r="H974" s="2"/>
      <c r="I974" s="2" t="s">
        <v>4172</v>
      </c>
      <c r="J974" s="2" t="s">
        <v>4173</v>
      </c>
      <c r="K974" s="2" t="s">
        <v>1757</v>
      </c>
      <c r="L974" s="2" t="s">
        <v>4174</v>
      </c>
      <c r="M974" s="5">
        <v>45379.447118055563</v>
      </c>
      <c r="N974" s="2" t="str">
        <f>HYPERLINK("http://twitter.com/marisaroffman/status/1773360356854825451")</f>
        <v>http://twitter.com/marisaroffman/status/1773360356854825451</v>
      </c>
      <c r="O974" s="2" t="str">
        <f>HYPERLINK("https://www.givememyremote.com/remote/2024/03/28/paramount-plus-april-2024-lineup/")</f>
        <v>https://www.givememyremote.com/remote/2024/03/28/paramount-plus-april-2024-lineup/</v>
      </c>
    </row>
    <row r="975" spans="1:15" ht="66" x14ac:dyDescent="0.3">
      <c r="A975" s="2" t="s">
        <v>993</v>
      </c>
      <c r="B975" s="2" t="s">
        <v>2289</v>
      </c>
      <c r="C975" s="2" t="s">
        <v>2981</v>
      </c>
      <c r="D975" s="2" t="s">
        <v>2982</v>
      </c>
      <c r="E975" s="2" t="str">
        <f>HYPERLINK("http://twitter.com/StephenWhit89")</f>
        <v>http://twitter.com/StephenWhit89</v>
      </c>
      <c r="F975" s="2" t="str">
        <f>HYPERLINK("https://muckrack.com/stephen-whitaker")</f>
        <v>https://muckrack.com/stephen-whitaker</v>
      </c>
      <c r="G975" s="2">
        <v>1127</v>
      </c>
      <c r="H975" s="2" t="s">
        <v>2983</v>
      </c>
      <c r="I975" s="2" t="s">
        <v>2984</v>
      </c>
      <c r="J975" s="2" t="s">
        <v>2033</v>
      </c>
      <c r="K975" s="2" t="s">
        <v>2985</v>
      </c>
      <c r="L975" s="2" t="s">
        <v>4175</v>
      </c>
      <c r="M975" s="5">
        <v>45378.719085648147</v>
      </c>
      <c r="N975" s="2" t="str">
        <f>HYPERLINK("http://twitter.com/StephenWhit89/status/1773096528799826197")</f>
        <v>http://twitter.com/StephenWhit89/status/1773096528799826197</v>
      </c>
      <c r="O975" s="2" t="str">
        <f>HYPERLINK("https://www.uslchampionship.com/news_article/show/1305340")</f>
        <v>https://www.uslchampionship.com/news_article/show/1305340</v>
      </c>
    </row>
    <row r="976" spans="1:15" ht="66" x14ac:dyDescent="0.3">
      <c r="A976" s="2" t="s">
        <v>4176</v>
      </c>
      <c r="B976" s="2" t="s">
        <v>2490</v>
      </c>
      <c r="C976" s="2" t="s">
        <v>4177</v>
      </c>
      <c r="D976" s="2" t="s">
        <v>4178</v>
      </c>
      <c r="E976" s="2" t="str">
        <f>HYPERLINK("http://twitter.com/Lebapino")</f>
        <v>http://twitter.com/Lebapino</v>
      </c>
      <c r="F976" s="2" t="str">
        <f>HYPERLINK("https://muckrack.com/ramsey-abushahla")</f>
        <v>https://muckrack.com/ramsey-abushahla</v>
      </c>
      <c r="G976" s="2">
        <v>553</v>
      </c>
      <c r="H976" s="2"/>
      <c r="I976" s="2" t="s">
        <v>4179</v>
      </c>
      <c r="J976" s="2" t="s">
        <v>2033</v>
      </c>
      <c r="K976" s="2" t="s">
        <v>1761</v>
      </c>
      <c r="L976" s="2" t="s">
        <v>4180</v>
      </c>
      <c r="M976" s="5">
        <v>45377.764745370368</v>
      </c>
      <c r="N976" s="2" t="str">
        <f>HYPERLINK("http://twitter.com/Lebapino/status/1772750685840511094")</f>
        <v>http://twitter.com/Lebapino/status/1772750685840511094</v>
      </c>
      <c r="O976" s="2" t="str">
        <f>HYPERLINK("https://urbanpitch.com/hunter-sulte-joins-the-urban-pitch-podcast/")</f>
        <v>https://urbanpitch.com/hunter-sulte-joins-the-urban-pitch-podcast/</v>
      </c>
    </row>
    <row r="977" spans="1:15" ht="52.8" x14ac:dyDescent="0.3">
      <c r="A977" s="2" t="s">
        <v>1656</v>
      </c>
      <c r="B977" s="2" t="s">
        <v>3415</v>
      </c>
      <c r="C977" s="2" t="s">
        <v>3416</v>
      </c>
      <c r="D977" s="2" t="s">
        <v>3417</v>
      </c>
      <c r="E977" s="2" t="str">
        <f>HYPERLINK("http://twitter.com/kkfla737")</f>
        <v>http://twitter.com/kkfla737</v>
      </c>
      <c r="F977" s="2" t="str">
        <f>HYPERLINK("https://muckrack.com/kartik-krishnaiyer")</f>
        <v>https://muckrack.com/kartik-krishnaiyer</v>
      </c>
      <c r="G977" s="2">
        <v>8469</v>
      </c>
      <c r="H977" s="2" t="s">
        <v>3418</v>
      </c>
      <c r="I977" s="2" t="s">
        <v>3419</v>
      </c>
      <c r="J977" s="2" t="s">
        <v>2033</v>
      </c>
      <c r="K977" s="2" t="s">
        <v>3420</v>
      </c>
      <c r="L977" s="2" t="s">
        <v>4181</v>
      </c>
      <c r="M977" s="5">
        <v>45376.358634259261</v>
      </c>
      <c r="N977" s="2" t="str">
        <f>HYPERLINK("http://twitter.com/kkfla737/status/1772241127707471881")</f>
        <v>http://twitter.com/kkfla737/status/1772241127707471881</v>
      </c>
      <c r="O977" s="2" t="str">
        <f>HYPERLINK("https://shorturl.at/uFGP6")</f>
        <v>https://shorturl.at/uFGP6</v>
      </c>
    </row>
    <row r="978" spans="1:15" ht="79.2" x14ac:dyDescent="0.3">
      <c r="A978" s="2" t="s">
        <v>1656</v>
      </c>
      <c r="B978" s="2" t="s">
        <v>3415</v>
      </c>
      <c r="C978" s="2" t="s">
        <v>3416</v>
      </c>
      <c r="D978" s="2" t="s">
        <v>3417</v>
      </c>
      <c r="E978" s="2" t="str">
        <f>HYPERLINK("http://twitter.com/kkfla737")</f>
        <v>http://twitter.com/kkfla737</v>
      </c>
      <c r="F978" s="2" t="str">
        <f>HYPERLINK("https://muckrack.com/kartik-krishnaiyer")</f>
        <v>https://muckrack.com/kartik-krishnaiyer</v>
      </c>
      <c r="G978" s="2">
        <v>8469</v>
      </c>
      <c r="H978" s="2" t="s">
        <v>3418</v>
      </c>
      <c r="I978" s="2" t="s">
        <v>3419</v>
      </c>
      <c r="J978" s="2" t="s">
        <v>2033</v>
      </c>
      <c r="K978" s="2" t="s">
        <v>3420</v>
      </c>
      <c r="L978" s="2" t="s">
        <v>4182</v>
      </c>
      <c r="M978" s="5">
        <v>45376.361516203702</v>
      </c>
      <c r="N978" s="2" t="str">
        <f>HYPERLINK("http://twitter.com/kkfla737/status/1772242171518714212")</f>
        <v>http://twitter.com/kkfla737/status/1772242171518714212</v>
      </c>
      <c r="O978" s="2" t="str">
        <f>HYPERLINK("https://shorturl.at/uFGP6")</f>
        <v>https://shorturl.at/uFGP6</v>
      </c>
    </row>
    <row r="979" spans="1:15" ht="105.6" x14ac:dyDescent="0.3">
      <c r="A979" s="2" t="s">
        <v>755</v>
      </c>
      <c r="B979" s="2" t="s">
        <v>2702</v>
      </c>
      <c r="C979" s="2" t="s">
        <v>2703</v>
      </c>
      <c r="D979" s="2" t="s">
        <v>2704</v>
      </c>
      <c r="E979" s="2" t="str">
        <f>HYPERLINK("http://twitter.com/nolanbianchi")</f>
        <v>http://twitter.com/nolanbianchi</v>
      </c>
      <c r="F979" s="2" t="str">
        <f>HYPERLINK("https://muckrack.com/nolan-bianchi")</f>
        <v>https://muckrack.com/nolan-bianchi</v>
      </c>
      <c r="G979" s="2">
        <v>11819</v>
      </c>
      <c r="H979" s="2"/>
      <c r="I979" s="2" t="s">
        <v>2705</v>
      </c>
      <c r="J979" s="2" t="s">
        <v>2706</v>
      </c>
      <c r="K979" s="2" t="s">
        <v>64</v>
      </c>
      <c r="L979" s="2" t="s">
        <v>4183</v>
      </c>
      <c r="M979" s="5">
        <v>45375.450659722221</v>
      </c>
      <c r="N979" s="2" t="str">
        <f>HYPERLINK("http://twitter.com/nolanbianchi/status/1771912089340158431")</f>
        <v>http://twitter.com/nolanbianchi/status/1771912089340158431</v>
      </c>
      <c r="O979" s="2" t="str">
        <f>HYPERLINK("https://www.detroitnews.com/story/sports/soccer/2024/03/23/second-half-comeback-delivers-detroit-city-fc-home-opening-win/73081493007/")</f>
        <v>https://www.detroitnews.com/story/sports/soccer/2024/03/23/second-half-comeback-delivers-detroit-city-fc-home-opening-win/73081493007/</v>
      </c>
    </row>
    <row r="980" spans="1:15" ht="52.8" x14ac:dyDescent="0.3">
      <c r="A980" s="2" t="s">
        <v>2035</v>
      </c>
      <c r="B980" s="2" t="s">
        <v>2036</v>
      </c>
      <c r="C980" s="2" t="s">
        <v>2037</v>
      </c>
      <c r="D980" s="2" t="s">
        <v>2038</v>
      </c>
      <c r="E980" s="2" t="str">
        <f>HYPERLINK("http://twitter.com/JohnNiyo")</f>
        <v>http://twitter.com/JohnNiyo</v>
      </c>
      <c r="F980" s="2" t="str">
        <f>HYPERLINK("https://muckrack.com/johnniyo")</f>
        <v>https://muckrack.com/johnniyo</v>
      </c>
      <c r="G980" s="2">
        <v>14286</v>
      </c>
      <c r="H980" s="2" t="s">
        <v>2039</v>
      </c>
      <c r="I980" s="2" t="s">
        <v>2040</v>
      </c>
      <c r="J980" s="2" t="s">
        <v>2041</v>
      </c>
      <c r="K980" s="2" t="s">
        <v>64</v>
      </c>
      <c r="L980" s="2" t="s">
        <v>4184</v>
      </c>
      <c r="M980" s="5">
        <v>45375.46261574074</v>
      </c>
      <c r="N980" s="2" t="str">
        <f>HYPERLINK("http://twitter.com/JohnNiyo/status/1771916423239029230")</f>
        <v>http://twitter.com/JohnNiyo/status/1771916423239029230</v>
      </c>
      <c r="O980" s="2" t="str">
        <f>HYPERLINK("https://www.detroitnews.com/story/sports/soccer/2024/03/23/second-half-comeback-delivers-detroit-city-fc-home-opening-win/73081493007/")</f>
        <v>https://www.detroitnews.com/story/sports/soccer/2024/03/23/second-half-comeback-delivers-detroit-city-fc-home-opening-win/73081493007/</v>
      </c>
    </row>
    <row r="981" spans="1:15" ht="79.2" x14ac:dyDescent="0.3">
      <c r="A981" s="2" t="s">
        <v>4185</v>
      </c>
      <c r="B981" s="2" t="s">
        <v>2289</v>
      </c>
      <c r="C981" s="2" t="s">
        <v>4186</v>
      </c>
      <c r="D981" s="2" t="s">
        <v>4187</v>
      </c>
      <c r="E981" s="2" t="str">
        <f>HYPERLINK("http://twitter.com/corahalll")</f>
        <v>http://twitter.com/corahalll</v>
      </c>
      <c r="F981" s="2" t="str">
        <f>HYPERLINK("https://muckrack.com/corahalll")</f>
        <v>https://muckrack.com/corahalll</v>
      </c>
      <c r="G981" s="2">
        <v>4357</v>
      </c>
      <c r="H981" s="2" t="s">
        <v>4188</v>
      </c>
      <c r="I981" s="2" t="s">
        <v>4189</v>
      </c>
      <c r="J981" s="2" t="s">
        <v>2033</v>
      </c>
      <c r="K981" s="2" t="s">
        <v>4190</v>
      </c>
      <c r="L981" s="2" t="s">
        <v>4191</v>
      </c>
      <c r="M981" s="5">
        <v>45374.865810185183</v>
      </c>
      <c r="N981" s="2" t="str">
        <f>HYPERLINK("http://twitter.com/corahalll/status/1771700145844781360")</f>
        <v>http://twitter.com/corahalll/status/1771700145844781360</v>
      </c>
      <c r="O981" s="2" t="str">
        <f>HYPERLINK("https://www.espn.com/watch/player/_/id/7b983be6-52bf-4a1c-94d1-0031855222e0")</f>
        <v>https://www.espn.com/watch/player/_/id/7b983be6-52bf-4a1c-94d1-0031855222e0</v>
      </c>
    </row>
    <row r="982" spans="1:15" ht="79.2" x14ac:dyDescent="0.3">
      <c r="A982" s="2" t="s">
        <v>4192</v>
      </c>
      <c r="B982" s="2" t="s">
        <v>3352</v>
      </c>
      <c r="C982" s="2" t="s">
        <v>4193</v>
      </c>
      <c r="D982" s="2" t="s">
        <v>4194</v>
      </c>
      <c r="E982" s="2" t="str">
        <f>HYPERLINK("http://twitter.com/mmcornelius")</f>
        <v>http://twitter.com/mmcornelius</v>
      </c>
      <c r="F982" s="2" t="str">
        <f>HYPERLINK("https://muckrack.com/mmcornelius")</f>
        <v>https://muckrack.com/mmcornelius</v>
      </c>
      <c r="G982" s="2">
        <v>8668</v>
      </c>
      <c r="H982" s="2" t="s">
        <v>4195</v>
      </c>
      <c r="I982" s="2" t="s">
        <v>4196</v>
      </c>
      <c r="J982" s="2" t="s">
        <v>2000</v>
      </c>
      <c r="K982" s="2" t="s">
        <v>4197</v>
      </c>
      <c r="L982" s="2" t="s">
        <v>4191</v>
      </c>
      <c r="M982" s="5">
        <v>45374.877199074072</v>
      </c>
      <c r="N982" s="2" t="str">
        <f>HYPERLINK("http://twitter.com/mmcornelius/status/1771704274981913007")</f>
        <v>http://twitter.com/mmcornelius/status/1771704274981913007</v>
      </c>
      <c r="O982" s="2" t="str">
        <f>HYPERLINK("https://www.espn.com/watch/player/_/id/7b983be6-52bf-4a1c-94d1-0031855222e0")</f>
        <v>https://www.espn.com/watch/player/_/id/7b983be6-52bf-4a1c-94d1-0031855222e0</v>
      </c>
    </row>
    <row r="983" spans="1:15" ht="66" x14ac:dyDescent="0.3">
      <c r="A983" s="2" t="s">
        <v>4198</v>
      </c>
      <c r="B983" s="2" t="s">
        <v>4199</v>
      </c>
      <c r="C983" s="2" t="s">
        <v>4200</v>
      </c>
      <c r="D983" s="2" t="s">
        <v>4201</v>
      </c>
      <c r="E983" s="2" t="str">
        <f>HYPERLINK("http://twitter.com/schuttedan")</f>
        <v>http://twitter.com/schuttedan</v>
      </c>
      <c r="F983" s="2" t="str">
        <f>HYPERLINK("https://muckrack.com/dan-schutte")</f>
        <v>https://muckrack.com/dan-schutte</v>
      </c>
      <c r="G983" s="2">
        <v>3139</v>
      </c>
      <c r="H983" s="2" t="s">
        <v>4202</v>
      </c>
      <c r="I983" s="2" t="s">
        <v>4203</v>
      </c>
      <c r="J983" s="2" t="s">
        <v>1954</v>
      </c>
      <c r="K983" s="2" t="s">
        <v>4204</v>
      </c>
      <c r="L983" s="2" t="s">
        <v>4205</v>
      </c>
      <c r="M983" s="5">
        <v>45374.80574074074</v>
      </c>
      <c r="N983" s="2" t="str">
        <f>HYPERLINK("http://twitter.com/schuttedan/status/1771678381425181086")</f>
        <v>http://twitter.com/schuttedan/status/1771678381425181086</v>
      </c>
      <c r="O983" s="2" t="str">
        <f>HYPERLINK("https://www.espn.com/espnplus/player/_/id/b42ddc9b-af30-4ae5-b552-eb1fdaf27f5b")</f>
        <v>https://www.espn.com/espnplus/player/_/id/b42ddc9b-af30-4ae5-b552-eb1fdaf27f5b</v>
      </c>
    </row>
    <row r="984" spans="1:15" ht="66" x14ac:dyDescent="0.3">
      <c r="A984" s="2" t="s">
        <v>4198</v>
      </c>
      <c r="B984" s="2" t="s">
        <v>4199</v>
      </c>
      <c r="C984" s="2" t="s">
        <v>4200</v>
      </c>
      <c r="D984" s="2" t="s">
        <v>4201</v>
      </c>
      <c r="E984" s="2" t="str">
        <f>HYPERLINK("http://twitter.com/schuttedan")</f>
        <v>http://twitter.com/schuttedan</v>
      </c>
      <c r="F984" s="2" t="str">
        <f>HYPERLINK("https://muckrack.com/dan-schutte")</f>
        <v>https://muckrack.com/dan-schutte</v>
      </c>
      <c r="G984" s="2">
        <v>3139</v>
      </c>
      <c r="H984" s="2" t="s">
        <v>4202</v>
      </c>
      <c r="I984" s="2" t="s">
        <v>4203</v>
      </c>
      <c r="J984" s="2" t="s">
        <v>1954</v>
      </c>
      <c r="K984" s="2" t="s">
        <v>4204</v>
      </c>
      <c r="L984" s="2" t="s">
        <v>4206</v>
      </c>
      <c r="M984" s="5">
        <v>45374.812303240738</v>
      </c>
      <c r="N984" s="2" t="str">
        <f>HYPERLINK("http://twitter.com/schuttedan/status/1771680757502648358")</f>
        <v>http://twitter.com/schuttedan/status/1771680757502648358</v>
      </c>
      <c r="O984" s="2" t="str">
        <f>HYPERLINK("https://www.espn.com/espnplus/player/_/id/b42ddc9b-af30-4ae5-b552-eb1fdaf27f5b")</f>
        <v>https://www.espn.com/espnplus/player/_/id/b42ddc9b-af30-4ae5-b552-eb1fdaf27f5b</v>
      </c>
    </row>
    <row r="985" spans="1:15" ht="66" x14ac:dyDescent="0.3">
      <c r="A985" s="2" t="s">
        <v>4207</v>
      </c>
      <c r="B985" s="2" t="s">
        <v>1949</v>
      </c>
      <c r="C985" s="2"/>
      <c r="D985" s="2" t="s">
        <v>4208</v>
      </c>
      <c r="E985" s="2" t="str">
        <f>HYPERLINK("http://twitter.com/JeffWhiteUVa")</f>
        <v>http://twitter.com/JeffWhiteUVa</v>
      </c>
      <c r="F985" s="2" t="str">
        <f>HYPERLINK("https://muckrack.com/jeff-white-108")</f>
        <v>https://muckrack.com/jeff-white-108</v>
      </c>
      <c r="G985" s="2">
        <v>9277</v>
      </c>
      <c r="H985" s="2" t="s">
        <v>4209</v>
      </c>
      <c r="I985" s="2" t="s">
        <v>4210</v>
      </c>
      <c r="J985" s="2" t="s">
        <v>2033</v>
      </c>
      <c r="K985" s="2" t="s">
        <v>4211</v>
      </c>
      <c r="L985" s="2" t="s">
        <v>4206</v>
      </c>
      <c r="M985" s="5">
        <v>45374.812037037038</v>
      </c>
      <c r="N985" s="2" t="str">
        <f>HYPERLINK("http://twitter.com/JeffWhiteUVa/status/1771680662711341228")</f>
        <v>http://twitter.com/JeffWhiteUVa/status/1771680662711341228</v>
      </c>
      <c r="O985" s="2" t="str">
        <f>HYPERLINK("https://www.espn.com/espnplus/player/_/id/b42ddc9b-af30-4ae5-b552-eb1fdaf27f5b")</f>
        <v>https://www.espn.com/espnplus/player/_/id/b42ddc9b-af30-4ae5-b552-eb1fdaf27f5b</v>
      </c>
    </row>
    <row r="986" spans="1:15" ht="66" x14ac:dyDescent="0.3">
      <c r="A986" s="2" t="s">
        <v>4212</v>
      </c>
      <c r="B986" s="2" t="s">
        <v>4213</v>
      </c>
      <c r="C986" s="2" t="s">
        <v>4214</v>
      </c>
      <c r="D986" s="2" t="s">
        <v>4215</v>
      </c>
      <c r="E986" s="2" t="str">
        <f>HYPERLINK("http://twitter.com/Janednorris")</f>
        <v>http://twitter.com/Janednorris</v>
      </c>
      <c r="F986" s="2" t="str">
        <f>HYPERLINK("https://muckrack.com/jane-dunlap-sathe")</f>
        <v>https://muckrack.com/jane-dunlap-sathe</v>
      </c>
      <c r="G986" s="2">
        <v>1301</v>
      </c>
      <c r="H986" s="2" t="s">
        <v>4202</v>
      </c>
      <c r="I986" s="2" t="s">
        <v>4216</v>
      </c>
      <c r="J986" s="2" t="s">
        <v>1954</v>
      </c>
      <c r="K986" s="2" t="s">
        <v>4217</v>
      </c>
      <c r="L986" s="2" t="s">
        <v>4206</v>
      </c>
      <c r="M986" s="5">
        <v>45374.831574074073</v>
      </c>
      <c r="N986" s="2" t="str">
        <f>HYPERLINK("http://twitter.com/Janednorris/status/1771687742860034463")</f>
        <v>http://twitter.com/Janednorris/status/1771687742860034463</v>
      </c>
      <c r="O986" s="2" t="str">
        <f>HYPERLINK("https://www.espn.com/espnplus/player/_/id/b42ddc9b-af30-4ae5-b552-eb1fdaf27f5b")</f>
        <v>https://www.espn.com/espnplus/player/_/id/b42ddc9b-af30-4ae5-b552-eb1fdaf27f5b</v>
      </c>
    </row>
    <row r="987" spans="1:15" ht="52.8" x14ac:dyDescent="0.3">
      <c r="A987" s="2" t="s">
        <v>4218</v>
      </c>
      <c r="B987" s="2" t="s">
        <v>4219</v>
      </c>
      <c r="C987" s="2" t="s">
        <v>4220</v>
      </c>
      <c r="D987" s="2" t="s">
        <v>4221</v>
      </c>
      <c r="E987" s="2" t="str">
        <f>HYPERLINK("http://twitter.com/LukeTScribe")</f>
        <v>http://twitter.com/LukeTScribe</v>
      </c>
      <c r="F987" s="2" t="str">
        <f>HYPERLINK("https://muckrack.com/luke-r-thompson")</f>
        <v>https://muckrack.com/luke-r-thompson</v>
      </c>
      <c r="G987" s="2">
        <v>2484</v>
      </c>
      <c r="H987" s="2" t="s">
        <v>4222</v>
      </c>
      <c r="I987" s="2" t="s">
        <v>4223</v>
      </c>
      <c r="J987" s="2" t="s">
        <v>4224</v>
      </c>
      <c r="K987" s="2" t="s">
        <v>4225</v>
      </c>
      <c r="L987" s="2" t="s">
        <v>4226</v>
      </c>
      <c r="M987" s="5">
        <v>45374.87195601852</v>
      </c>
      <c r="N987" s="2" t="str">
        <f>HYPERLINK("http://twitter.com/LukeTScribe/status/1771702375914278940")</f>
        <v>http://twitter.com/LukeTScribe/status/1771702375914278940</v>
      </c>
      <c r="O987" s="2" t="str">
        <f>HYPERLINK("https://www.espn.com/espnplus/player/_/id/6461c2ac-8a77-45fb-b949-cc653d58e113")</f>
        <v>https://www.espn.com/espnplus/player/_/id/6461c2ac-8a77-45fb-b949-cc653d58e113</v>
      </c>
    </row>
    <row r="988" spans="1:15" ht="105.6" x14ac:dyDescent="0.3">
      <c r="A988" s="2" t="s">
        <v>1102</v>
      </c>
      <c r="B988" s="2" t="s">
        <v>2311</v>
      </c>
      <c r="C988" s="2" t="s">
        <v>3073</v>
      </c>
      <c r="D988" s="2" t="s">
        <v>3074</v>
      </c>
      <c r="E988" s="2" t="str">
        <f>HYPERLINK("http://twitter.com/KBarnes_PG")</f>
        <v>http://twitter.com/KBarnes_PG</v>
      </c>
      <c r="F988" s="2" t="str">
        <f>HYPERLINK("https://muckrack.com/keith-barnes")</f>
        <v>https://muckrack.com/keith-barnes</v>
      </c>
      <c r="G988" s="2">
        <v>1453</v>
      </c>
      <c r="H988" s="2" t="s">
        <v>2187</v>
      </c>
      <c r="I988" s="2" t="s">
        <v>3075</v>
      </c>
      <c r="J988" s="2" t="s">
        <v>3076</v>
      </c>
      <c r="K988" s="2" t="s">
        <v>2034</v>
      </c>
      <c r="L988" s="2" t="s">
        <v>4227</v>
      </c>
      <c r="M988" s="5">
        <v>45368.483240740738</v>
      </c>
      <c r="N988" s="2" t="str">
        <f>HYPERLINK("http://twitter.com/KBarnes_PG/status/1769387183683641419")</f>
        <v>http://twitter.com/KBarnes_PG/status/1769387183683641419</v>
      </c>
      <c r="O988" s="2" t="str">
        <f>HYPERLINK("https://www.post-gazette.com/sports/riverhounds/2024/03/16/riverhounds-highmark-stadium-orange-county-sc-usl-soccer/stories/202403110165")</f>
        <v>https://www.post-gazette.com/sports/riverhounds/2024/03/16/riverhounds-highmark-stadium-orange-county-sc-usl-soccer/stories/202403110165</v>
      </c>
    </row>
    <row r="989" spans="1:15" ht="52.8" x14ac:dyDescent="0.3">
      <c r="A989" s="2" t="s">
        <v>1829</v>
      </c>
      <c r="B989" s="2" t="s">
        <v>4228</v>
      </c>
      <c r="C989" s="2" t="s">
        <v>4229</v>
      </c>
      <c r="D989" s="2" t="s">
        <v>4230</v>
      </c>
      <c r="E989" s="2" t="str">
        <f>HYPERLINK("http://twitter.com/danmacht")</f>
        <v>http://twitter.com/danmacht</v>
      </c>
      <c r="F989" s="2" t="str">
        <f>HYPERLINK("https://muckrack.com/daniel-macht")</f>
        <v>https://muckrack.com/daniel-macht</v>
      </c>
      <c r="G989" s="2">
        <v>1080</v>
      </c>
      <c r="H989" s="2" t="s">
        <v>2923</v>
      </c>
      <c r="I989" s="2" t="s">
        <v>4231</v>
      </c>
      <c r="J989" s="2" t="s">
        <v>1954</v>
      </c>
      <c r="K989" s="2" t="s">
        <v>1786</v>
      </c>
      <c r="L989" s="2" t="s">
        <v>4232</v>
      </c>
      <c r="M989" s="5">
        <v>45367.935011574067</v>
      </c>
      <c r="N989" s="2" t="str">
        <f>HYPERLINK("http://twitter.com/danmacht/status/1769188511905927301")</f>
        <v>http://twitter.com/danmacht/status/1769188511905927301</v>
      </c>
      <c r="O989" s="2" t="str">
        <f>HYPERLINK("https://www.kcra.com/article/trevor-amann-sacramento-republic-fc-miami-fc-win/60221088")</f>
        <v>https://www.kcra.com/article/trevor-amann-sacramento-republic-fc-miami-fc-win/60221088</v>
      </c>
    </row>
    <row r="990" spans="1:15" ht="52.8" x14ac:dyDescent="0.3">
      <c r="A990" s="2" t="s">
        <v>654</v>
      </c>
      <c r="B990" s="2" t="s">
        <v>2482</v>
      </c>
      <c r="C990" s="2"/>
      <c r="D990" s="2" t="s">
        <v>2483</v>
      </c>
      <c r="E990" s="2" t="str">
        <f>HYPERLINK("http://twitter.com/ldock93")</f>
        <v>http://twitter.com/ldock93</v>
      </c>
      <c r="F990" s="2" t="str">
        <f>HYPERLINK("https://muckrack.com/lawrence-dockery")</f>
        <v>https://muckrack.com/lawrence-dockery</v>
      </c>
      <c r="G990" s="2">
        <v>1147</v>
      </c>
      <c r="H990" s="2" t="s">
        <v>2484</v>
      </c>
      <c r="I990" s="2" t="s">
        <v>2485</v>
      </c>
      <c r="J990" s="2" t="s">
        <v>2033</v>
      </c>
      <c r="K990" s="2" t="s">
        <v>2486</v>
      </c>
      <c r="L990" s="2" t="s">
        <v>4233</v>
      </c>
      <c r="M990" s="5">
        <v>45367.38175925926</v>
      </c>
      <c r="N990" s="2" t="str">
        <f>HYPERLINK("http://twitter.com/ldock93/status/1768988017476182353")</f>
        <v>http://twitter.com/ldock93/status/1768988017476182353</v>
      </c>
      <c r="O990" s="2" t="str">
        <f>HYPERLINK("https://bluffcitymedia.co/memphis-901-fc-vs-indy-eleven-preview-2/")</f>
        <v>https://bluffcitymedia.co/memphis-901-fc-vs-indy-eleven-preview-2/</v>
      </c>
    </row>
    <row r="991" spans="1:15" ht="52.8" x14ac:dyDescent="0.3">
      <c r="A991" s="2" t="s">
        <v>654</v>
      </c>
      <c r="B991" s="2" t="s">
        <v>2482</v>
      </c>
      <c r="C991" s="2"/>
      <c r="D991" s="2" t="s">
        <v>2483</v>
      </c>
      <c r="E991" s="2" t="str">
        <f>HYPERLINK("http://twitter.com/ldock93")</f>
        <v>http://twitter.com/ldock93</v>
      </c>
      <c r="F991" s="2" t="str">
        <f>HYPERLINK("https://muckrack.com/lawrence-dockery")</f>
        <v>https://muckrack.com/lawrence-dockery</v>
      </c>
      <c r="G991" s="2">
        <v>1147</v>
      </c>
      <c r="H991" s="2" t="s">
        <v>2484</v>
      </c>
      <c r="I991" s="2" t="s">
        <v>2485</v>
      </c>
      <c r="J991" s="2" t="s">
        <v>2033</v>
      </c>
      <c r="K991" s="2" t="s">
        <v>2486</v>
      </c>
      <c r="L991" s="2" t="s">
        <v>4234</v>
      </c>
      <c r="M991" s="5">
        <v>45367.383055555547</v>
      </c>
      <c r="N991" s="2" t="str">
        <f>HYPERLINK("http://twitter.com/ldock93/status/1768988486957162875")</f>
        <v>http://twitter.com/ldock93/status/1768988486957162875</v>
      </c>
      <c r="O991" s="2" t="str">
        <f>HYPERLINK("https://bluffcitymedia.co/memphis-901-fc-vs-indy-eleven-preview-2/")</f>
        <v>https://bluffcitymedia.co/memphis-901-fc-vs-indy-eleven-preview-2/</v>
      </c>
    </row>
    <row r="992" spans="1:15" ht="79.2" x14ac:dyDescent="0.3">
      <c r="A992" s="2" t="s">
        <v>4235</v>
      </c>
      <c r="B992" s="2" t="s">
        <v>4236</v>
      </c>
      <c r="C992" s="2" t="s">
        <v>4237</v>
      </c>
      <c r="D992" s="2" t="s">
        <v>4238</v>
      </c>
      <c r="E992" s="2" t="str">
        <f>HYPERLINK("http://twitter.com/Jon_Blau")</f>
        <v>http://twitter.com/Jon_Blau</v>
      </c>
      <c r="F992" s="2" t="str">
        <f>HYPERLINK("https://muckrack.com/jon-blau")</f>
        <v>https://muckrack.com/jon-blau</v>
      </c>
      <c r="G992" s="2">
        <v>9026</v>
      </c>
      <c r="H992" s="2" t="s">
        <v>4239</v>
      </c>
      <c r="I992" s="2" t="s">
        <v>4240</v>
      </c>
      <c r="J992" s="2" t="s">
        <v>2000</v>
      </c>
      <c r="K992" s="2" t="s">
        <v>1063</v>
      </c>
      <c r="L992" s="2" t="s">
        <v>4241</v>
      </c>
      <c r="M992" s="5">
        <v>45367.701689814807</v>
      </c>
      <c r="N992" s="2" t="str">
        <f>HYPERLINK("http://twitter.com/Jon_Blau/status/1769103958742548486")</f>
        <v>http://twitter.com/Jon_Blau/status/1769103958742548486</v>
      </c>
      <c r="O992" s="2" t="str">
        <f>HYPERLINK("https://www.espn.com/watch/player/_/id/9e9eb5b6-ab99-4741-b344-fd6414ddf75b")</f>
        <v>https://www.espn.com/watch/player/_/id/9e9eb5b6-ab99-4741-b344-fd6414ddf75b</v>
      </c>
    </row>
    <row r="993" spans="1:15" ht="92.4" x14ac:dyDescent="0.3">
      <c r="A993" s="2" t="s">
        <v>4242</v>
      </c>
      <c r="B993" s="2" t="s">
        <v>4243</v>
      </c>
      <c r="C993" s="2" t="s">
        <v>4244</v>
      </c>
      <c r="D993" s="2" t="s">
        <v>4245</v>
      </c>
      <c r="E993" s="2" t="str">
        <f>HYPERLINK("http://twitter.com/laurenbradfor")</f>
        <v>http://twitter.com/laurenbradfor</v>
      </c>
      <c r="F993" s="2" t="str">
        <f>HYPERLINK("https://muckrack.com/lauren-bradford")</f>
        <v>https://muckrack.com/lauren-bradford</v>
      </c>
      <c r="G993" s="2">
        <v>624</v>
      </c>
      <c r="H993" s="2"/>
      <c r="I993" s="2" t="s">
        <v>4246</v>
      </c>
      <c r="J993" s="2" t="s">
        <v>2033</v>
      </c>
      <c r="K993" s="2" t="s">
        <v>4247</v>
      </c>
      <c r="L993" s="2" t="s">
        <v>4248</v>
      </c>
      <c r="M993" s="5">
        <v>45367.73978009259</v>
      </c>
      <c r="N993" s="2" t="str">
        <f>HYPERLINK("http://twitter.com/laurenbradfor/status/1769117761144238251")</f>
        <v>http://twitter.com/laurenbradfor/status/1769117761144238251</v>
      </c>
      <c r="O993" s="2" t="str">
        <f>HYPERLINK("https://www.espn.com/watch/player/_/id/9e9eb5b6-ab99-4741-b344-fd6414ddf75b")</f>
        <v>https://www.espn.com/watch/player/_/id/9e9eb5b6-ab99-4741-b344-fd6414ddf75b</v>
      </c>
    </row>
    <row r="994" spans="1:15" ht="79.2" x14ac:dyDescent="0.3">
      <c r="A994" s="2" t="s">
        <v>4249</v>
      </c>
      <c r="B994" s="2" t="s">
        <v>2178</v>
      </c>
      <c r="C994" s="2" t="s">
        <v>4250</v>
      </c>
      <c r="D994" s="2" t="s">
        <v>4251</v>
      </c>
      <c r="E994" s="2" t="str">
        <f>HYPERLINK("http://twitter.com/sdndannyp")</f>
        <v>http://twitter.com/sdndannyp</v>
      </c>
      <c r="F994" s="2" t="str">
        <f>HYPERLINK("https://muckrack.com/danny-smith-1")</f>
        <v>https://muckrack.com/danny-smith-1</v>
      </c>
      <c r="G994" s="2">
        <v>2648</v>
      </c>
      <c r="H994" s="2" t="s">
        <v>4252</v>
      </c>
      <c r="I994" s="2" t="s">
        <v>4253</v>
      </c>
      <c r="J994" s="2" t="s">
        <v>1929</v>
      </c>
      <c r="K994" s="2" t="s">
        <v>4254</v>
      </c>
      <c r="L994" s="2" t="s">
        <v>4255</v>
      </c>
      <c r="M994" s="5">
        <v>45367.669930555552</v>
      </c>
      <c r="N994" s="2" t="str">
        <f>HYPERLINK("http://twitter.com/sdndannyp/status/1769092448133751029")</f>
        <v>http://twitter.com/sdndannyp/status/1769092448133751029</v>
      </c>
      <c r="O994" s="2" t="str">
        <f t="shared" ref="O994:O1003" si="40">HYPERLINK("https://www.espn.com/watch/player/_/id/5d507772-6be5-4dff-8fe3-038e989ef59b")</f>
        <v>https://www.espn.com/watch/player/_/id/5d507772-6be5-4dff-8fe3-038e989ef59b</v>
      </c>
    </row>
    <row r="995" spans="1:15" ht="79.2" x14ac:dyDescent="0.3">
      <c r="A995" s="2" t="s">
        <v>4256</v>
      </c>
      <c r="B995" s="2" t="s">
        <v>4257</v>
      </c>
      <c r="C995" s="2" t="s">
        <v>4258</v>
      </c>
      <c r="D995" s="2" t="s">
        <v>4259</v>
      </c>
      <c r="E995" s="2" t="str">
        <f>HYPERLINK("http://twitter.com/Colintheshots95")</f>
        <v>http://twitter.com/Colintheshots95</v>
      </c>
      <c r="F995" s="2" t="str">
        <f>HYPERLINK("https://muckrack.com/colin-damms")</f>
        <v>https://muckrack.com/colin-damms</v>
      </c>
      <c r="G995" s="2">
        <v>1150</v>
      </c>
      <c r="H995" s="2" t="s">
        <v>4260</v>
      </c>
      <c r="I995" s="2" t="s">
        <v>4261</v>
      </c>
      <c r="J995" s="2" t="s">
        <v>2033</v>
      </c>
      <c r="K995" s="2" t="s">
        <v>4262</v>
      </c>
      <c r="L995" s="2" t="s">
        <v>4255</v>
      </c>
      <c r="M995" s="5">
        <v>45367.670370370368</v>
      </c>
      <c r="N995" s="2" t="str">
        <f>HYPERLINK("http://twitter.com/Colintheshots95/status/1769092608104738946")</f>
        <v>http://twitter.com/Colintheshots95/status/1769092608104738946</v>
      </c>
      <c r="O995" s="2" t="str">
        <f t="shared" si="40"/>
        <v>https://www.espn.com/watch/player/_/id/5d507772-6be5-4dff-8fe3-038e989ef59b</v>
      </c>
    </row>
    <row r="996" spans="1:15" ht="79.2" x14ac:dyDescent="0.3">
      <c r="A996" s="2" t="s">
        <v>4256</v>
      </c>
      <c r="B996" s="2" t="s">
        <v>4257</v>
      </c>
      <c r="C996" s="2" t="s">
        <v>4258</v>
      </c>
      <c r="D996" s="2" t="s">
        <v>4259</v>
      </c>
      <c r="E996" s="2" t="str">
        <f>HYPERLINK("http://twitter.com/Colintheshots95")</f>
        <v>http://twitter.com/Colintheshots95</v>
      </c>
      <c r="F996" s="2" t="str">
        <f>HYPERLINK("https://muckrack.com/colin-damms")</f>
        <v>https://muckrack.com/colin-damms</v>
      </c>
      <c r="G996" s="2">
        <v>1150</v>
      </c>
      <c r="H996" s="2" t="s">
        <v>4260</v>
      </c>
      <c r="I996" s="2" t="s">
        <v>4261</v>
      </c>
      <c r="J996" s="2" t="s">
        <v>2033</v>
      </c>
      <c r="K996" s="2" t="s">
        <v>4262</v>
      </c>
      <c r="L996" s="2" t="s">
        <v>4263</v>
      </c>
      <c r="M996" s="5">
        <v>45367.805694444447</v>
      </c>
      <c r="N996" s="2" t="str">
        <f>HYPERLINK("http://twitter.com/Colintheshots95/status/1769141649597137242")</f>
        <v>http://twitter.com/Colintheshots95/status/1769141649597137242</v>
      </c>
      <c r="O996" s="2" t="str">
        <f t="shared" si="40"/>
        <v>https://www.espn.com/watch/player/_/id/5d507772-6be5-4dff-8fe3-038e989ef59b</v>
      </c>
    </row>
    <row r="997" spans="1:15" ht="79.2" x14ac:dyDescent="0.3">
      <c r="A997" s="2" t="s">
        <v>4264</v>
      </c>
      <c r="B997" s="2" t="s">
        <v>4265</v>
      </c>
      <c r="C997" s="2" t="s">
        <v>4266</v>
      </c>
      <c r="D997" s="2" t="s">
        <v>4267</v>
      </c>
      <c r="E997" s="2" t="str">
        <f>HYPERLINK("http://twitter.com/skrajisnik3")</f>
        <v>http://twitter.com/skrajisnik3</v>
      </c>
      <c r="F997" s="2" t="str">
        <f>HYPERLINK("https://muckrack.com/stefan-krajisnik")</f>
        <v>https://muckrack.com/stefan-krajisnik</v>
      </c>
      <c r="G997" s="2">
        <v>7085</v>
      </c>
      <c r="H997" s="2"/>
      <c r="I997" s="2" t="s">
        <v>4268</v>
      </c>
      <c r="J997" s="2" t="s">
        <v>2000</v>
      </c>
      <c r="K997" s="2" t="s">
        <v>4269</v>
      </c>
      <c r="L997" s="2" t="s">
        <v>4255</v>
      </c>
      <c r="M997" s="5">
        <v>45367.67523148148</v>
      </c>
      <c r="N997" s="2" t="str">
        <f>HYPERLINK("http://twitter.com/skrajisnik3/status/1769094371041792486")</f>
        <v>http://twitter.com/skrajisnik3/status/1769094371041792486</v>
      </c>
      <c r="O997" s="2" t="str">
        <f t="shared" si="40"/>
        <v>https://www.espn.com/watch/player/_/id/5d507772-6be5-4dff-8fe3-038e989ef59b</v>
      </c>
    </row>
    <row r="998" spans="1:15" ht="79.2" x14ac:dyDescent="0.3">
      <c r="A998" s="2" t="s">
        <v>4270</v>
      </c>
      <c r="B998" s="2" t="s">
        <v>4271</v>
      </c>
      <c r="C998" s="2" t="s">
        <v>4272</v>
      </c>
      <c r="D998" s="2" t="s">
        <v>4273</v>
      </c>
      <c r="E998" s="2" t="str">
        <f>HYPERLINK("http://twitter.com/elizabethfkeen")</f>
        <v>http://twitter.com/elizabethfkeen</v>
      </c>
      <c r="F998" s="2" t="str">
        <f>HYPERLINK("https://muckrack.com/elizabeth-keen")</f>
        <v>https://muckrack.com/elizabeth-keen</v>
      </c>
      <c r="G998" s="2">
        <v>2709</v>
      </c>
      <c r="H998" s="2" t="s">
        <v>4274</v>
      </c>
      <c r="I998" s="2" t="s">
        <v>4275</v>
      </c>
      <c r="J998" s="2"/>
      <c r="K998" s="2" t="s">
        <v>4276</v>
      </c>
      <c r="L998" s="2" t="s">
        <v>4255</v>
      </c>
      <c r="M998" s="5">
        <v>45367.695474537039</v>
      </c>
      <c r="N998" s="2" t="str">
        <f>HYPERLINK("http://twitter.com/elizabethfkeen/status/1769101704765542442")</f>
        <v>http://twitter.com/elizabethfkeen/status/1769101704765542442</v>
      </c>
      <c r="O998" s="2" t="str">
        <f t="shared" si="40"/>
        <v>https://www.espn.com/watch/player/_/id/5d507772-6be5-4dff-8fe3-038e989ef59b</v>
      </c>
    </row>
    <row r="999" spans="1:15" ht="79.2" x14ac:dyDescent="0.3">
      <c r="A999" s="2" t="s">
        <v>4277</v>
      </c>
      <c r="B999" s="2" t="s">
        <v>4278</v>
      </c>
      <c r="C999" s="2" t="s">
        <v>4279</v>
      </c>
      <c r="D999" s="2" t="s">
        <v>4280</v>
      </c>
      <c r="E999" s="2" t="str">
        <f>HYPERLINK("http://twitter.com/loganlowery")</f>
        <v>http://twitter.com/loganlowery</v>
      </c>
      <c r="F999" s="2" t="str">
        <f>HYPERLINK("https://muckrack.com/logan-lowery")</f>
        <v>https://muckrack.com/logan-lowery</v>
      </c>
      <c r="G999" s="2">
        <v>8411</v>
      </c>
      <c r="H999" s="2" t="s">
        <v>4281</v>
      </c>
      <c r="I999" s="2" t="s">
        <v>4282</v>
      </c>
      <c r="J999" s="2" t="s">
        <v>2033</v>
      </c>
      <c r="K999" s="2" t="s">
        <v>4283</v>
      </c>
      <c r="L999" s="2" t="s">
        <v>4255</v>
      </c>
      <c r="M999" s="5">
        <v>45367.700428240743</v>
      </c>
      <c r="N999" s="2" t="str">
        <f>HYPERLINK("http://twitter.com/loganlowery/status/1769103500397469861")</f>
        <v>http://twitter.com/loganlowery/status/1769103500397469861</v>
      </c>
      <c r="O999" s="2" t="str">
        <f t="shared" si="40"/>
        <v>https://www.espn.com/watch/player/_/id/5d507772-6be5-4dff-8fe3-038e989ef59b</v>
      </c>
    </row>
    <row r="1000" spans="1:15" ht="66" x14ac:dyDescent="0.3">
      <c r="A1000" s="2" t="s">
        <v>4277</v>
      </c>
      <c r="B1000" s="2" t="s">
        <v>4278</v>
      </c>
      <c r="C1000" s="2" t="s">
        <v>4279</v>
      </c>
      <c r="D1000" s="2" t="s">
        <v>4280</v>
      </c>
      <c r="E1000" s="2" t="str">
        <f>HYPERLINK("http://twitter.com/loganlowery")</f>
        <v>http://twitter.com/loganlowery</v>
      </c>
      <c r="F1000" s="2" t="str">
        <f>HYPERLINK("https://muckrack.com/logan-lowery")</f>
        <v>https://muckrack.com/logan-lowery</v>
      </c>
      <c r="G1000" s="2">
        <v>8411</v>
      </c>
      <c r="H1000" s="2" t="s">
        <v>4281</v>
      </c>
      <c r="I1000" s="2" t="s">
        <v>4282</v>
      </c>
      <c r="J1000" s="2" t="s">
        <v>2033</v>
      </c>
      <c r="K1000" s="2" t="s">
        <v>4283</v>
      </c>
      <c r="L1000" s="2" t="s">
        <v>4284</v>
      </c>
      <c r="M1000" s="5">
        <v>45367.7731712963</v>
      </c>
      <c r="N1000" s="2" t="str">
        <f>HYPERLINK("http://twitter.com/loganlowery/status/1769129862789525609")</f>
        <v>http://twitter.com/loganlowery/status/1769129862789525609</v>
      </c>
      <c r="O1000" s="2" t="str">
        <f t="shared" si="40"/>
        <v>https://www.espn.com/watch/player/_/id/5d507772-6be5-4dff-8fe3-038e989ef59b</v>
      </c>
    </row>
    <row r="1001" spans="1:15" ht="79.2" x14ac:dyDescent="0.3">
      <c r="A1001" s="2" t="s">
        <v>4277</v>
      </c>
      <c r="B1001" s="2" t="s">
        <v>4278</v>
      </c>
      <c r="C1001" s="2" t="s">
        <v>4279</v>
      </c>
      <c r="D1001" s="2" t="s">
        <v>4280</v>
      </c>
      <c r="E1001" s="2" t="str">
        <f>HYPERLINK("http://twitter.com/loganlowery")</f>
        <v>http://twitter.com/loganlowery</v>
      </c>
      <c r="F1001" s="2" t="str">
        <f>HYPERLINK("https://muckrack.com/logan-lowery")</f>
        <v>https://muckrack.com/logan-lowery</v>
      </c>
      <c r="G1001" s="2">
        <v>8411</v>
      </c>
      <c r="H1001" s="2" t="s">
        <v>4281</v>
      </c>
      <c r="I1001" s="2" t="s">
        <v>4282</v>
      </c>
      <c r="J1001" s="2" t="s">
        <v>2033</v>
      </c>
      <c r="K1001" s="2" t="s">
        <v>4283</v>
      </c>
      <c r="L1001" s="2" t="s">
        <v>4285</v>
      </c>
      <c r="M1001" s="5">
        <v>45367.838356481479</v>
      </c>
      <c r="N1001" s="2" t="str">
        <f>HYPERLINK("http://twitter.com/loganlowery/status/1769153483981406491")</f>
        <v>http://twitter.com/loganlowery/status/1769153483981406491</v>
      </c>
      <c r="O1001" s="2" t="str">
        <f t="shared" si="40"/>
        <v>https://www.espn.com/watch/player/_/id/5d507772-6be5-4dff-8fe3-038e989ef59b</v>
      </c>
    </row>
    <row r="1002" spans="1:15" ht="66" x14ac:dyDescent="0.3">
      <c r="A1002" s="2" t="s">
        <v>4277</v>
      </c>
      <c r="B1002" s="2" t="s">
        <v>4278</v>
      </c>
      <c r="C1002" s="2" t="s">
        <v>4279</v>
      </c>
      <c r="D1002" s="2" t="s">
        <v>4280</v>
      </c>
      <c r="E1002" s="2" t="str">
        <f>HYPERLINK("http://twitter.com/loganlowery")</f>
        <v>http://twitter.com/loganlowery</v>
      </c>
      <c r="F1002" s="2" t="str">
        <f>HYPERLINK("https://muckrack.com/logan-lowery")</f>
        <v>https://muckrack.com/logan-lowery</v>
      </c>
      <c r="G1002" s="2">
        <v>8411</v>
      </c>
      <c r="H1002" s="2" t="s">
        <v>4281</v>
      </c>
      <c r="I1002" s="2" t="s">
        <v>4282</v>
      </c>
      <c r="J1002" s="2" t="s">
        <v>2033</v>
      </c>
      <c r="K1002" s="2" t="s">
        <v>4283</v>
      </c>
      <c r="L1002" s="2" t="s">
        <v>4286</v>
      </c>
      <c r="M1002" s="5">
        <v>45367.846770833326</v>
      </c>
      <c r="N1002" s="2" t="str">
        <f>HYPERLINK("http://twitter.com/loganlowery/status/1769156531365531782")</f>
        <v>http://twitter.com/loganlowery/status/1769156531365531782</v>
      </c>
      <c r="O1002" s="2" t="str">
        <f t="shared" si="40"/>
        <v>https://www.espn.com/watch/player/_/id/5d507772-6be5-4dff-8fe3-038e989ef59b</v>
      </c>
    </row>
    <row r="1003" spans="1:15" ht="66" x14ac:dyDescent="0.3">
      <c r="A1003" s="2" t="s">
        <v>4287</v>
      </c>
      <c r="B1003" s="2" t="s">
        <v>2024</v>
      </c>
      <c r="C1003" s="2" t="s">
        <v>4288</v>
      </c>
      <c r="D1003" s="2" t="s">
        <v>4289</v>
      </c>
      <c r="E1003" s="2" t="str">
        <f>HYPERLINK("http://twitter.com/Cauble")</f>
        <v>http://twitter.com/Cauble</v>
      </c>
      <c r="F1003" s="2" t="str">
        <f>HYPERLINK("https://muckrack.com/michael-cauble")</f>
        <v>https://muckrack.com/michael-cauble</v>
      </c>
      <c r="G1003" s="2">
        <v>8353</v>
      </c>
      <c r="H1003" s="2" t="s">
        <v>4290</v>
      </c>
      <c r="I1003" s="2" t="s">
        <v>4291</v>
      </c>
      <c r="J1003" s="2" t="s">
        <v>2000</v>
      </c>
      <c r="K1003" s="2" t="s">
        <v>4292</v>
      </c>
      <c r="L1003" s="2" t="s">
        <v>4286</v>
      </c>
      <c r="M1003" s="5">
        <v>45367.849953703713</v>
      </c>
      <c r="N1003" s="2" t="str">
        <f>HYPERLINK("http://twitter.com/Cauble/status/1769157688514986474")</f>
        <v>http://twitter.com/Cauble/status/1769157688514986474</v>
      </c>
      <c r="O1003" s="2" t="str">
        <f t="shared" si="40"/>
        <v>https://www.espn.com/watch/player/_/id/5d507772-6be5-4dff-8fe3-038e989ef59b</v>
      </c>
    </row>
    <row r="1004" spans="1:15" ht="66" x14ac:dyDescent="0.3">
      <c r="A1004" s="2" t="s">
        <v>4293</v>
      </c>
      <c r="B1004" s="2" t="s">
        <v>4294</v>
      </c>
      <c r="C1004" s="2" t="s">
        <v>4295</v>
      </c>
      <c r="D1004" s="2" t="s">
        <v>4296</v>
      </c>
      <c r="E1004" s="2" t="str">
        <f>HYPERLINK("http://twitter.com/RPotkey")</f>
        <v>http://twitter.com/RPotkey</v>
      </c>
      <c r="F1004" s="2" t="str">
        <f>HYPERLINK("https://muckrack.com/rhiannon-potkey")</f>
        <v>https://muckrack.com/rhiannon-potkey</v>
      </c>
      <c r="G1004" s="2">
        <v>4989</v>
      </c>
      <c r="H1004" s="2" t="s">
        <v>4188</v>
      </c>
      <c r="I1004" s="2" t="s">
        <v>4297</v>
      </c>
      <c r="J1004" s="2" t="s">
        <v>2000</v>
      </c>
      <c r="K1004" s="2" t="s">
        <v>4298</v>
      </c>
      <c r="L1004" s="2" t="s">
        <v>4299</v>
      </c>
      <c r="M1004" s="5">
        <v>45367.704733796287</v>
      </c>
      <c r="N1004" s="2" t="str">
        <f>HYPERLINK("http://twitter.com/RPotkey/status/1769105059227279720")</f>
        <v>http://twitter.com/RPotkey/status/1769105059227279720</v>
      </c>
      <c r="O1004" s="2" t="str">
        <f>HYPERLINK("https://www.espn.com/watch/player/_/id/90de1a87-2de0-4c18-a2bd-96751a1cb2dd")</f>
        <v>https://www.espn.com/watch/player/_/id/90de1a87-2de0-4c18-a2bd-96751a1cb2dd</v>
      </c>
    </row>
    <row r="1005" spans="1:15" ht="92.4" x14ac:dyDescent="0.3">
      <c r="A1005" s="2" t="s">
        <v>4300</v>
      </c>
      <c r="B1005" s="2" t="s">
        <v>2318</v>
      </c>
      <c r="C1005" s="2" t="s">
        <v>4301</v>
      </c>
      <c r="D1005" s="2" t="s">
        <v>4302</v>
      </c>
      <c r="E1005" s="2" t="str">
        <f>HYPERLINK("http://twitter.com/womhoopsguru")</f>
        <v>http://twitter.com/womhoopsguru</v>
      </c>
      <c r="F1005" s="2" t="str">
        <f>HYPERLINK("https://muckrack.com/womhoopsguru")</f>
        <v>https://muckrack.com/womhoopsguru</v>
      </c>
      <c r="G1005" s="2">
        <v>7459</v>
      </c>
      <c r="H1005" s="2" t="s">
        <v>4303</v>
      </c>
      <c r="I1005" s="2" t="s">
        <v>4304</v>
      </c>
      <c r="J1005" s="2" t="s">
        <v>2000</v>
      </c>
      <c r="K1005" s="2" t="s">
        <v>2034</v>
      </c>
      <c r="L1005" s="2" t="s">
        <v>4305</v>
      </c>
      <c r="M1005" s="5">
        <v>45367.705000000002</v>
      </c>
      <c r="N1005" s="2" t="str">
        <f>HYPERLINK("http://twitter.com/womhoopsguru/status/1769105156837110167")</f>
        <v>http://twitter.com/womhoopsguru/status/1769105156837110167</v>
      </c>
      <c r="O1005" s="2" t="str">
        <f>HYPERLINK("https://www.espn.com/espnplus/player/_/id/33ad9816-6dc7-4421-8946-b86f2167cbcf")</f>
        <v>https://www.espn.com/espnplus/player/_/id/33ad9816-6dc7-4421-8946-b86f2167cbcf</v>
      </c>
    </row>
    <row r="1006" spans="1:15" ht="52.8" x14ac:dyDescent="0.3">
      <c r="A1006" s="2" t="s">
        <v>4306</v>
      </c>
      <c r="B1006" s="2" t="s">
        <v>4307</v>
      </c>
      <c r="C1006" s="2" t="s">
        <v>4308</v>
      </c>
      <c r="D1006" s="2" t="s">
        <v>4309</v>
      </c>
      <c r="E1006" s="2" t="str">
        <f>HYPERLINK("http://twitter.com/Jason_Galvin")</f>
        <v>http://twitter.com/Jason_Galvin</v>
      </c>
      <c r="F1006" s="2" t="str">
        <f>HYPERLINK("https://muckrack.com/jason-galvin")</f>
        <v>https://muckrack.com/jason-galvin</v>
      </c>
      <c r="G1006" s="2">
        <v>1579</v>
      </c>
      <c r="H1006" s="2" t="s">
        <v>4310</v>
      </c>
      <c r="I1006" s="2" t="s">
        <v>4311</v>
      </c>
      <c r="J1006" s="2" t="s">
        <v>2000</v>
      </c>
      <c r="K1006" s="2" t="s">
        <v>2034</v>
      </c>
      <c r="L1006" s="2" t="s">
        <v>4312</v>
      </c>
      <c r="M1006" s="5">
        <v>45367.703240740739</v>
      </c>
      <c r="N1006" s="2" t="str">
        <f>HYPERLINK("http://twitter.com/Jason_Galvin/status/1769104519009386604")</f>
        <v>http://twitter.com/Jason_Galvin/status/1769104519009386604</v>
      </c>
      <c r="O1006" s="2" t="str">
        <f>HYPERLINK("https://www.espn.com/espnplus/player/_/id/28c403be-f264-4057-8be2-94f7228455f4")</f>
        <v>https://www.espn.com/espnplus/player/_/id/28c403be-f264-4057-8be2-94f7228455f4</v>
      </c>
    </row>
    <row r="1007" spans="1:15" ht="79.2" x14ac:dyDescent="0.3">
      <c r="A1007" s="2" t="s">
        <v>4313</v>
      </c>
      <c r="B1007" s="2" t="s">
        <v>4314</v>
      </c>
      <c r="C1007" s="2"/>
      <c r="D1007" s="2" t="s">
        <v>4315</v>
      </c>
      <c r="E1007" s="2" t="str">
        <f>HYPERLINK("http://twitter.com/aaronhancock14")</f>
        <v>http://twitter.com/aaronhancock14</v>
      </c>
      <c r="F1007" s="2" t="str">
        <f>HYPERLINK("https://muckrack.com/aaron-hancock")</f>
        <v>https://muckrack.com/aaron-hancock</v>
      </c>
      <c r="G1007" s="2">
        <v>5856</v>
      </c>
      <c r="H1007" s="2" t="s">
        <v>4316</v>
      </c>
      <c r="I1007" s="2" t="s">
        <v>4317</v>
      </c>
      <c r="J1007" s="2" t="s">
        <v>2000</v>
      </c>
      <c r="K1007" s="2" t="s">
        <v>4318</v>
      </c>
      <c r="L1007" s="2" t="s">
        <v>4319</v>
      </c>
      <c r="M1007" s="5">
        <v>45367.707245370373</v>
      </c>
      <c r="N1007" s="2" t="str">
        <f>HYPERLINK("http://twitter.com/aaronhancock14/status/1769105969231929678")</f>
        <v>http://twitter.com/aaronhancock14/status/1769105969231929678</v>
      </c>
      <c r="O1007" s="2" t="str">
        <f>HYPERLINK("http://shorturl.at/afjZ2")</f>
        <v>http://shorturl.at/afjZ2</v>
      </c>
    </row>
    <row r="1008" spans="1:15" ht="92.4" x14ac:dyDescent="0.3">
      <c r="A1008" s="2" t="s">
        <v>4313</v>
      </c>
      <c r="B1008" s="2" t="s">
        <v>4314</v>
      </c>
      <c r="C1008" s="2"/>
      <c r="D1008" s="2" t="s">
        <v>4315</v>
      </c>
      <c r="E1008" s="2" t="str">
        <f>HYPERLINK("http://twitter.com/aaronhancock14")</f>
        <v>http://twitter.com/aaronhancock14</v>
      </c>
      <c r="F1008" s="2" t="str">
        <f>HYPERLINK("https://muckrack.com/aaron-hancock")</f>
        <v>https://muckrack.com/aaron-hancock</v>
      </c>
      <c r="G1008" s="2">
        <v>5856</v>
      </c>
      <c r="H1008" s="2" t="s">
        <v>4316</v>
      </c>
      <c r="I1008" s="2" t="s">
        <v>4317</v>
      </c>
      <c r="J1008" s="2" t="s">
        <v>2000</v>
      </c>
      <c r="K1008" s="2" t="s">
        <v>4318</v>
      </c>
      <c r="L1008" s="2" t="s">
        <v>4320</v>
      </c>
      <c r="M1008" s="5">
        <v>45367.712245370371</v>
      </c>
      <c r="N1008" s="2" t="str">
        <f>HYPERLINK("http://twitter.com/aaronhancock14/status/1769107781301223584")</f>
        <v>http://twitter.com/aaronhancock14/status/1769107781301223584</v>
      </c>
      <c r="O1008" s="2" t="str">
        <f>HYPERLINK("http://shorturl.at/afjZ2")</f>
        <v>http://shorturl.at/afjZ2</v>
      </c>
    </row>
    <row r="1009" spans="1:15" ht="52.8" x14ac:dyDescent="0.3">
      <c r="A1009" s="2" t="s">
        <v>654</v>
      </c>
      <c r="B1009" s="2" t="s">
        <v>2482</v>
      </c>
      <c r="C1009" s="2"/>
      <c r="D1009" s="2" t="s">
        <v>2483</v>
      </c>
      <c r="E1009" s="2" t="str">
        <f>HYPERLINK("http://twitter.com/ldock93")</f>
        <v>http://twitter.com/ldock93</v>
      </c>
      <c r="F1009" s="2" t="str">
        <f>HYPERLINK("https://muckrack.com/lawrence-dockery")</f>
        <v>https://muckrack.com/lawrence-dockery</v>
      </c>
      <c r="G1009" s="2">
        <v>1147</v>
      </c>
      <c r="H1009" s="2" t="s">
        <v>2484</v>
      </c>
      <c r="I1009" s="2" t="s">
        <v>2485</v>
      </c>
      <c r="J1009" s="2" t="s">
        <v>2033</v>
      </c>
      <c r="K1009" s="2" t="s">
        <v>2486</v>
      </c>
      <c r="L1009" s="2" t="s">
        <v>4321</v>
      </c>
      <c r="M1009" s="5">
        <v>45366.686701388891</v>
      </c>
      <c r="N1009" s="2" t="str">
        <f>HYPERLINK("http://twitter.com/ldock93/status/1768736139685335197")</f>
        <v>http://twitter.com/ldock93/status/1768736139685335197</v>
      </c>
      <c r="O1009" s="2" t="str">
        <f>HYPERLINK("https://bluffcitymedia.co/901-fcs-nighte-pickering-called-up-to-us-u19-national-team/")</f>
        <v>https://bluffcitymedia.co/901-fcs-nighte-pickering-called-up-to-us-u19-national-team/</v>
      </c>
    </row>
    <row r="1010" spans="1:15" ht="52.8" x14ac:dyDescent="0.3">
      <c r="A1010" s="2" t="s">
        <v>654</v>
      </c>
      <c r="B1010" s="2" t="s">
        <v>2482</v>
      </c>
      <c r="C1010" s="2"/>
      <c r="D1010" s="2" t="s">
        <v>2483</v>
      </c>
      <c r="E1010" s="2" t="str">
        <f>HYPERLINK("http://twitter.com/ldock93")</f>
        <v>http://twitter.com/ldock93</v>
      </c>
      <c r="F1010" s="2" t="str">
        <f>HYPERLINK("https://muckrack.com/lawrence-dockery")</f>
        <v>https://muckrack.com/lawrence-dockery</v>
      </c>
      <c r="G1010" s="2">
        <v>1147</v>
      </c>
      <c r="H1010" s="2" t="s">
        <v>2484</v>
      </c>
      <c r="I1010" s="2" t="s">
        <v>2485</v>
      </c>
      <c r="J1010" s="2" t="s">
        <v>2033</v>
      </c>
      <c r="K1010" s="2" t="s">
        <v>2486</v>
      </c>
      <c r="L1010" s="2" t="s">
        <v>4322</v>
      </c>
      <c r="M1010" s="5">
        <v>45366.68855324074</v>
      </c>
      <c r="N1010" s="2" t="str">
        <f>HYPERLINK("http://twitter.com/ldock93/status/1768736808790036636")</f>
        <v>http://twitter.com/ldock93/status/1768736808790036636</v>
      </c>
      <c r="O1010" s="2" t="str">
        <f>HYPERLINK("https://bluffcitymedia.co/901-fcs-nighte-pickering-called-up-to-us-u19-national-team/")</f>
        <v>https://bluffcitymedia.co/901-fcs-nighte-pickering-called-up-to-us-u19-national-team/</v>
      </c>
    </row>
    <row r="1011" spans="1:15" ht="39.6" x14ac:dyDescent="0.3">
      <c r="A1011" s="2" t="s">
        <v>1656</v>
      </c>
      <c r="B1011" s="2" t="s">
        <v>3415</v>
      </c>
      <c r="C1011" s="2" t="s">
        <v>3416</v>
      </c>
      <c r="D1011" s="2" t="s">
        <v>3417</v>
      </c>
      <c r="E1011" s="2" t="str">
        <f>HYPERLINK("http://twitter.com/kkfla737")</f>
        <v>http://twitter.com/kkfla737</v>
      </c>
      <c r="F1011" s="2" t="str">
        <f>HYPERLINK("https://muckrack.com/kartik-krishnaiyer")</f>
        <v>https://muckrack.com/kartik-krishnaiyer</v>
      </c>
      <c r="G1011" s="2">
        <v>8469</v>
      </c>
      <c r="H1011" s="2" t="s">
        <v>3418</v>
      </c>
      <c r="I1011" s="2" t="s">
        <v>3419</v>
      </c>
      <c r="J1011" s="2" t="s">
        <v>2033</v>
      </c>
      <c r="K1011" s="2" t="s">
        <v>3420</v>
      </c>
      <c r="L1011" s="2" t="s">
        <v>4323</v>
      </c>
      <c r="M1011" s="5">
        <v>45366.691469907397</v>
      </c>
      <c r="N1011" s="2" t="str">
        <f>HYPERLINK("http://twitter.com/kkfla737/status/1768737864362168374")</f>
        <v>http://twitter.com/kkfla737/status/1768737864362168374</v>
      </c>
      <c r="O1011" s="2" t="str">
        <f>HYPERLINK("https://bluffcitymedia.co/901-fcs-nighte-pickering-called-up-to-us-u19-national-team/")</f>
        <v>https://bluffcitymedia.co/901-fcs-nighte-pickering-called-up-to-us-u19-national-team/</v>
      </c>
    </row>
    <row r="1012" spans="1:15" ht="52.8" x14ac:dyDescent="0.3">
      <c r="A1012" s="2" t="s">
        <v>3066</v>
      </c>
      <c r="B1012" s="2" t="s">
        <v>2570</v>
      </c>
      <c r="C1012" s="2" t="s">
        <v>3067</v>
      </c>
      <c r="D1012" s="2" t="s">
        <v>3068</v>
      </c>
      <c r="E1012" s="2" t="str">
        <f>HYPERLINK("http://twitter.com/johnvarlas")</f>
        <v>http://twitter.com/johnvarlas</v>
      </c>
      <c r="F1012" s="2" t="str">
        <f>HYPERLINK("https://muckrack.com/johnvarlas")</f>
        <v>https://muckrack.com/johnvarlas</v>
      </c>
      <c r="G1012" s="2">
        <v>31395</v>
      </c>
      <c r="H1012" s="2" t="s">
        <v>3069</v>
      </c>
      <c r="I1012" s="2" t="s">
        <v>3070</v>
      </c>
      <c r="J1012" s="2" t="s">
        <v>2000</v>
      </c>
      <c r="K1012" s="2" t="s">
        <v>3071</v>
      </c>
      <c r="L1012" s="2" t="s">
        <v>4324</v>
      </c>
      <c r="M1012" s="5">
        <v>45366.606562499997</v>
      </c>
      <c r="N1012" s="2" t="str">
        <f>HYPERLINK("http://twitter.com/johnvarlas/status/1768707095220699437")</f>
        <v>http://twitter.com/johnvarlas/status/1768707095220699437</v>
      </c>
      <c r="O1012" s="2" t="str">
        <f>HYPERLINK("https://shorturl.at/sxCK5")</f>
        <v>https://shorturl.at/sxCK5</v>
      </c>
    </row>
    <row r="1013" spans="1:15" ht="52.8" x14ac:dyDescent="0.3">
      <c r="A1013" s="2" t="s">
        <v>4325</v>
      </c>
      <c r="B1013" s="2" t="s">
        <v>4326</v>
      </c>
      <c r="C1013" s="2" t="s">
        <v>4327</v>
      </c>
      <c r="D1013" s="2" t="s">
        <v>4328</v>
      </c>
      <c r="E1013" s="2" t="str">
        <f>HYPERLINK("http://twitter.com/Brax_Avery")</f>
        <v>http://twitter.com/Brax_Avery</v>
      </c>
      <c r="F1013" s="2" t="str">
        <f>HYPERLINK("https://muckrack.com/avery-braxton")</f>
        <v>https://muckrack.com/avery-braxton</v>
      </c>
      <c r="G1013" s="2">
        <v>4403</v>
      </c>
      <c r="H1013" s="2" t="s">
        <v>3994</v>
      </c>
      <c r="I1013" s="2" t="s">
        <v>4329</v>
      </c>
      <c r="J1013" s="2" t="s">
        <v>2000</v>
      </c>
      <c r="K1013" s="2" t="s">
        <v>1849</v>
      </c>
      <c r="L1013" s="2" t="s">
        <v>4324</v>
      </c>
      <c r="M1013" s="5">
        <v>45366.619606481479</v>
      </c>
      <c r="N1013" s="2" t="str">
        <f>HYPERLINK("http://twitter.com/Brax_Avery/status/1768711824554266686")</f>
        <v>http://twitter.com/Brax_Avery/status/1768711824554266686</v>
      </c>
      <c r="O1013" s="2" t="str">
        <f>HYPERLINK("https://shorturl.at/sxCK5")</f>
        <v>https://shorturl.at/sxCK5</v>
      </c>
    </row>
    <row r="1014" spans="1:15" ht="52.8" x14ac:dyDescent="0.3">
      <c r="A1014" s="2" t="s">
        <v>2865</v>
      </c>
      <c r="B1014" s="2" t="s">
        <v>2866</v>
      </c>
      <c r="C1014" s="2" t="s">
        <v>2867</v>
      </c>
      <c r="D1014" s="2" t="s">
        <v>2868</v>
      </c>
      <c r="E1014" s="2" t="str">
        <f>HYPERLINK("http://twitter.com/OSGNelson")</f>
        <v>http://twitter.com/OSGNelson</v>
      </c>
      <c r="F1014" s="2" t="str">
        <f>HYPERLINK("https://muckrack.com/jon-nelson")</f>
        <v>https://muckrack.com/jon-nelson</v>
      </c>
      <c r="G1014" s="2">
        <v>3176</v>
      </c>
      <c r="H1014" s="2" t="s">
        <v>2728</v>
      </c>
      <c r="I1014" s="2" t="s">
        <v>2869</v>
      </c>
      <c r="J1014" s="2" t="s">
        <v>2148</v>
      </c>
      <c r="K1014" s="2" t="s">
        <v>2870</v>
      </c>
      <c r="L1014" s="2" t="s">
        <v>4324</v>
      </c>
      <c r="M1014" s="5">
        <v>45366.988125000003</v>
      </c>
      <c r="N1014" s="2" t="str">
        <f>HYPERLINK("http://twitter.com/OSGNelson/status/1768845372103831912")</f>
        <v>http://twitter.com/OSGNelson/status/1768845372103831912</v>
      </c>
      <c r="O1014" s="2" t="str">
        <f>HYPERLINK("https://shorturl.at/sxCK5")</f>
        <v>https://shorturl.at/sxCK5</v>
      </c>
    </row>
    <row r="1015" spans="1:15" ht="52.8" x14ac:dyDescent="0.3">
      <c r="A1015" s="2" t="s">
        <v>1857</v>
      </c>
      <c r="B1015" s="2" t="s">
        <v>3238</v>
      </c>
      <c r="C1015" s="2" t="s">
        <v>4330</v>
      </c>
      <c r="D1015" s="2" t="s">
        <v>4331</v>
      </c>
      <c r="E1015" s="2" t="str">
        <f>HYPERLINK("http://twitter.com/ZachMyersNews")</f>
        <v>http://twitter.com/ZachMyersNews</v>
      </c>
      <c r="F1015" s="2" t="str">
        <f>HYPERLINK("https://muckrack.com/zach-myers")</f>
        <v>https://muckrack.com/zach-myers</v>
      </c>
      <c r="G1015" s="2">
        <v>7326</v>
      </c>
      <c r="H1015" s="2" t="s">
        <v>1972</v>
      </c>
      <c r="I1015" s="2" t="s">
        <v>4332</v>
      </c>
      <c r="J1015" s="2" t="s">
        <v>1954</v>
      </c>
      <c r="K1015" s="2" t="s">
        <v>147</v>
      </c>
      <c r="L1015" s="2" t="s">
        <v>4333</v>
      </c>
      <c r="M1015" s="5">
        <v>45364.284143518518</v>
      </c>
      <c r="N1015" s="2" t="str">
        <f>HYPERLINK("http://twitter.com/ZachMyersNews/status/1767865480637759738")</f>
        <v>http://twitter.com/ZachMyersNews/status/1767865480637759738</v>
      </c>
      <c r="O1015" s="2" t="str">
        <f>HYPERLINK("https://fox59.com/news/the-top-scams-of-2023-to-watch-for-in-2024/")</f>
        <v>https://fox59.com/news/the-top-scams-of-2023-to-watch-for-in-2024/</v>
      </c>
    </row>
    <row r="1016" spans="1:15" ht="79.2" x14ac:dyDescent="0.3">
      <c r="A1016" s="2" t="s">
        <v>4334</v>
      </c>
      <c r="B1016" s="2" t="s">
        <v>2178</v>
      </c>
      <c r="C1016" s="2" t="s">
        <v>4335</v>
      </c>
      <c r="D1016" s="2" t="s">
        <v>4336</v>
      </c>
      <c r="E1016" s="2" t="str">
        <f>HYPERLINK("http://twitter.com/andrewtsimonson")</f>
        <v>http://twitter.com/andrewtsimonson</v>
      </c>
      <c r="F1016" s="2" t="str">
        <f>HYPERLINK("https://muckrack.com/andrew-simonson")</f>
        <v>https://muckrack.com/andrew-simonson</v>
      </c>
      <c r="G1016" s="2">
        <v>2302</v>
      </c>
      <c r="H1016" s="2" t="s">
        <v>3794</v>
      </c>
      <c r="I1016" s="2" t="s">
        <v>4337</v>
      </c>
      <c r="J1016" s="2" t="s">
        <v>2033</v>
      </c>
      <c r="K1016" s="2" t="s">
        <v>4338</v>
      </c>
      <c r="L1016" s="2" t="s">
        <v>4339</v>
      </c>
      <c r="M1016" s="5">
        <v>45365.646770833337</v>
      </c>
      <c r="N1016" s="2" t="str">
        <f>HYPERLINK("http://twitter.com/andrewtsimonson/status/1768359281290612901")</f>
        <v>http://twitter.com/andrewtsimonson/status/1768359281290612901</v>
      </c>
      <c r="O1016" s="2" t="str">
        <f>HYPERLINK("https://www.bhmlegion.com/news/2024/03/12/legion-fcs-matt-vanoekel-named-to-usl-championship-team-of-the-week/")</f>
        <v>https://www.bhmlegion.com/news/2024/03/12/legion-fcs-matt-vanoekel-named-to-usl-championship-team-of-the-week/</v>
      </c>
    </row>
    <row r="1017" spans="1:15" ht="52.8" x14ac:dyDescent="0.3">
      <c r="A1017" s="2" t="s">
        <v>1858</v>
      </c>
      <c r="B1017" s="2" t="s">
        <v>3298</v>
      </c>
      <c r="C1017" s="2" t="s">
        <v>3299</v>
      </c>
      <c r="D1017" s="2" t="s">
        <v>3300</v>
      </c>
      <c r="E1017" s="2" t="str">
        <f>HYPERLINK("http://twitter.com/lhenry019")</f>
        <v>http://twitter.com/lhenry019</v>
      </c>
      <c r="F1017" s="2" t="str">
        <f>HYPERLINK("https://muckrack.com/larry-henry-jr-1")</f>
        <v>https://muckrack.com/larry-henry-jr-1</v>
      </c>
      <c r="G1017" s="2">
        <v>4262</v>
      </c>
      <c r="H1017" s="2" t="s">
        <v>3301</v>
      </c>
      <c r="I1017" s="2" t="s">
        <v>3302</v>
      </c>
      <c r="J1017" s="2" t="s">
        <v>2000</v>
      </c>
      <c r="K1017" s="2" t="s">
        <v>3303</v>
      </c>
      <c r="L1017" s="2" t="s">
        <v>4340</v>
      </c>
      <c r="M1017" s="5">
        <v>45363.507754629631</v>
      </c>
      <c r="N1017" s="2" t="str">
        <f>HYPERLINK("http://twitter.com/lhenry019/status/1767584125752316096")</f>
        <v>http://twitter.com/lhenry019/status/1767584125752316096</v>
      </c>
      <c r="O1017" s="2" t="str">
        <f>HYPERLINK("https://www.mlsnextpro.com/news/2024-mls-next-pro-western-conference-preview")</f>
        <v>https://www.mlsnextpro.com/news/2024-mls-next-pro-western-conference-preview</v>
      </c>
    </row>
    <row r="1018" spans="1:15" ht="92.4" x14ac:dyDescent="0.3">
      <c r="A1018" s="2" t="s">
        <v>4341</v>
      </c>
      <c r="B1018" s="2" t="s">
        <v>2289</v>
      </c>
      <c r="C1018" s="2"/>
      <c r="D1018" s="2" t="s">
        <v>4342</v>
      </c>
      <c r="E1018" s="2" t="str">
        <f>HYPERLINK("http://twitter.com/RXCafeTX")</f>
        <v>http://twitter.com/RXCafeTX</v>
      </c>
      <c r="F1018" s="2" t="str">
        <f>HYPERLINK("https://muckrack.com/rick-aragon")</f>
        <v>https://muckrack.com/rick-aragon</v>
      </c>
      <c r="G1018" s="2">
        <v>1082</v>
      </c>
      <c r="H1018" s="2"/>
      <c r="I1018" s="2" t="s">
        <v>4343</v>
      </c>
      <c r="J1018" s="2" t="s">
        <v>1915</v>
      </c>
      <c r="K1018" s="2" t="s">
        <v>2034</v>
      </c>
      <c r="L1018" s="2" t="s">
        <v>4344</v>
      </c>
      <c r="M1018" s="5">
        <v>45363.547847222217</v>
      </c>
      <c r="N1018" s="2" t="str">
        <f>HYPERLINK("http://twitter.com/RXCafeTX/status/1767598653701853327")</f>
        <v>http://twitter.com/RXCafeTX/status/1767598653701853327</v>
      </c>
      <c r="O1018" s="2" t="str">
        <f>HYPERLINK("https://shorturl.at/aglsQ")</f>
        <v>https://shorturl.at/aglsQ</v>
      </c>
    </row>
    <row r="1019" spans="1:15" ht="105.6" x14ac:dyDescent="0.3">
      <c r="A1019" s="2" t="s">
        <v>4345</v>
      </c>
      <c r="B1019" s="2" t="s">
        <v>4346</v>
      </c>
      <c r="C1019" s="2" t="s">
        <v>4347</v>
      </c>
      <c r="D1019" s="2" t="s">
        <v>4348</v>
      </c>
      <c r="E1019" s="2" t="str">
        <f>HYPERLINK("http://twitter.com/sport_simon")</f>
        <v>http://twitter.com/sport_simon</v>
      </c>
      <c r="F1019" s="2" t="str">
        <f>HYPERLINK("https://muckrack.com/simon-austin-77164")</f>
        <v>https://muckrack.com/simon-austin-77164</v>
      </c>
      <c r="G1019" s="2">
        <v>22357</v>
      </c>
      <c r="H1019" s="2" t="s">
        <v>4349</v>
      </c>
      <c r="I1019" s="2" t="s">
        <v>4350</v>
      </c>
      <c r="J1019" s="2" t="s">
        <v>2515</v>
      </c>
      <c r="K1019" s="2" t="s">
        <v>1861</v>
      </c>
      <c r="L1019" s="2" t="s">
        <v>4351</v>
      </c>
      <c r="M1019" s="5">
        <v>45362.731273148151</v>
      </c>
      <c r="N1019" s="2" t="str">
        <f>HYPERLINK("http://twitter.com/sport_simon/status/1767302739053224328")</f>
        <v>http://twitter.com/sport_simon/status/1767302739053224328</v>
      </c>
      <c r="O1019" s="2" t="str">
        <f>HYPERLINK("https://trainingground.guru/tgg-live-2024")</f>
        <v>https://trainingground.guru/tgg-live-2024</v>
      </c>
    </row>
    <row r="1020" spans="1:15" ht="79.2" x14ac:dyDescent="0.3">
      <c r="A1020" s="2" t="s">
        <v>4345</v>
      </c>
      <c r="B1020" s="2" t="s">
        <v>4346</v>
      </c>
      <c r="C1020" s="2" t="s">
        <v>4347</v>
      </c>
      <c r="D1020" s="2" t="s">
        <v>4348</v>
      </c>
      <c r="E1020" s="2" t="str">
        <f>HYPERLINK("http://twitter.com/sport_simon")</f>
        <v>http://twitter.com/sport_simon</v>
      </c>
      <c r="F1020" s="2" t="str">
        <f>HYPERLINK("https://muckrack.com/simon-austin-77164")</f>
        <v>https://muckrack.com/simon-austin-77164</v>
      </c>
      <c r="G1020" s="2">
        <v>22357</v>
      </c>
      <c r="H1020" s="2" t="s">
        <v>4349</v>
      </c>
      <c r="I1020" s="2" t="s">
        <v>4350</v>
      </c>
      <c r="J1020" s="2" t="s">
        <v>2515</v>
      </c>
      <c r="K1020" s="2" t="s">
        <v>1861</v>
      </c>
      <c r="L1020" s="2" t="s">
        <v>4352</v>
      </c>
      <c r="M1020" s="5">
        <v>45439.220821759263</v>
      </c>
      <c r="N1020" s="2" t="str">
        <f>HYPERLINK("http://twitter.com/sport_simon/status/1795021625135354044")</f>
        <v>http://twitter.com/sport_simon/status/1795021625135354044</v>
      </c>
      <c r="O1020" s="2" t="str">
        <f>HYPERLINK("https://trainingground.guru/tgg-live-2024")</f>
        <v>https://trainingground.guru/tgg-live-2024</v>
      </c>
    </row>
    <row r="1021" spans="1:15" ht="92.4" x14ac:dyDescent="0.3">
      <c r="A1021" s="2" t="s">
        <v>4345</v>
      </c>
      <c r="B1021" s="2" t="s">
        <v>4346</v>
      </c>
      <c r="C1021" s="2" t="s">
        <v>4347</v>
      </c>
      <c r="D1021" s="2" t="s">
        <v>4348</v>
      </c>
      <c r="E1021" s="2" t="str">
        <f>HYPERLINK("http://twitter.com/sport_simon")</f>
        <v>http://twitter.com/sport_simon</v>
      </c>
      <c r="F1021" s="2" t="str">
        <f>HYPERLINK("https://muckrack.com/simon-austin-77164")</f>
        <v>https://muckrack.com/simon-austin-77164</v>
      </c>
      <c r="G1021" s="2">
        <v>22357</v>
      </c>
      <c r="H1021" s="2" t="s">
        <v>4349</v>
      </c>
      <c r="I1021" s="2" t="s">
        <v>4350</v>
      </c>
      <c r="J1021" s="2" t="s">
        <v>2515</v>
      </c>
      <c r="K1021" s="2" t="s">
        <v>1861</v>
      </c>
      <c r="L1021" s="2" t="s">
        <v>4353</v>
      </c>
      <c r="M1021" s="5">
        <v>45447.76290509259</v>
      </c>
      <c r="N1021" s="2" t="str">
        <f>HYPERLINK("http://twitter.com/sport_simon/status/1798117169277939923")</f>
        <v>http://twitter.com/sport_simon/status/1798117169277939923</v>
      </c>
      <c r="O1021" s="2" t="str">
        <f>HYPERLINK("https://trainingground.guru/tgg-live-2024")</f>
        <v>https://trainingground.guru/tgg-live-2024</v>
      </c>
    </row>
    <row r="1022" spans="1:15" ht="52.8" x14ac:dyDescent="0.3">
      <c r="A1022" s="2" t="s">
        <v>1656</v>
      </c>
      <c r="B1022" s="2" t="s">
        <v>3415</v>
      </c>
      <c r="C1022" s="2" t="s">
        <v>3416</v>
      </c>
      <c r="D1022" s="2" t="s">
        <v>3417</v>
      </c>
      <c r="E1022" s="2" t="str">
        <f>HYPERLINK("http://twitter.com/kkfla737")</f>
        <v>http://twitter.com/kkfla737</v>
      </c>
      <c r="F1022" s="2" t="str">
        <f>HYPERLINK("https://muckrack.com/kartik-krishnaiyer")</f>
        <v>https://muckrack.com/kartik-krishnaiyer</v>
      </c>
      <c r="G1022" s="2">
        <v>8469</v>
      </c>
      <c r="H1022" s="2" t="s">
        <v>3418</v>
      </c>
      <c r="I1022" s="2" t="s">
        <v>3419</v>
      </c>
      <c r="J1022" s="2" t="s">
        <v>2033</v>
      </c>
      <c r="K1022" s="2" t="s">
        <v>3420</v>
      </c>
      <c r="L1022" s="2" t="s">
        <v>4354</v>
      </c>
      <c r="M1022" s="5">
        <v>45362.417141203703</v>
      </c>
      <c r="N1022" s="2" t="str">
        <f>HYPERLINK("http://twitter.com/kkfla737/status/1767188903029580122")</f>
        <v>http://twitter.com/kkfla737/status/1767188903029580122</v>
      </c>
      <c r="O1022" s="2" t="str">
        <f>HYPERLINK("https://shorturl.at/kvDI5")</f>
        <v>https://shorturl.at/kvDI5</v>
      </c>
    </row>
    <row r="1023" spans="1:15" ht="39.6" x14ac:dyDescent="0.3">
      <c r="A1023" s="2" t="s">
        <v>4355</v>
      </c>
      <c r="B1023" s="2" t="s">
        <v>4356</v>
      </c>
      <c r="C1023" s="2" t="s">
        <v>4357</v>
      </c>
      <c r="D1023" s="2" t="s">
        <v>4358</v>
      </c>
      <c r="E1023" s="2" t="str">
        <f>HYPERLINK("http://twitter.com/zimpix")</f>
        <v>http://twitter.com/zimpix</v>
      </c>
      <c r="F1023" s="2" t="str">
        <f>HYPERLINK("https://muckrack.com/douglas-zimmerman")</f>
        <v>https://muckrack.com/douglas-zimmerman</v>
      </c>
      <c r="G1023" s="2">
        <v>1054</v>
      </c>
      <c r="H1023" s="2" t="s">
        <v>4359</v>
      </c>
      <c r="I1023" s="2" t="s">
        <v>4360</v>
      </c>
      <c r="J1023" s="2" t="s">
        <v>4361</v>
      </c>
      <c r="K1023" s="2" t="s">
        <v>4362</v>
      </c>
      <c r="L1023" s="2" t="s">
        <v>4363</v>
      </c>
      <c r="M1023" s="5">
        <v>45361.507534722223</v>
      </c>
      <c r="N1023" s="2" t="str">
        <f>HYPERLINK("http://twitter.com/zimpix/status/1766859272951157169")</f>
        <v>http://twitter.com/zimpix/status/1766859272951157169</v>
      </c>
      <c r="O1023" s="2" t="str">
        <f>HYPERLINK("https://www.soccerbayarea.com/2024/03/10/tamacas-cedeno-power-oakland-roots-to-win-in-2024-opener/")</f>
        <v>https://www.soccerbayarea.com/2024/03/10/tamacas-cedeno-power-oakland-roots-to-win-in-2024-opener/</v>
      </c>
    </row>
    <row r="1024" spans="1:15" ht="66" x14ac:dyDescent="0.3">
      <c r="A1024" s="2" t="s">
        <v>654</v>
      </c>
      <c r="B1024" s="2" t="s">
        <v>2482</v>
      </c>
      <c r="C1024" s="2"/>
      <c r="D1024" s="2" t="s">
        <v>2483</v>
      </c>
      <c r="E1024" s="2" t="str">
        <f>HYPERLINK("http://twitter.com/ldock93")</f>
        <v>http://twitter.com/ldock93</v>
      </c>
      <c r="F1024" s="2" t="str">
        <f>HYPERLINK("https://muckrack.com/lawrence-dockery")</f>
        <v>https://muckrack.com/lawrence-dockery</v>
      </c>
      <c r="G1024" s="2">
        <v>1147</v>
      </c>
      <c r="H1024" s="2" t="s">
        <v>2484</v>
      </c>
      <c r="I1024" s="2" t="s">
        <v>2485</v>
      </c>
      <c r="J1024" s="2" t="s">
        <v>2033</v>
      </c>
      <c r="K1024" s="2" t="s">
        <v>2486</v>
      </c>
      <c r="L1024" s="2" t="s">
        <v>4364</v>
      </c>
      <c r="M1024" s="5">
        <v>45360.422361111108</v>
      </c>
      <c r="N1024" s="2" t="str">
        <f>HYPERLINK("http://twitter.com/ldock93/status/1766481117131993150")</f>
        <v>http://twitter.com/ldock93/status/1766481117131993150</v>
      </c>
      <c r="O1024" s="2" t="str">
        <f>HYPERLINK("https://bluffcitymedia.co/memphis-901-fc-vs-las-vegas-lights-2024-season-opener-preview/")</f>
        <v>https://bluffcitymedia.co/memphis-901-fc-vs-las-vegas-lights-2024-season-opener-preview/</v>
      </c>
    </row>
    <row r="1025" spans="1:15" ht="52.8" x14ac:dyDescent="0.3">
      <c r="A1025" s="2" t="s">
        <v>654</v>
      </c>
      <c r="B1025" s="2" t="s">
        <v>2482</v>
      </c>
      <c r="C1025" s="2"/>
      <c r="D1025" s="2" t="s">
        <v>2483</v>
      </c>
      <c r="E1025" s="2" t="str">
        <f>HYPERLINK("http://twitter.com/ldock93")</f>
        <v>http://twitter.com/ldock93</v>
      </c>
      <c r="F1025" s="2" t="str">
        <f>HYPERLINK("https://muckrack.com/lawrence-dockery")</f>
        <v>https://muckrack.com/lawrence-dockery</v>
      </c>
      <c r="G1025" s="2">
        <v>1147</v>
      </c>
      <c r="H1025" s="2" t="s">
        <v>2484</v>
      </c>
      <c r="I1025" s="2" t="s">
        <v>2485</v>
      </c>
      <c r="J1025" s="2" t="s">
        <v>2033</v>
      </c>
      <c r="K1025" s="2" t="s">
        <v>2486</v>
      </c>
      <c r="L1025" s="2" t="s">
        <v>4365</v>
      </c>
      <c r="M1025" s="5">
        <v>45360.424525462957</v>
      </c>
      <c r="N1025" s="2" t="str">
        <f>HYPERLINK("http://twitter.com/ldock93/status/1766481901307494708")</f>
        <v>http://twitter.com/ldock93/status/1766481901307494708</v>
      </c>
      <c r="O1025" s="2" t="str">
        <f>HYPERLINK("https://bluffcitymedia.co/memphis-901-fc-vs-las-vegas-lights-2024-season-opener-preview/")</f>
        <v>https://bluffcitymedia.co/memphis-901-fc-vs-las-vegas-lights-2024-season-opener-preview/</v>
      </c>
    </row>
    <row r="1026" spans="1:15" ht="105.6" x14ac:dyDescent="0.3">
      <c r="A1026" s="2" t="s">
        <v>919</v>
      </c>
      <c r="B1026" s="2" t="s">
        <v>2279</v>
      </c>
      <c r="C1026" s="2" t="s">
        <v>2280</v>
      </c>
      <c r="D1026" s="2" t="s">
        <v>2281</v>
      </c>
      <c r="E1026" s="2" t="str">
        <f>HYPERLINK("http://twitter.com/ADChernoff")</f>
        <v>http://twitter.com/ADChernoff</v>
      </c>
      <c r="F1026" s="2" t="str">
        <f>HYPERLINK("https://muckrack.com/andrew-chernoff")</f>
        <v>https://muckrack.com/andrew-chernoff</v>
      </c>
      <c r="G1026" s="2">
        <v>7778</v>
      </c>
      <c r="H1026" s="2" t="s">
        <v>1972</v>
      </c>
      <c r="I1026" s="2" t="s">
        <v>2282</v>
      </c>
      <c r="J1026" s="2" t="s">
        <v>2000</v>
      </c>
      <c r="K1026" s="2" t="s">
        <v>2283</v>
      </c>
      <c r="L1026" s="2" t="s">
        <v>4366</v>
      </c>
      <c r="M1026" s="5">
        <v>45359.891238425917</v>
      </c>
      <c r="N1026" s="2" t="str">
        <f>HYPERLINK("http://twitter.com/ADChernoff/status/1766288644883492934")</f>
        <v>http://twitter.com/ADChernoff/status/1766288644883492934</v>
      </c>
      <c r="O1026" s="2" t="str">
        <f>HYPERLINK("https://www.wishtv.com/sports/indy-eleven/familiar-face-excited-to-play-once-again-for-indy-eleven/")</f>
        <v>https://www.wishtv.com/sports/indy-eleven/familiar-face-excited-to-play-once-again-for-indy-eleven/</v>
      </c>
    </row>
    <row r="1027" spans="1:15" ht="66" x14ac:dyDescent="0.3">
      <c r="A1027" s="2" t="s">
        <v>1307</v>
      </c>
      <c r="B1027" s="2" t="s">
        <v>2770</v>
      </c>
      <c r="C1027" s="2" t="s">
        <v>2771</v>
      </c>
      <c r="D1027" s="2" t="s">
        <v>2772</v>
      </c>
      <c r="E1027" s="2" t="str">
        <f>HYPERLINK("http://twitter.com/ChuckBoothSport")</f>
        <v>http://twitter.com/ChuckBoothSport</v>
      </c>
      <c r="F1027" s="2" t="str">
        <f>HYPERLINK("https://muckrack.com/chuck-booth")</f>
        <v>https://muckrack.com/chuck-booth</v>
      </c>
      <c r="G1027" s="2">
        <v>4380</v>
      </c>
      <c r="H1027" s="2" t="s">
        <v>2773</v>
      </c>
      <c r="I1027" s="2" t="s">
        <v>2774</v>
      </c>
      <c r="J1027" s="2" t="s">
        <v>2775</v>
      </c>
      <c r="K1027" s="2" t="s">
        <v>813</v>
      </c>
      <c r="L1027" s="2" t="s">
        <v>4367</v>
      </c>
      <c r="M1027" s="5">
        <v>45359.657847222217</v>
      </c>
      <c r="N1027" s="2" t="str">
        <f>HYPERLINK("http://twitter.com/ChuckBoothSport/status/1766204066491670797")</f>
        <v>http://twitter.com/ChuckBoothSport/status/1766204066491670797</v>
      </c>
      <c r="O1027" s="2" t="str">
        <f>HYPERLINK("https://www.cbssports.com/soccer/news/what-to-watch-for-as-usl-season-kicks-off-saturday-with-doubleheader-on-cbs-sports-golazo-network/")</f>
        <v>https://www.cbssports.com/soccer/news/what-to-watch-for-as-usl-season-kicks-off-saturday-with-doubleheader-on-cbs-sports-golazo-network/</v>
      </c>
    </row>
    <row r="1028" spans="1:15" ht="66" x14ac:dyDescent="0.3">
      <c r="A1028" s="2" t="s">
        <v>4368</v>
      </c>
      <c r="B1028" s="2" t="s">
        <v>4369</v>
      </c>
      <c r="C1028" s="2"/>
      <c r="D1028" s="2" t="s">
        <v>4370</v>
      </c>
      <c r="E1028" s="2" t="str">
        <f>HYPERLINK("http://twitter.com/TommyQuinlan_IV")</f>
        <v>http://twitter.com/TommyQuinlan_IV</v>
      </c>
      <c r="F1028" s="2" t="str">
        <f>HYPERLINK("https://muckrack.com/tommy-quinlan")</f>
        <v>https://muckrack.com/tommy-quinlan</v>
      </c>
      <c r="G1028" s="2">
        <v>3408</v>
      </c>
      <c r="H1028" s="2" t="s">
        <v>2844</v>
      </c>
      <c r="I1028" s="2" t="s">
        <v>4371</v>
      </c>
      <c r="J1028" s="2" t="s">
        <v>2033</v>
      </c>
      <c r="K1028" s="2" t="s">
        <v>4372</v>
      </c>
      <c r="L1028" s="2" t="s">
        <v>4373</v>
      </c>
      <c r="M1028" s="5">
        <v>45359.660729166673</v>
      </c>
      <c r="N1028" s="2" t="str">
        <f>HYPERLINK("http://twitter.com/TommyQuinlan_IV/status/1766205108625277373")</f>
        <v>http://twitter.com/TommyQuinlan_IV/status/1766205108625277373</v>
      </c>
      <c r="O1028" s="2" t="str">
        <f>HYPERLINK("https://www.cbssports.com/soccer/news/what-to-watch-for-as-usl-season-kicks-off-saturday-with-doubleheader-on-cbs-sports-golazo-network/")</f>
        <v>https://www.cbssports.com/soccer/news/what-to-watch-for-as-usl-season-kicks-off-saturday-with-doubleheader-on-cbs-sports-golazo-network/</v>
      </c>
    </row>
    <row r="1029" spans="1:15" ht="118.8" x14ac:dyDescent="0.3">
      <c r="A1029" s="2" t="s">
        <v>1878</v>
      </c>
      <c r="B1029" s="2" t="s">
        <v>4374</v>
      </c>
      <c r="C1029" s="2" t="s">
        <v>4375</v>
      </c>
      <c r="D1029" s="2" t="s">
        <v>4376</v>
      </c>
      <c r="E1029" s="2" t="str">
        <f>HYPERLINK("http://twitter.com/CalebTurrentine")</f>
        <v>http://twitter.com/CalebTurrentine</v>
      </c>
      <c r="F1029" s="2" t="str">
        <f>HYPERLINK("https://muckrack.com/caleb-turrentine")</f>
        <v>https://muckrack.com/caleb-turrentine</v>
      </c>
      <c r="G1029" s="2">
        <v>1265</v>
      </c>
      <c r="H1029" s="2" t="s">
        <v>4377</v>
      </c>
      <c r="I1029" s="2" t="s">
        <v>4378</v>
      </c>
      <c r="J1029" s="2" t="s">
        <v>1954</v>
      </c>
      <c r="K1029" s="2" t="s">
        <v>4379</v>
      </c>
      <c r="L1029" s="2" t="s">
        <v>4380</v>
      </c>
      <c r="M1029" s="5">
        <v>45359.021724537037</v>
      </c>
      <c r="N1029" s="2" t="str">
        <f>HYPERLINK("http://twitter.com/CalebTurrentine/status/1765973541546029146")</f>
        <v>http://twitter.com/CalebTurrentine/status/1765973541546029146</v>
      </c>
      <c r="O1029" s="2" t="s">
        <v>1877</v>
      </c>
    </row>
    <row r="1030" spans="1:15" ht="66" x14ac:dyDescent="0.3">
      <c r="A1030" s="2" t="s">
        <v>1307</v>
      </c>
      <c r="B1030" s="2" t="s">
        <v>2770</v>
      </c>
      <c r="C1030" s="2" t="s">
        <v>2771</v>
      </c>
      <c r="D1030" s="2" t="s">
        <v>2772</v>
      </c>
      <c r="E1030" s="2" t="str">
        <f>HYPERLINK("http://twitter.com/ChuckBoothSport")</f>
        <v>http://twitter.com/ChuckBoothSport</v>
      </c>
      <c r="F1030" s="2" t="str">
        <f>HYPERLINK("https://muckrack.com/chuck-booth")</f>
        <v>https://muckrack.com/chuck-booth</v>
      </c>
      <c r="G1030" s="2">
        <v>4380</v>
      </c>
      <c r="H1030" s="2" t="s">
        <v>2773</v>
      </c>
      <c r="I1030" s="2" t="s">
        <v>2774</v>
      </c>
      <c r="J1030" s="2" t="s">
        <v>2775</v>
      </c>
      <c r="K1030" s="2" t="s">
        <v>813</v>
      </c>
      <c r="L1030" s="2" t="s">
        <v>4381</v>
      </c>
      <c r="M1030" s="5">
        <v>45358.692962962959</v>
      </c>
      <c r="N1030" s="2" t="str">
        <f>HYPERLINK("http://twitter.com/ChuckBoothSport/status/1765854403142078661")</f>
        <v>http://twitter.com/ChuckBoothSport/status/1765854403142078661</v>
      </c>
      <c r="O1030" s="2" t="str">
        <f>HYPERLINK("https://www.cbssports.com/soccer/news/ranking-usl-championship-kits-oakland-roots-sc-knock-it-out-of-the-park-new-mexico-united-show-out-in-style/")</f>
        <v>https://www.cbssports.com/soccer/news/ranking-usl-championship-kits-oakland-roots-sc-knock-it-out-of-the-park-new-mexico-united-show-out-in-style/</v>
      </c>
    </row>
    <row r="1031" spans="1:15" ht="66" x14ac:dyDescent="0.3">
      <c r="A1031" s="2" t="s">
        <v>4382</v>
      </c>
      <c r="B1031" s="2" t="s">
        <v>4383</v>
      </c>
      <c r="C1031" s="2" t="s">
        <v>4384</v>
      </c>
      <c r="D1031" s="2" t="s">
        <v>4385</v>
      </c>
      <c r="E1031" s="2" t="str">
        <f>HYPERLINK("http://twitter.com/jamesbenge")</f>
        <v>http://twitter.com/jamesbenge</v>
      </c>
      <c r="F1031" s="2" t="str">
        <f>HYPERLINK("https://muckrack.com/james-benge")</f>
        <v>https://muckrack.com/james-benge</v>
      </c>
      <c r="G1031" s="2">
        <v>174763</v>
      </c>
      <c r="H1031" s="2" t="s">
        <v>3598</v>
      </c>
      <c r="I1031" s="2" t="s">
        <v>4386</v>
      </c>
      <c r="J1031" s="2" t="s">
        <v>2515</v>
      </c>
      <c r="K1031" s="2" t="s">
        <v>813</v>
      </c>
      <c r="L1031" s="2" t="s">
        <v>4387</v>
      </c>
      <c r="M1031" s="5">
        <v>45360.470497685194</v>
      </c>
      <c r="N1031" s="2" t="str">
        <f>HYPERLINK("http://twitter.com/jamesbenge/status/1766498558964846876")</f>
        <v>http://twitter.com/jamesbenge/status/1766498558964846876</v>
      </c>
      <c r="O1031" s="2" t="str">
        <f>HYPERLINK("https://www.cbssports.com/soccer/news/ranking-usl-championship-kits-oakland-roots-sc-knock-it-out-of-the-park-new-mexico-united-show-out-in-style/")</f>
        <v>https://www.cbssports.com/soccer/news/ranking-usl-championship-kits-oakland-roots-sc-knock-it-out-of-the-park-new-mexico-united-show-out-in-style/</v>
      </c>
    </row>
    <row r="1032" spans="1:15" ht="66" x14ac:dyDescent="0.3">
      <c r="A1032" s="2" t="s">
        <v>3057</v>
      </c>
      <c r="B1032" s="2" t="s">
        <v>3058</v>
      </c>
      <c r="C1032" s="2" t="s">
        <v>3059</v>
      </c>
      <c r="D1032" s="2" t="s">
        <v>3060</v>
      </c>
      <c r="E1032" s="2" t="str">
        <f>HYPERLINK("http://twitter.com/ThompsonFoto12")</f>
        <v>http://twitter.com/ThompsonFoto12</v>
      </c>
      <c r="F1032" s="2" t="str">
        <f>HYPERLINK("https://muckrack.com/ed-thompson")</f>
        <v>https://muckrack.com/ed-thompson</v>
      </c>
      <c r="G1032" s="2">
        <v>9230</v>
      </c>
      <c r="H1032" s="2" t="s">
        <v>2187</v>
      </c>
      <c r="I1032" s="2" t="s">
        <v>3061</v>
      </c>
      <c r="J1032" s="2" t="s">
        <v>3062</v>
      </c>
      <c r="K1032" s="2" t="s">
        <v>3063</v>
      </c>
      <c r="L1032" s="2" t="s">
        <v>4388</v>
      </c>
      <c r="M1032" s="5">
        <v>45358.927268518521</v>
      </c>
      <c r="N1032" s="2" t="str">
        <f>HYPERLINK("http://twitter.com/ThompsonFoto12/status/1765939314943205655")</f>
        <v>http://twitter.com/ThompsonFoto12/status/1765939314943205655</v>
      </c>
      <c r="O1032" s="2" t="str">
        <f>HYPERLINK("https://pittsburghsoccernow.com/2024/03/07/riverhounds-head-coach-bob-lilley-keeping-players-clear-headed-ahead-of-usl-championship-kickoff/")</f>
        <v>https://pittsburghsoccernow.com/2024/03/07/riverhounds-head-coach-bob-lilley-keeping-players-clear-headed-ahead-of-usl-championship-kickoff/</v>
      </c>
    </row>
    <row r="1033" spans="1:15" ht="79.2" x14ac:dyDescent="0.3">
      <c r="A1033" s="2" t="s">
        <v>1656</v>
      </c>
      <c r="B1033" s="2" t="s">
        <v>3415</v>
      </c>
      <c r="C1033" s="2" t="s">
        <v>3416</v>
      </c>
      <c r="D1033" s="2" t="s">
        <v>3417</v>
      </c>
      <c r="E1033" s="2" t="str">
        <f>HYPERLINK("http://twitter.com/kkfla737")</f>
        <v>http://twitter.com/kkfla737</v>
      </c>
      <c r="F1033" s="2" t="str">
        <f>HYPERLINK("https://muckrack.com/kartik-krishnaiyer")</f>
        <v>https://muckrack.com/kartik-krishnaiyer</v>
      </c>
      <c r="G1033" s="2">
        <v>8469</v>
      </c>
      <c r="H1033" s="2" t="s">
        <v>3418</v>
      </c>
      <c r="I1033" s="2" t="s">
        <v>3419</v>
      </c>
      <c r="J1033" s="2" t="s">
        <v>2033</v>
      </c>
      <c r="K1033" s="2" t="s">
        <v>3420</v>
      </c>
      <c r="L1033" s="2" t="s">
        <v>4389</v>
      </c>
      <c r="M1033" s="5">
        <v>45358.633518518523</v>
      </c>
      <c r="N1033" s="2" t="str">
        <f>HYPERLINK("http://twitter.com/kkfla737/status/1765832863704912250")</f>
        <v>http://twitter.com/kkfla737/status/1765832863704912250</v>
      </c>
      <c r="O1033" s="2" t="str">
        <f>HYPERLINK("https://shorturl.at/frtBT")</f>
        <v>https://shorturl.at/frtBT</v>
      </c>
    </row>
    <row r="1034" spans="1:15" ht="52.8" x14ac:dyDescent="0.3">
      <c r="A1034" s="2" t="s">
        <v>654</v>
      </c>
      <c r="B1034" s="2" t="s">
        <v>2482</v>
      </c>
      <c r="C1034" s="2"/>
      <c r="D1034" s="2" t="s">
        <v>2483</v>
      </c>
      <c r="E1034" s="2" t="str">
        <f>HYPERLINK("http://twitter.com/ldock93")</f>
        <v>http://twitter.com/ldock93</v>
      </c>
      <c r="F1034" s="2" t="str">
        <f>HYPERLINK("https://muckrack.com/lawrence-dockery")</f>
        <v>https://muckrack.com/lawrence-dockery</v>
      </c>
      <c r="G1034" s="2">
        <v>1147</v>
      </c>
      <c r="H1034" s="2" t="s">
        <v>2484</v>
      </c>
      <c r="I1034" s="2" t="s">
        <v>2485</v>
      </c>
      <c r="J1034" s="2" t="s">
        <v>2033</v>
      </c>
      <c r="K1034" s="2" t="s">
        <v>2486</v>
      </c>
      <c r="L1034" s="2" t="s">
        <v>4390</v>
      </c>
      <c r="M1034" s="5">
        <v>45357.994409722232</v>
      </c>
      <c r="N1034" s="2" t="str">
        <f>HYPERLINK("http://twitter.com/ldock93/status/1765601257400504617")</f>
        <v>http://twitter.com/ldock93/status/1765601257400504617</v>
      </c>
      <c r="O1034" s="2" t="str">
        <f>HYPERLINK("https://bluffcitymedia.co/cancer-kickers-unveiled-as-new-memphis-901-fc-jersey-sponsor/")</f>
        <v>https://bluffcitymedia.co/cancer-kickers-unveiled-as-new-memphis-901-fc-jersey-sponsor/</v>
      </c>
    </row>
    <row r="1035" spans="1:15" ht="52.8" x14ac:dyDescent="0.3">
      <c r="A1035" s="2" t="s">
        <v>654</v>
      </c>
      <c r="B1035" s="2" t="s">
        <v>2482</v>
      </c>
      <c r="C1035" s="2"/>
      <c r="D1035" s="2" t="s">
        <v>2483</v>
      </c>
      <c r="E1035" s="2" t="str">
        <f>HYPERLINK("http://twitter.com/ldock93")</f>
        <v>http://twitter.com/ldock93</v>
      </c>
      <c r="F1035" s="2" t="str">
        <f>HYPERLINK("https://muckrack.com/lawrence-dockery")</f>
        <v>https://muckrack.com/lawrence-dockery</v>
      </c>
      <c r="G1035" s="2">
        <v>1147</v>
      </c>
      <c r="H1035" s="2" t="s">
        <v>2484</v>
      </c>
      <c r="I1035" s="2" t="s">
        <v>2485</v>
      </c>
      <c r="J1035" s="2" t="s">
        <v>2033</v>
      </c>
      <c r="K1035" s="2" t="s">
        <v>2486</v>
      </c>
      <c r="L1035" s="2" t="s">
        <v>4391</v>
      </c>
      <c r="M1035" s="5">
        <v>45357.996134259258</v>
      </c>
      <c r="N1035" s="2" t="str">
        <f>HYPERLINK("http://twitter.com/ldock93/status/1765601879449366858")</f>
        <v>http://twitter.com/ldock93/status/1765601879449366858</v>
      </c>
      <c r="O1035" s="2" t="str">
        <f>HYPERLINK("https://bluffcitymedia.co/cancer-kickers-unveiled-as-new-memphis-901-fc-jersey-sponsor/")</f>
        <v>https://bluffcitymedia.co/cancer-kickers-unveiled-as-new-memphis-901-fc-jersey-sponsor/</v>
      </c>
    </row>
    <row r="1036" spans="1:15" ht="66" x14ac:dyDescent="0.3">
      <c r="A1036" s="2" t="s">
        <v>919</v>
      </c>
      <c r="B1036" s="2" t="s">
        <v>2279</v>
      </c>
      <c r="C1036" s="2" t="s">
        <v>2280</v>
      </c>
      <c r="D1036" s="2" t="s">
        <v>2281</v>
      </c>
      <c r="E1036" s="2" t="str">
        <f>HYPERLINK("http://twitter.com/ADChernoff")</f>
        <v>http://twitter.com/ADChernoff</v>
      </c>
      <c r="F1036" s="2" t="str">
        <f>HYPERLINK("https://muckrack.com/andrew-chernoff")</f>
        <v>https://muckrack.com/andrew-chernoff</v>
      </c>
      <c r="G1036" s="2">
        <v>7778</v>
      </c>
      <c r="H1036" s="2" t="s">
        <v>1972</v>
      </c>
      <c r="I1036" s="2" t="s">
        <v>2282</v>
      </c>
      <c r="J1036" s="2" t="s">
        <v>2000</v>
      </c>
      <c r="K1036" s="2" t="s">
        <v>2283</v>
      </c>
      <c r="L1036" s="2" t="s">
        <v>4392</v>
      </c>
      <c r="M1036" s="5">
        <v>45357.640497685177</v>
      </c>
      <c r="N1036" s="2" t="str">
        <f>HYPERLINK("http://twitter.com/ADChernoff/status/1765473003918283026")</f>
        <v>http://twitter.com/ADChernoff/status/1765473003918283026</v>
      </c>
      <c r="O1036" s="2" t="str">
        <f>HYPERLINK("https://www.wishtv.com/sports/indy-eleven/siblings-to-play-together-for-indy-eleven-this-season/")</f>
        <v>https://www.wishtv.com/sports/indy-eleven/siblings-to-play-together-for-indy-eleven-this-season/</v>
      </c>
    </row>
    <row r="1037" spans="1:15" ht="39.6" x14ac:dyDescent="0.3">
      <c r="A1037" s="2" t="s">
        <v>4393</v>
      </c>
      <c r="B1037" s="2" t="s">
        <v>4394</v>
      </c>
      <c r="C1037" s="2" t="s">
        <v>4395</v>
      </c>
      <c r="D1037" s="2" t="s">
        <v>4396</v>
      </c>
      <c r="E1037" s="2" t="str">
        <f>HYPERLINK("http://twitter.com/AnnouncerScott")</f>
        <v>http://twitter.com/AnnouncerScott</v>
      </c>
      <c r="F1037" s="2" t="str">
        <f>HYPERLINK("https://muckrack.com/scott-moak")</f>
        <v>https://muckrack.com/scott-moak</v>
      </c>
      <c r="G1037" s="2">
        <v>8879</v>
      </c>
      <c r="H1037" s="2" t="s">
        <v>4397</v>
      </c>
      <c r="I1037" s="2" t="s">
        <v>4398</v>
      </c>
      <c r="J1037" s="2" t="s">
        <v>2033</v>
      </c>
      <c r="K1037" s="2" t="s">
        <v>4399</v>
      </c>
      <c r="L1037" s="2" t="s">
        <v>4400</v>
      </c>
      <c r="M1037" s="5">
        <v>45356.809965277767</v>
      </c>
      <c r="N1037" s="2" t="str">
        <f>HYPERLINK("http://twitter.com/AnnouncerScott/status/1765172029853258171")</f>
        <v>http://twitter.com/AnnouncerScott/status/1765172029853258171</v>
      </c>
      <c r="O1037" s="2" t="str">
        <f>HYPERLINK("https://www.uslchampionship.com/news_article/show/1302959")</f>
        <v>https://www.uslchampionship.com/news_article/show/1302959</v>
      </c>
    </row>
    <row r="1038" spans="1:15" ht="79.2" x14ac:dyDescent="0.3">
      <c r="A1038" s="2" t="s">
        <v>4401</v>
      </c>
      <c r="B1038" s="2" t="s">
        <v>2289</v>
      </c>
      <c r="C1038" s="2" t="s">
        <v>4402</v>
      </c>
      <c r="D1038" s="2" t="s">
        <v>4403</v>
      </c>
      <c r="E1038" s="2" t="str">
        <f>HYPERLINK("http://twitter.com/ATLPilgrim")</f>
        <v>http://twitter.com/ATLPilgrim</v>
      </c>
      <c r="F1038" s="2" t="str">
        <f>HYPERLINK("https://muckrack.com/tyler-pilgrim")</f>
        <v>https://muckrack.com/tyler-pilgrim</v>
      </c>
      <c r="G1038" s="2">
        <v>1610</v>
      </c>
      <c r="H1038" s="2" t="s">
        <v>1913</v>
      </c>
      <c r="I1038" s="2" t="s">
        <v>4404</v>
      </c>
      <c r="J1038" s="2" t="s">
        <v>2033</v>
      </c>
      <c r="K1038" s="2" t="s">
        <v>4405</v>
      </c>
      <c r="L1038" s="2" t="s">
        <v>4406</v>
      </c>
      <c r="M1038" s="5">
        <v>45355.492199074077</v>
      </c>
      <c r="N1038" s="2" t="str">
        <f>HYPERLINK("http://twitter.com/ATLPilgrim/status/1764694486494364055")</f>
        <v>http://twitter.com/ATLPilgrim/status/1764694486494364055</v>
      </c>
      <c r="O1038" s="2" t="str">
        <f>HYPERLINK("https://scarvesandspikes.com/2024/03/04/wrapping-up-mls-matchday-3-the-ss-feed-for-march-4-2024/")</f>
        <v>https://scarvesandspikes.com/2024/03/04/wrapping-up-mls-matchday-3-the-ss-feed-for-march-4-2024/</v>
      </c>
    </row>
    <row r="1039" spans="1:15" ht="79.2" x14ac:dyDescent="0.3">
      <c r="A1039" s="2" t="s">
        <v>2754</v>
      </c>
      <c r="B1039" s="2" t="s">
        <v>2755</v>
      </c>
      <c r="C1039" s="2" t="s">
        <v>2756</v>
      </c>
      <c r="D1039" s="2" t="s">
        <v>2757</v>
      </c>
      <c r="E1039" s="2" t="str">
        <f>HYPERLINK("http://twitter.com/SHWrites")</f>
        <v>http://twitter.com/SHWrites</v>
      </c>
      <c r="F1039" s="2" t="str">
        <f>HYPERLINK("https://muckrack.com/sydney-hunte")</f>
        <v>https://muckrack.com/sydney-hunte</v>
      </c>
      <c r="G1039" s="2">
        <v>1353</v>
      </c>
      <c r="H1039" s="2" t="s">
        <v>2728</v>
      </c>
      <c r="I1039" s="2" t="s">
        <v>2758</v>
      </c>
      <c r="J1039" s="2" t="s">
        <v>2759</v>
      </c>
      <c r="K1039" s="2" t="s">
        <v>2760</v>
      </c>
      <c r="L1039" s="2" t="s">
        <v>4407</v>
      </c>
      <c r="M1039" s="5">
        <v>45355.504479166673</v>
      </c>
      <c r="N1039" s="2" t="str">
        <f>HYPERLINK("http://twitter.com/SHWrites/status/1764698936592187887")</f>
        <v>http://twitter.com/SHWrites/status/1764698936592187887</v>
      </c>
      <c r="O1039" s="2" t="str">
        <f>HYPERLINK("https://scarvesandspikes.com/2024/03/04/wrapping-up-mls-matchday-3-the-ss-feed-for-march-4-2024/")</f>
        <v>https://scarvesandspikes.com/2024/03/04/wrapping-up-mls-matchday-3-the-ss-feed-for-march-4-2024/</v>
      </c>
    </row>
    <row r="1040" spans="1:15" ht="52.8" x14ac:dyDescent="0.3">
      <c r="A1040" s="2" t="s">
        <v>654</v>
      </c>
      <c r="B1040" s="2" t="s">
        <v>2482</v>
      </c>
      <c r="C1040" s="2"/>
      <c r="D1040" s="2" t="s">
        <v>2483</v>
      </c>
      <c r="E1040" s="2" t="str">
        <f>HYPERLINK("http://twitter.com/ldock93")</f>
        <v>http://twitter.com/ldock93</v>
      </c>
      <c r="F1040" s="2" t="str">
        <f>HYPERLINK("https://muckrack.com/lawrence-dockery")</f>
        <v>https://muckrack.com/lawrence-dockery</v>
      </c>
      <c r="G1040" s="2">
        <v>1147</v>
      </c>
      <c r="H1040" s="2" t="s">
        <v>2484</v>
      </c>
      <c r="I1040" s="2" t="s">
        <v>2485</v>
      </c>
      <c r="J1040" s="2" t="s">
        <v>2033</v>
      </c>
      <c r="K1040" s="2" t="s">
        <v>2486</v>
      </c>
      <c r="L1040" s="2" t="s">
        <v>4408</v>
      </c>
      <c r="M1040" s="5">
        <v>45352.714560185188</v>
      </c>
      <c r="N1040" s="2" t="str">
        <f>HYPERLINK("http://twitter.com/ldock93/status/1763687902599352749")</f>
        <v>http://twitter.com/ldock93/status/1763687902599352749</v>
      </c>
      <c r="O1040" s="2" t="str">
        <f>HYPERLINK("https://bluffcitymedia.co/memphis-901-fc-learns-us-open-cup-entry-date/")</f>
        <v>https://bluffcitymedia.co/memphis-901-fc-learns-us-open-cup-entry-date/</v>
      </c>
    </row>
    <row r="1041" spans="1:15" ht="52.8" x14ac:dyDescent="0.3">
      <c r="A1041" s="2" t="s">
        <v>654</v>
      </c>
      <c r="B1041" s="2" t="s">
        <v>2482</v>
      </c>
      <c r="C1041" s="2"/>
      <c r="D1041" s="2" t="s">
        <v>2483</v>
      </c>
      <c r="E1041" s="2" t="str">
        <f>HYPERLINK("http://twitter.com/ldock93")</f>
        <v>http://twitter.com/ldock93</v>
      </c>
      <c r="F1041" s="2" t="str">
        <f>HYPERLINK("https://muckrack.com/lawrence-dockery")</f>
        <v>https://muckrack.com/lawrence-dockery</v>
      </c>
      <c r="G1041" s="2">
        <v>1147</v>
      </c>
      <c r="H1041" s="2" t="s">
        <v>2484</v>
      </c>
      <c r="I1041" s="2" t="s">
        <v>2485</v>
      </c>
      <c r="J1041" s="2" t="s">
        <v>2033</v>
      </c>
      <c r="K1041" s="2" t="s">
        <v>2486</v>
      </c>
      <c r="L1041" s="2" t="s">
        <v>4409</v>
      </c>
      <c r="M1041" s="5">
        <v>45352.716099537043</v>
      </c>
      <c r="N1041" s="2" t="str">
        <f>HYPERLINK("http://twitter.com/ldock93/status/1763688462840967176")</f>
        <v>http://twitter.com/ldock93/status/1763688462840967176</v>
      </c>
      <c r="O1041" s="2" t="str">
        <f>HYPERLINK("https://bluffcitymedia.co/memphis-901-fc-learns-us-open-cup-entry-date/")</f>
        <v>https://bluffcitymedia.co/memphis-901-fc-learns-us-open-cup-entry-date/</v>
      </c>
    </row>
    <row r="1042" spans="1:15" ht="158.4" x14ac:dyDescent="0.3">
      <c r="A1042" s="2" t="s">
        <v>353</v>
      </c>
      <c r="B1042" s="2" t="s">
        <v>2194</v>
      </c>
      <c r="C1042" s="2"/>
      <c r="D1042" s="2" t="s">
        <v>2195</v>
      </c>
      <c r="E1042" s="2" t="str">
        <f>HYPERLINK("http://twitter.com/grtorres")</f>
        <v>http://twitter.com/grtorres</v>
      </c>
      <c r="F1042" s="2" t="str">
        <f>HYPERLINK("https://muckrack.com/guilherme-torres")</f>
        <v>https://muckrack.com/guilherme-torres</v>
      </c>
      <c r="G1042" s="2">
        <v>3643</v>
      </c>
      <c r="H1042" s="2" t="s">
        <v>2196</v>
      </c>
      <c r="I1042" s="2" t="s">
        <v>2197</v>
      </c>
      <c r="J1042" s="2" t="s">
        <v>2033</v>
      </c>
      <c r="K1042" s="2" t="s">
        <v>2198</v>
      </c>
      <c r="L1042" s="2" t="s">
        <v>4410</v>
      </c>
      <c r="M1042" s="5">
        <v>45352.78261574074</v>
      </c>
      <c r="N1042" s="2" t="str">
        <f>HYPERLINK("http://twitter.com/grtorres/status/1763712566822343006")</f>
        <v>http://twitter.com/grtorres/status/1763712566822343006</v>
      </c>
      <c r="O1042" s="2" t="str">
        <f>HYPERLINK("https://prepsoccer.com/2024/03/ecnl-dallas-15s-center-backs/")</f>
        <v>https://prepsoccer.com/2024/03/ecnl-dallas-15s-center-backs/</v>
      </c>
    </row>
    <row r="1043" spans="1:15" ht="66" x14ac:dyDescent="0.3">
      <c r="A1043" s="2" t="s">
        <v>4411</v>
      </c>
      <c r="B1043" s="2" t="s">
        <v>2718</v>
      </c>
      <c r="C1043" s="2" t="s">
        <v>4412</v>
      </c>
      <c r="D1043" s="2" t="s">
        <v>4413</v>
      </c>
      <c r="E1043" s="2" t="str">
        <f>HYPERLINK("http://twitter.com/IamLivengood")</f>
        <v>http://twitter.com/IamLivengood</v>
      </c>
      <c r="F1043" s="2" t="str">
        <f>HYPERLINK("https://muckrack.com/paul-livengood")</f>
        <v>https://muckrack.com/paul-livengood</v>
      </c>
      <c r="G1043" s="2">
        <v>1699</v>
      </c>
      <c r="H1043" s="2" t="s">
        <v>4414</v>
      </c>
      <c r="I1043" s="2" t="s">
        <v>4415</v>
      </c>
      <c r="J1043" s="2" t="s">
        <v>4416</v>
      </c>
      <c r="K1043" s="2" t="s">
        <v>726</v>
      </c>
      <c r="L1043" s="2" t="s">
        <v>4417</v>
      </c>
      <c r="M1043" s="5">
        <v>45352.696631944447</v>
      </c>
      <c r="N1043" s="2" t="str">
        <f>HYPERLINK("http://twitter.com/IamLivengood/status/1763681406109000107")</f>
        <v>http://twitter.com/IamLivengood/status/1763681406109000107</v>
      </c>
      <c r="O1043" s="2" t="str">
        <f>HYPERLINK("https://www.wfaa.com/article/sports/soccer/fc-dallas/lamar-hunt-us-open-cup-2024-teams-schedule-format/287-e11ea64d-fbe1-448f-a8b4-45b293cee783")</f>
        <v>https://www.wfaa.com/article/sports/soccer/fc-dallas/lamar-hunt-us-open-cup-2024-teams-schedule-format/287-e11ea64d-fbe1-448f-a8b4-45b293cee783</v>
      </c>
    </row>
    <row r="1044" spans="1:15" ht="39.6" x14ac:dyDescent="0.3">
      <c r="A1044" s="2" t="s">
        <v>60</v>
      </c>
      <c r="B1044" s="2" t="s">
        <v>1924</v>
      </c>
      <c r="C1044" s="2" t="s">
        <v>1925</v>
      </c>
      <c r="D1044" s="2" t="s">
        <v>1926</v>
      </c>
      <c r="E1044" s="2" t="str">
        <f>HYPERLINK("http://twitter.com/Soccerwriter")</f>
        <v>http://twitter.com/Soccerwriter</v>
      </c>
      <c r="F1044" s="2" t="str">
        <f>HYPERLINK("https://muckrack.com/michael-lewis-4")</f>
        <v>https://muckrack.com/michael-lewis-4</v>
      </c>
      <c r="G1044" s="2">
        <v>9867</v>
      </c>
      <c r="H1044" s="2" t="s">
        <v>1927</v>
      </c>
      <c r="I1044" s="2" t="s">
        <v>1928</v>
      </c>
      <c r="J1044" s="2" t="s">
        <v>1929</v>
      </c>
      <c r="K1044" s="2" t="s">
        <v>1930</v>
      </c>
      <c r="L1044" s="2" t="s">
        <v>4418</v>
      </c>
      <c r="M1044" s="5">
        <v>45355.454247685193</v>
      </c>
      <c r="N1044" s="2" t="str">
        <f>HYPERLINK("http://twitter.com/Soccerwriter/status/1764680731404492997")</f>
        <v>http://twitter.com/Soccerwriter/status/1764680731404492997</v>
      </c>
      <c r="O1044" s="2" t="str">
        <f>HYPERLINK("https://www.frontrowsoccer.com/2024/03/01/the-list-of-the-teams-competing-in-u-s-open-cup/")</f>
        <v>https://www.frontrowsoccer.com/2024/03/01/the-list-of-the-teams-competing-in-u-s-open-cup/</v>
      </c>
    </row>
    <row r="1045" spans="1:15" ht="52.8" x14ac:dyDescent="0.3">
      <c r="A1045" s="2" t="s">
        <v>60</v>
      </c>
      <c r="B1045" s="2" t="s">
        <v>1924</v>
      </c>
      <c r="C1045" s="2" t="s">
        <v>1925</v>
      </c>
      <c r="D1045" s="2" t="s">
        <v>1926</v>
      </c>
      <c r="E1045" s="2" t="str">
        <f>HYPERLINK("http://twitter.com/Soccerwriter")</f>
        <v>http://twitter.com/Soccerwriter</v>
      </c>
      <c r="F1045" s="2" t="str">
        <f>HYPERLINK("https://muckrack.com/michael-lewis-4")</f>
        <v>https://muckrack.com/michael-lewis-4</v>
      </c>
      <c r="G1045" s="2">
        <v>9867</v>
      </c>
      <c r="H1045" s="2" t="s">
        <v>1927</v>
      </c>
      <c r="I1045" s="2" t="s">
        <v>1928</v>
      </c>
      <c r="J1045" s="2" t="s">
        <v>1929</v>
      </c>
      <c r="K1045" s="2" t="s">
        <v>1930</v>
      </c>
      <c r="L1045" s="2" t="s">
        <v>4419</v>
      </c>
      <c r="M1045" s="5">
        <v>45355.454201388893</v>
      </c>
      <c r="N1045" s="2" t="str">
        <f>HYPERLINK("http://twitter.com/Soccerwriter/status/1764680713872224487")</f>
        <v>http://twitter.com/Soccerwriter/status/1764680713872224487</v>
      </c>
      <c r="O1045" s="2" t="str">
        <f>HYPERLINK("https://www.frontrowsoccer.com/2024/03/01/a-different-type-of-open-cup-tournament-unveils-96-teams-including-8-mls-sides/")</f>
        <v>https://www.frontrowsoccer.com/2024/03/01/a-different-type-of-open-cup-tournament-unveils-96-teams-including-8-mls-sides/</v>
      </c>
    </row>
    <row r="1046" spans="1:15" ht="79.2" x14ac:dyDescent="0.3">
      <c r="A1046" s="2" t="s">
        <v>3057</v>
      </c>
      <c r="B1046" s="2" t="s">
        <v>3058</v>
      </c>
      <c r="C1046" s="2" t="s">
        <v>3059</v>
      </c>
      <c r="D1046" s="2" t="s">
        <v>3060</v>
      </c>
      <c r="E1046" s="2" t="str">
        <f>HYPERLINK("http://twitter.com/ThompsonFoto12")</f>
        <v>http://twitter.com/ThompsonFoto12</v>
      </c>
      <c r="F1046" s="2" t="str">
        <f>HYPERLINK("https://muckrack.com/ed-thompson")</f>
        <v>https://muckrack.com/ed-thompson</v>
      </c>
      <c r="G1046" s="2">
        <v>9230</v>
      </c>
      <c r="H1046" s="2" t="s">
        <v>2187</v>
      </c>
      <c r="I1046" s="2" t="s">
        <v>3061</v>
      </c>
      <c r="J1046" s="2" t="s">
        <v>3062</v>
      </c>
      <c r="K1046" s="2" t="s">
        <v>3063</v>
      </c>
      <c r="L1046" s="2" t="s">
        <v>4420</v>
      </c>
      <c r="M1046" s="5">
        <v>45352.667326388888</v>
      </c>
      <c r="N1046" s="2" t="str">
        <f>HYPERLINK("http://twitter.com/ThompsonFoto12/status/1763670787041468491")</f>
        <v>http://twitter.com/ThompsonFoto12/status/1763670787041468491</v>
      </c>
      <c r="O1046" s="2" t="str">
        <f>HYPERLINK("https://pittsburghsoccernow.com/2024/03/01/lamar-hunt-us-open-cup-2024-edition-format-and-teams-set-riverhounds-to-enter-in-round-of-32/")</f>
        <v>https://pittsburghsoccernow.com/2024/03/01/lamar-hunt-us-open-cup-2024-edition-format-and-teams-set-riverhounds-to-enter-in-round-of-32/</v>
      </c>
    </row>
    <row r="1047" spans="1:15" ht="66" x14ac:dyDescent="0.3">
      <c r="A1047" s="2" t="s">
        <v>4421</v>
      </c>
      <c r="B1047" s="2" t="s">
        <v>4422</v>
      </c>
      <c r="C1047" s="2" t="s">
        <v>4423</v>
      </c>
      <c r="D1047" s="2" t="s">
        <v>4424</v>
      </c>
      <c r="E1047" s="2" t="str">
        <f>HYPERLINK("http://twitter.com/LovelyDegree160")</f>
        <v>http://twitter.com/LovelyDegree160</v>
      </c>
      <c r="F1047" s="2" t="str">
        <f>HYPERLINK("https://muckrack.com/tristin-mckinstry")</f>
        <v>https://muckrack.com/tristin-mckinstry</v>
      </c>
      <c r="G1047" s="2">
        <v>562</v>
      </c>
      <c r="H1047" s="2" t="s">
        <v>4425</v>
      </c>
      <c r="I1047" s="2" t="s">
        <v>4426</v>
      </c>
      <c r="J1047" s="2" t="s">
        <v>2033</v>
      </c>
      <c r="K1047" s="2" t="s">
        <v>4427</v>
      </c>
      <c r="L1047" s="2" t="s">
        <v>4428</v>
      </c>
      <c r="M1047" s="5">
        <v>45352.547719907408</v>
      </c>
      <c r="N1047" s="2" t="str">
        <f>HYPERLINK("http://twitter.com/LovelyDegree160/status/1763627443363975584")</f>
        <v>http://twitter.com/LovelyDegree160/status/1763627443363975584</v>
      </c>
      <c r="O1047" s="2" t="str">
        <f t="shared" ref="O1047:O1053" si="41">HYPERLINK("https://www.uslchampionship.com/news_article/show/1302511")</f>
        <v>https://www.uslchampionship.com/news_article/show/1302511</v>
      </c>
    </row>
    <row r="1048" spans="1:15" ht="39.6" x14ac:dyDescent="0.3">
      <c r="A1048" s="2" t="s">
        <v>4355</v>
      </c>
      <c r="B1048" s="2" t="s">
        <v>4356</v>
      </c>
      <c r="C1048" s="2" t="s">
        <v>4357</v>
      </c>
      <c r="D1048" s="2" t="s">
        <v>4358</v>
      </c>
      <c r="E1048" s="2" t="str">
        <f>HYPERLINK("http://twitter.com/zimpix")</f>
        <v>http://twitter.com/zimpix</v>
      </c>
      <c r="F1048" s="2" t="str">
        <f>HYPERLINK("https://muckrack.com/douglas-zimmerman")</f>
        <v>https://muckrack.com/douglas-zimmerman</v>
      </c>
      <c r="G1048" s="2">
        <v>1054</v>
      </c>
      <c r="H1048" s="2" t="s">
        <v>4359</v>
      </c>
      <c r="I1048" s="2" t="s">
        <v>4360</v>
      </c>
      <c r="J1048" s="2" t="s">
        <v>4361</v>
      </c>
      <c r="K1048" s="2" t="s">
        <v>4362</v>
      </c>
      <c r="L1048" s="2" t="s">
        <v>4429</v>
      </c>
      <c r="M1048" s="5">
        <v>45352.560416666667</v>
      </c>
      <c r="N1048" s="2" t="str">
        <f>HYPERLINK("http://twitter.com/zimpix/status/1763632043781763293")</f>
        <v>http://twitter.com/zimpix/status/1763632043781763293</v>
      </c>
      <c r="O1048" s="2" t="str">
        <f t="shared" si="41"/>
        <v>https://www.uslchampionship.com/news_article/show/1302511</v>
      </c>
    </row>
    <row r="1049" spans="1:15" ht="66" x14ac:dyDescent="0.3">
      <c r="A1049" s="2" t="s">
        <v>993</v>
      </c>
      <c r="B1049" s="2" t="s">
        <v>2289</v>
      </c>
      <c r="C1049" s="2" t="s">
        <v>2981</v>
      </c>
      <c r="D1049" s="2" t="s">
        <v>2982</v>
      </c>
      <c r="E1049" s="2" t="str">
        <f>HYPERLINK("http://twitter.com/StephenWhit89")</f>
        <v>http://twitter.com/StephenWhit89</v>
      </c>
      <c r="F1049" s="2" t="str">
        <f>HYPERLINK("https://muckrack.com/stephen-whitaker")</f>
        <v>https://muckrack.com/stephen-whitaker</v>
      </c>
      <c r="G1049" s="2">
        <v>1127</v>
      </c>
      <c r="H1049" s="2" t="s">
        <v>2983</v>
      </c>
      <c r="I1049" s="2" t="s">
        <v>2984</v>
      </c>
      <c r="J1049" s="2" t="s">
        <v>2033</v>
      </c>
      <c r="K1049" s="2" t="s">
        <v>2985</v>
      </c>
      <c r="L1049" s="2" t="s">
        <v>4428</v>
      </c>
      <c r="M1049" s="5">
        <v>45352.562418981477</v>
      </c>
      <c r="N1049" s="2" t="str">
        <f>HYPERLINK("http://twitter.com/StephenWhit89/status/1763632769081495914")</f>
        <v>http://twitter.com/StephenWhit89/status/1763632769081495914</v>
      </c>
      <c r="O1049" s="2" t="str">
        <f t="shared" si="41"/>
        <v>https://www.uslchampionship.com/news_article/show/1302511</v>
      </c>
    </row>
    <row r="1050" spans="1:15" ht="66" x14ac:dyDescent="0.3">
      <c r="A1050" s="2" t="s">
        <v>2860</v>
      </c>
      <c r="B1050" s="2" t="s">
        <v>2227</v>
      </c>
      <c r="C1050" s="2" t="s">
        <v>2861</v>
      </c>
      <c r="D1050" s="2" t="s">
        <v>2862</v>
      </c>
      <c r="E1050" s="2" t="str">
        <f>HYPERLINK("http://twitter.com/RachaelKPalmer")</f>
        <v>http://twitter.com/RachaelKPalmer</v>
      </c>
      <c r="F1050" s="2" t="str">
        <f>HYPERLINK("https://muckrack.com/rachael-mckriger")</f>
        <v>https://muckrack.com/rachael-mckriger</v>
      </c>
      <c r="G1050" s="2">
        <v>3570</v>
      </c>
      <c r="H1050" s="2" t="s">
        <v>2187</v>
      </c>
      <c r="I1050" s="2" t="s">
        <v>2863</v>
      </c>
      <c r="J1050" s="2" t="s">
        <v>1929</v>
      </c>
      <c r="K1050" s="2" t="s">
        <v>2034</v>
      </c>
      <c r="L1050" s="2" t="s">
        <v>4428</v>
      </c>
      <c r="M1050" s="5">
        <v>45352.743645833332</v>
      </c>
      <c r="N1050" s="2" t="str">
        <f>HYPERLINK("http://twitter.com/RachaelKPalmer/status/1763698443007021456")</f>
        <v>http://twitter.com/RachaelKPalmer/status/1763698443007021456</v>
      </c>
      <c r="O1050" s="2" t="str">
        <f t="shared" si="41"/>
        <v>https://www.uslchampionship.com/news_article/show/1302511</v>
      </c>
    </row>
    <row r="1051" spans="1:15" ht="66" x14ac:dyDescent="0.3">
      <c r="A1051" s="2" t="s">
        <v>4026</v>
      </c>
      <c r="B1051" s="2" t="s">
        <v>4027</v>
      </c>
      <c r="C1051" s="2" t="s">
        <v>4028</v>
      </c>
      <c r="D1051" s="2" t="s">
        <v>4029</v>
      </c>
      <c r="E1051" s="2" t="str">
        <f>HYPERLINK("http://twitter.com/HiMyNameIsSeton")</f>
        <v>http://twitter.com/HiMyNameIsSeton</v>
      </c>
      <c r="F1051" s="2" t="str">
        <f>HYPERLINK("https://muckrack.com/patrick-seton-oconnor")</f>
        <v>https://muckrack.com/patrick-seton-oconnor</v>
      </c>
      <c r="G1051" s="2">
        <v>113511</v>
      </c>
      <c r="H1051" s="2" t="s">
        <v>4030</v>
      </c>
      <c r="I1051" s="2" t="s">
        <v>4031</v>
      </c>
      <c r="J1051" s="2" t="s">
        <v>1929</v>
      </c>
      <c r="K1051" s="2" t="s">
        <v>4032</v>
      </c>
      <c r="L1051" s="2" t="s">
        <v>4428</v>
      </c>
      <c r="M1051" s="5">
        <v>45353.377557870372</v>
      </c>
      <c r="N1051" s="2" t="str">
        <f>HYPERLINK("http://twitter.com/HiMyNameIsSeton/status/1763928166102421714")</f>
        <v>http://twitter.com/HiMyNameIsSeton/status/1763928166102421714</v>
      </c>
      <c r="O1051" s="2" t="str">
        <f t="shared" si="41"/>
        <v>https://www.uslchampionship.com/news_article/show/1302511</v>
      </c>
    </row>
    <row r="1052" spans="1:15" ht="52.8" x14ac:dyDescent="0.3">
      <c r="A1052" s="2" t="s">
        <v>4430</v>
      </c>
      <c r="B1052" s="2" t="s">
        <v>2172</v>
      </c>
      <c r="C1052" s="2" t="s">
        <v>4431</v>
      </c>
      <c r="D1052" s="2" t="s">
        <v>4432</v>
      </c>
      <c r="E1052" s="2" t="str">
        <f>HYPERLINK("http://twitter.com/kaufsports")</f>
        <v>http://twitter.com/kaufsports</v>
      </c>
      <c r="F1052" s="2" t="str">
        <f>HYPERLINK("https://muckrack.com/michelle-kaufman")</f>
        <v>https://muckrack.com/michelle-kaufman</v>
      </c>
      <c r="G1052" s="2">
        <v>15986</v>
      </c>
      <c r="H1052" s="2" t="s">
        <v>2031</v>
      </c>
      <c r="I1052" s="2" t="s">
        <v>4433</v>
      </c>
      <c r="J1052" s="2"/>
      <c r="K1052" s="2" t="s">
        <v>643</v>
      </c>
      <c r="L1052" s="2" t="s">
        <v>4434</v>
      </c>
      <c r="M1052" s="5">
        <v>45353.438668981478</v>
      </c>
      <c r="N1052" s="2" t="str">
        <f>HYPERLINK("http://twitter.com/kaufsports/status/1763950312912478291")</f>
        <v>http://twitter.com/kaufsports/status/1763950312912478291</v>
      </c>
      <c r="O1052" s="2" t="str">
        <f t="shared" si="41"/>
        <v>https://www.uslchampionship.com/news_article/show/1302511</v>
      </c>
    </row>
    <row r="1053" spans="1:15" ht="52.8" x14ac:dyDescent="0.3">
      <c r="A1053" s="2" t="s">
        <v>4435</v>
      </c>
      <c r="B1053" s="2" t="s">
        <v>4436</v>
      </c>
      <c r="C1053" s="2"/>
      <c r="D1053" s="2" t="s">
        <v>4437</v>
      </c>
      <c r="E1053" s="2" t="str">
        <f>HYPERLINK("http://twitter.com/roybelly")</f>
        <v>http://twitter.com/roybelly</v>
      </c>
      <c r="F1053" s="2" t="str">
        <f>HYPERLINK("https://muckrack.com/roy-bellamy")</f>
        <v>https://muckrack.com/roy-bellamy</v>
      </c>
      <c r="G1053" s="2">
        <v>75283</v>
      </c>
      <c r="H1053" s="2" t="s">
        <v>2031</v>
      </c>
      <c r="I1053" s="2" t="s">
        <v>4438</v>
      </c>
      <c r="J1053" s="2" t="s">
        <v>1929</v>
      </c>
      <c r="K1053" s="2" t="s">
        <v>4439</v>
      </c>
      <c r="L1053" s="2" t="s">
        <v>4434</v>
      </c>
      <c r="M1053" s="5">
        <v>45353.441168981481</v>
      </c>
      <c r="N1053" s="2" t="str">
        <f>HYPERLINK("http://twitter.com/roybelly/status/1763951219234554043")</f>
        <v>http://twitter.com/roybelly/status/1763951219234554043</v>
      </c>
      <c r="O1053" s="2" t="str">
        <f t="shared" si="41"/>
        <v>https://www.uslchampionship.com/news_article/show/1302511</v>
      </c>
    </row>
    <row r="1054" spans="1:15" ht="52.8" x14ac:dyDescent="0.3">
      <c r="A1054" s="2" t="s">
        <v>3424</v>
      </c>
      <c r="B1054" s="2" t="s">
        <v>3425</v>
      </c>
      <c r="C1054" s="2" t="s">
        <v>3426</v>
      </c>
      <c r="D1054" s="2" t="s">
        <v>3427</v>
      </c>
      <c r="E1054" s="2" t="str">
        <f>HYPERLINK("http://twitter.com/loumonaco")</f>
        <v>http://twitter.com/loumonaco</v>
      </c>
      <c r="F1054" s="2" t="str">
        <f>HYPERLINK("https://muckrack.com/loumonaco")</f>
        <v>https://muckrack.com/loumonaco</v>
      </c>
      <c r="G1054" s="2">
        <v>3769</v>
      </c>
      <c r="H1054" s="2" t="s">
        <v>3428</v>
      </c>
      <c r="I1054" s="2" t="s">
        <v>3429</v>
      </c>
      <c r="J1054" s="2" t="s">
        <v>3430</v>
      </c>
      <c r="K1054" s="2" t="s">
        <v>3431</v>
      </c>
      <c r="L1054" s="2" t="s">
        <v>4440</v>
      </c>
      <c r="M1054" s="5">
        <v>45352.545034722221</v>
      </c>
      <c r="N1054" s="2" t="str">
        <f>HYPERLINK("http://twitter.com/loumonaco/status/1763626470046400827")</f>
        <v>http://twitter.com/loumonaco/status/1763626470046400827</v>
      </c>
      <c r="O1054" s="2" t="str">
        <f>HYPERLINK("https://www.uslleaguetwo.com/news_article/show/1302511")</f>
        <v>https://www.uslleaguetwo.com/news_article/show/1302511</v>
      </c>
    </row>
    <row r="1055" spans="1:15" ht="66" x14ac:dyDescent="0.3">
      <c r="A1055" s="2" t="s">
        <v>4441</v>
      </c>
      <c r="B1055" s="2" t="s">
        <v>2289</v>
      </c>
      <c r="C1055" s="2" t="s">
        <v>4442</v>
      </c>
      <c r="D1055" s="2" t="s">
        <v>4443</v>
      </c>
      <c r="E1055" s="2" t="str">
        <f>HYPERLINK("http://twitter.com/JakeZimmer12")</f>
        <v>http://twitter.com/JakeZimmer12</v>
      </c>
      <c r="F1055" s="2" t="str">
        <f>HYPERLINK("https://muckrack.com/jake-zimmer")</f>
        <v>https://muckrack.com/jake-zimmer</v>
      </c>
      <c r="G1055" s="2">
        <v>2140</v>
      </c>
      <c r="H1055" s="2" t="s">
        <v>4444</v>
      </c>
      <c r="I1055" s="2" t="s">
        <v>4445</v>
      </c>
      <c r="J1055" s="2" t="s">
        <v>1929</v>
      </c>
      <c r="K1055" s="2" t="s">
        <v>4446</v>
      </c>
      <c r="L1055" s="2" t="s">
        <v>4447</v>
      </c>
      <c r="M1055" s="5">
        <v>45352.733506944453</v>
      </c>
      <c r="N1055" s="2" t="str">
        <f>HYPERLINK("http://twitter.com/JakeZimmer12/status/1763694770063356398")</f>
        <v>http://twitter.com/JakeZimmer12/status/1763694770063356398</v>
      </c>
      <c r="O1055" s="2" t="str">
        <f>HYPERLINK("https://www.rhodeislandfc.com/news/united-soccer-league-to-field-47-clubs-in-the-2024-lamar-hunt-u-s-open-cup/")</f>
        <v>https://www.rhodeislandfc.com/news/united-soccer-league-to-field-47-clubs-in-the-2024-lamar-hunt-u-s-open-cup/</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March</vt:lpstr>
      <vt:lpstr>April</vt:lpstr>
      <vt:lpstr>May</vt:lpstr>
      <vt:lpstr>June</vt:lpstr>
      <vt:lpstr>July</vt:lpstr>
      <vt:lpstr>August</vt:lpstr>
      <vt:lpstr>September</vt:lpstr>
      <vt:lpstr>October</vt:lpstr>
      <vt:lpstr>Journalist Statuses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Brianna Stopher</cp:lastModifiedBy>
  <dcterms:created xsi:type="dcterms:W3CDTF">2025-07-01T16:28:14Z</dcterms:created>
  <dcterms:modified xsi:type="dcterms:W3CDTF">2025-07-15T14:10:12Z</dcterms:modified>
</cp:coreProperties>
</file>