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5" documentId="13_ncr:1_{500D2ACB-9219-4F77-8A66-3D6A0216852A}" xr6:coauthVersionLast="47" xr6:coauthVersionMax="47" xr10:uidLastSave="{39398982-8307-4607-8B04-32B4D9BDBF6B}"/>
  <bookViews>
    <workbookView xWindow="2304" yWindow="1152" windowWidth="11112" windowHeight="11808" xr2:uid="{1E4D4903-0229-4E70-8134-763EEA546D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2"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<sst xmlns="http://schemas.openxmlformats.org/spreadsheetml/2006/main" count="467" uniqueCount="209">
  <si>
    <t>Neutral</t>
  </si>
  <si>
    <t>Our Sports Central</t>
  </si>
  <si>
    <t>2025 Toledo Walleye vs Indy Fuel</t>
  </si>
  <si>
    <t>FloHockey</t>
  </si>
  <si>
    <t>Event Info
Here's how to watch the 2025 Toledo Walleye vs Indy Fuel broadcast on FloHockey. The 2025 Toledo Walleye vs Indy Fuel broadcast starts on Apr 6, 2025. Stream or cast from your desktop, mobile or TV. Now available on Roku, Fire TV, Chromecast and Apple TV.</t>
  </si>
  <si>
    <t>Negative</t>
  </si>
  <si>
    <t>larryInFishers</t>
  </si>
  <si>
    <t>Positive</t>
  </si>
  <si>
    <t>Brodeur, Thunder Shutout Fuel 3-0</t>
  </si>
  <si>
    <t>March 31, 2025 - ECHL (ECHL)
Adirondack Thunder News Release
GLENS FALLS - Jeremy Brodeur stopped all 30 shots he faced for his fourth shutout of the season as the Adirondack Thunder defeated the Indy Fuel, 3-0, on Friday night in front of 4,732 at Cool Insuring Arena.</t>
  </si>
  <si>
    <t>WANE-TV (Fort Wayne, IN)</t>
  </si>
  <si>
    <t>Penalty shootout decides the outcome as the Indy Fuel beat Adirondack Thunder</t>
  </si>
  <si>
    <t>The Rink Live</t>
  </si>
  <si>
    <t>The Adirondack Thunder played the Indy Fuel in a very close game on Wednesday, March 25, 2025.
It was a draw at full-time, and still a draw at the end of overtime. But in the penalty shootout Adirondack clinched it and the final score was 3-2.</t>
  </si>
  <si>
    <t>The IN List 2024: Mar 31 - Apr 6</t>
  </si>
  <si>
    <t>Chelsea Kopelman</t>
  </si>
  <si>
    <t>Keeping Up in Carmel</t>
  </si>
  <si>
    <t>Tot Tunes: 9:30am
Indy Fuel vs. Toledo Walleye:7pm. Fishers Event Center, Fishers, IN. Tickers required.
Indy Indians vs. Iowa Cubs: 6:35pm. Opening night. Victory Field - Indianapolis, IN. Tickets required. 
Wednesday, Apr 2
Carmel Main Library Events: 425 E Main St, Carmel, IN.</t>
  </si>
  <si>
    <t>Fuel Shut Out For Second Night In A Row</t>
  </si>
  <si>
    <t>March 30, 2025 - ECHL (ECHL)
Indy Fuel News Release
GLENS FALLS- Despite outshooting Adirondack 31-20 and being the only team to earn power plays in the game, the Fuel fell to Adirondack for the second night in a row.</t>
  </si>
  <si>
    <t>Fuel Shut Out Again in Tough Loss to Adirondack</t>
  </si>
  <si>
    <t>GLENS FALLS – Despite dominating the shot count and earning all the power plays in the game, the Indy Fuel fell 1-0 to the Adirondack Thunder on Saturday night, marking their second consecutive shutout loss.</t>
  </si>
  <si>
    <t>Adirondack Thunder get second-straight shutout against the Indy Fuel</t>
  </si>
  <si>
    <t>Chrystal Stone, Chrystal Stone WNYT</t>
  </si>
  <si>
    <t>WNYT-TV (Albany, NY)</t>
  </si>
  <si>
    <t>The station representative that can assist any person with disabilities with issues related to the content of the public file is Brittany Moroukian. She can be contacted at bmoroukian@wnyt.com or 518-207-4710.                     This website is not intended for users located within the European Economic Area.                     © WNYT-TV, LLC                    A Hubbard Broadcasting Company</t>
  </si>
  <si>
    <t>ECHL Game Recap: Indy Fuel vs Adirondack Thunder | 03/29/2025</t>
  </si>
  <si>
    <t>Armand Klisivitch</t>
  </si>
  <si>
    <t>Inside The Rink</t>
  </si>
  <si>
    <t>Dakota Gilbert/InsideTheRink
The Adirondack Thunder and Indy Fuel would wrap up their three-game series as the Thunder. Adirondack would also host the second night of Stick It To Cancer Weekend. It would also be the 14th sellout of the season for Adirondack, a new franchise record.</t>
  </si>
  <si>
    <t>Thunder Shut Down Fuel Again, 1-0</t>
  </si>
  <si>
    <t>March 29, 2025 - ECHL (ECHL)
Adirondack Thunder News Release
GLENS FALLS - Henry Welsch stopped all 31 shots he faced as the Adirondack Thunder shutout the Indy Fuel for the second night in a row, this time 1-0, in front of the 15th sellout crowd of the season of 5,389 at Cool Insuring Arena on Saturday</t>
  </si>
  <si>
    <t>The Journal Gazette</t>
  </si>
  <si>
    <t>Strong defense as Adirondack Thunder beat Indy Fuel</t>
  </si>
  <si>
    <t>The Adirondack Thunder secured the victory against the Indy Fuel on Friday, March 27, 2025. The game ended 3-0.
The Thunder's victory was secured thanks to goals from 
 Kishaun Gervais
 , 
 Grant Loven
 and 
 Greg Smith
 .</t>
  </si>
  <si>
    <t>ECHL Game Recap: Indy Fuel vs Adirondack Thunder | 03/28/2025</t>
  </si>
  <si>
    <t>No, that’s what we wanted, we wanted a little bit extra and I don’t think we looked like the last place team in the conference, that’s for sure”
Head Coach Pete MacArthur 
The Thunder and Indy Fuel will wrap up the three-game series for the second night of Stick it to Cancer Weekend tomorrow night.</t>
  </si>
  <si>
    <t>Adirondack Thunder shut out the Indy Fuel 3-0 to kick off Stick it to Cancer weekend</t>
  </si>
  <si>
    <t>Fuel Shut Out by Adirondack in Penalty-Filled Matchup</t>
  </si>
  <si>
    <t>. – Despite riding the momentum of a shootout victory earlier in the week, the Indy Fuel couldn’t solve Adirondack goaltender Isaac Brodeur on Friday night, falling 3-0 to the Thunder at Cool Insuring Arena.</t>
  </si>
  <si>
    <t>Fuel Shut Out By Adirondack On Friday Night</t>
  </si>
  <si>
    <t>March 28, 2025 - ECHL (ECHL)
Indy Fuel News Release
GLENS FALLS- Despite high energy coming off of the shootout win on Wednesday, the Fuel could not find the back of the net in their second game against Adirondack this week.</t>
  </si>
  <si>
    <t>Brodeur, Thunder Shut Out Fuel 3-0</t>
  </si>
  <si>
    <t>March 28, 2025 - ECHL (ECHL)
Adirondack Thunder News Release
GLENS FALLS - Jeremy Brodeur stopped all 30 shots he faced for his fourth shutout of the season as the Adirondack Thunder defeated the Indy Fuel, 3-0, on Friday night in front of 4,732 at Cool Insuring Arena.</t>
  </si>
  <si>
    <t>5 Takeaways From March 26 Action In The ECHL</t>
  </si>
  <si>
    <t>Stephen Kerr</t>
  </si>
  <si>
    <t>Yahoo Sports Canada</t>
  </si>
  <si>
    <t>The ECHL Central division has quite a battle for fourth place between the Indy Fuel and Adirondack Thunder.
Indy got the edge Wednesday with a 3-2 shootout victory in Glens Falls against the Thunder. After a late game comeback, the Fuel forced the shootout to squeak out the victory.</t>
  </si>
  <si>
    <t>Fuel Win Shootout Battle in Adirondack</t>
  </si>
  <si>
    <t>March 27, 2025 - ECHL (ECHL)
Indy Fuel News Release
GLENS FALLS- The Fuel headed to Glens Falls, New York to take on the Adirondack Thunder in the first of a three-game set this week while they continue their battle for fourth place in the Central division.</t>
  </si>
  <si>
    <t>Fuel Rally Late to Secure Shootout Victory Over Adirondack</t>
  </si>
  <si>
    <t>The Indy Fuel kicked off their three-game road series against the Adirondack Thunder in thrilling fashion Wednesday night, overcoming a late deficit to force a shootout and claim a 3-2 victory. The win solidifies their hold on fourth place in the Central Division standings.</t>
  </si>
  <si>
    <t>ECHL Game Recap: Indy Fuel vs Adirondack Thunder | 03/26/2025</t>
  </si>
  <si>
    <t>Dakota Gilbert/Adirondack Thunder 
The Adirondack Thunder and Indy Fuel met for just the second time in franchise history. The first game was on November 27th, 2019, and Adirondack won 4-2 at the now Cool Insuring Arena.</t>
  </si>
  <si>
    <t>Thunder Fall to Fuel in Shootout, 3-2</t>
  </si>
  <si>
    <t>March 26, 2025 - ECHL (ECHL)
Adirondack Thunder News Release
GLENS FALLS - Lars Rødne scored his first professional goal, but it wasn't enough as the Indy Fuel defeated the Adirondack Thunder on Wednesday night at Cool Insuring Arena, 3-2.</t>
  </si>
  <si>
    <t>2025 Indy Fuel vs Adirondack Thunder</t>
  </si>
  <si>
    <t>Event Info
Here's how to watch the 2025 Indy Fuel vs Adirondack Thunder broadcast on FloHockey. The 2025 Indy Fuel vs Adirondack Thunder broadcast starts on Mar 26, 2025. Stream or cast from your desktop, mobile or TV. Now available on Roku, Fire TV, Chromecast and Apple TV.</t>
  </si>
  <si>
    <t>Gee-Gees complete Cinderella story; win program’s first national championship on home ice</t>
  </si>
  <si>
    <t>Andrew Wilimek</t>
  </si>
  <si>
    <t>The Fulcrum (Canada)</t>
  </si>
  <si>
    <t>Leguerrier turned pro in 2021-22 with the ECHL’s Indy Fuel and played 45 games, recording four goals and 11 assists, while getting into four games of AHL action.
And then, Leguerrier was diagnosed with myocarditis following a battle with long COVID.</t>
  </si>
  <si>
    <t>Fuel Sweep Weekend with Win over Wheeling</t>
  </si>
  <si>
    <t>March 23, 2025 - ECHL (ECHL)
Indy Fuel News Release
FISHERS- The Fuel hosted the Wheeling Nailers to finish out their weekend at home.</t>
  </si>
  <si>
    <t>Fuel take 3 straight at home with 3-1 win over Wheeling</t>
  </si>
  <si>
    <t>When the Indy Fuel entered a Friday, Saturday and Sunday set of games at the Fishers Event Center this weekend, the outcome would have a major impact on the Fuel’s quest for the final Central Division playoff spot.</t>
  </si>
  <si>
    <t>Nailers Fall in Game, But Not in Standings</t>
  </si>
  <si>
    <t>March 23, 2025 - ECHL (ECHL)
Wheeling Nailers News Release
FISHERS, IN - After such an emotional game on Saturday night in Toledo, the Wheeling Nailers were trying to find their legs and their energy on Sunday afternoon against the Indy Fuel at Fishers Event Center.</t>
  </si>
  <si>
    <t>Indy Fuel gain ground in playoff push, beating Bloomington 5-2</t>
  </si>
  <si>
    <t>Bloomington Bison and the Indy Fuel entered Saturday night’s contest at Fishers Event Center just points apart in the race for the fourth and final playoff spot in the ECHL Central Division.  The Fuel pleased a sellout crowd of 6,507 (the 13th sellout of the season) with a 5-2 win.</t>
  </si>
  <si>
    <t>Fuel Set New Sellout Record In Win Over Bloomington</t>
  </si>
  <si>
    <t>March 22, 2025 - ECHL (ECHL)
Indy Fuel News Release
FISHERS- The Fuel hosted the Bloomington Bison on Saturday night for the middle game of a three-game set at home. After scoring three goals in the first period, Indy took home the 5-2 win in front of a sold-out crowd of 6,507 fans.</t>
  </si>
  <si>
    <t>Bison Win Streak Snapped in Indy</t>
  </si>
  <si>
    <t>. - The Bloomington Bison suffered a 5-2 loss to the Indy Fuel on Saturday night at Fishers Event Center to end the team's three-game winning streak.
Indy posted a three-goal first period that began with Kevin Lombardi scoring just 50 seconds into the contest.</t>
  </si>
  <si>
    <t>Fuel pick up a win at home, 3-1 over Cincinnati</t>
  </si>
  <si>
    <t>The Indy Fuel remain in the hunt for a playoff spot after winning a hard-fought contest with the Cincinnati Cyclones 3-1 Friday night at the Fishers Event Center.  It was clear from the start both teams wanted this win, but at least in this instance, the Fuel wanted it more.</t>
  </si>
  <si>
    <t>Fuel Win With Power Play Success Over Cincy</t>
  </si>
  <si>
    <t>March 21, 2025 - ECHL (ECHL)
Indy Fuel News Release
FISHERS- The Fuel hosted the Cincinnati Cyclones on Friday night.</t>
  </si>
  <si>
    <t>Cyclones Fall to Fuel 3-1 on Friday Night</t>
  </si>
  <si>
    <t>March 21, 2025 - ECHL (ECHL)
Cincinnati Cyclones News Release
Fishers, Ind - The Cincinnati Cyclones fell 3-1 to the Indy Fuel on Friday night at Fisher's Event Center.</t>
  </si>
  <si>
    <t>Justin L. Mack</t>
  </si>
  <si>
    <t>Axios Indianapolis</t>
  </si>
  <si>
    <t>Yahoo Sports</t>
  </si>
  <si>
    <t>Current Publishing</t>
  </si>
  <si>
    <t>PHOTOS: Indy Fuel vs. Cincinnati Cyclones - 03/15/2025</t>
  </si>
  <si>
    <t>Hector Urcia</t>
  </si>
  <si>
    <t>. – Saturday afternoon, the visiting Indy Fuel defeated the Cincinnati Cyclones 2-1 at Heritage Bank Center. The Cincinnati players wore specialty purple jerseys for Cyclones Fight Cancer.</t>
  </si>
  <si>
    <t>Indy Fuel Lose to Fort Wayne Komets in Match</t>
  </si>
  <si>
    <t>The Indy Fuel played at home Friday, in Cincinnati last night and at home today (Sunday).  The Fort Wayne Komets played two contests in Wheeling, the last game Saturday night, took the bus to Fishers and played the Fuel at 4pm.  The Fuel also had a number of players injured. </t>
  </si>
  <si>
    <t>Matsushima and Kaskisuo Power Bison to Victory - Bloomington Bison
Fuel Fall to Fort Wayne on Sunday Afternoon - Indy Fuel
Nailers Win the Weekend with 3-1 Final - Wheeling Nailers
Mavericks Take the Rubber Match; Home Point Streak Ends at 8 - Greenville Swamp Rabbits
Nailers Defeat the Cyclones</t>
  </si>
  <si>
    <t>Fuel Fall to Fort Wayne on Sunday Afternoon</t>
  </si>
  <si>
    <t>March 16, 2025 - ECHL (ECHL)
Indy Fuel News Release
FISHERS - The Fuel finished their weekend at home on Sunday with an afternoon game against the Fort Wayne Komets.</t>
  </si>
  <si>
    <t>Komets Mastery of the Fuel Continues with a 4-2 Win</t>
  </si>
  <si>
    <t>The IN List 2024: 3/17-3/23</t>
  </si>
  <si>
    <t>Indy Fuel vs. Cincinnati Cyclones: 7pm. Fishers Event Center - Fishers, IN. Tickets required.
Jurassic Quest: 12-6pm. Indiana State Fairgrounds.Tickets required.
Saturday, Mar 22
Carmel Winter Farmers Market: 9am-12pm. 611 3rd Avenue SW, Carmel, IN. 
Westfield Winter Farmers Market: 9am-12pm.</t>
  </si>
  <si>
    <t>Cincinnati Cyclones</t>
  </si>
  <si>
    <t>Fuel Edge Cyclones In Hard-Fought Struggle On The Road</t>
  </si>
  <si>
    <t>The Cincinnati Cyclones held their Cyclones Fight Cancer Matinee Game Saturday afternoon at Heritage Bank Center but fell to the Indy Fuel 2-1.
It was a tightly-contested affair, but the Fuel proved to be too much for Cincy, who dropped their record to 22-27-10.</t>
  </si>
  <si>
    <t>Fuel Edge Cyclones 2-1 in Tight Defensive Battle</t>
  </si>
  <si>
    <t>The Indy Fuel secured a hard-fought 2-1 road victory over the Cincinnati Cyclones Saturday night, with Kevin Lombardi netting the game-winning goal in the final minutes of regulation.
Cincinnati’s Kyle Bollers broke the deadlock at 16:52, giving the Cyclones a 1-0 lead.</t>
  </si>
  <si>
    <t>Fuel Claim 2-1 Victory in Cincinnati on Saturday</t>
  </si>
  <si>
    <t>March 15, 2025 - ECHL (ECHL)
Indy Fuel News Release
CINCINNATI - The Fuel headed to Cincinnati for a Saturday night matchup with the Cyclones.</t>
  </si>
  <si>
    <t>'Clones Fall to the Fuel 2-1</t>
  </si>
  <si>
    <t>March 15, 2025 - ECHL (ECHL)
Cincinnati Cyclones News Release
Cincinnati, Ohio - The Cincinnati Cyclones fell to the Indy Fuel 2-1 in a hard-fought battle on Saturday afternoon at Heritage Bank Center in the team's Cyclones Fight Cancer Matinee Game.</t>
  </si>
  <si>
    <t>Glenn Marini</t>
  </si>
  <si>
    <t>‘CLONES FALL TO THE FUEL 2-1</t>
  </si>
  <si>
    <t>Cincinnati, Ohio - The Cincinnati Cyclones fell to the Indy Fuel 2-1 in a hard fought battle on Saturday afternoon at Heritage Bank Center in the team’s Cyclones Fight Cancer Matinee Game. Despite a tightly-contested meeting, Kevin Lombardi recorded the game winner for Indy. </t>
  </si>
  <si>
    <t>Indy Fuel Lose to Kalamazoo: Game Highlights</t>
  </si>
  <si>
    <t>Friday night was the first time the Indy Fuel ever had a female referee, Sydney Harris. That was the most memorable thing Fuel fans can take away from this game against the Kalamazoo Wings.  The final score was 6-2, Wings.</t>
  </si>
  <si>
    <t>Fuel Fall to Kalamazoo on Friday Night</t>
  </si>
  <si>
    <t>March 14, 2025 - ECHL (ECHL)
Indy Fuel News Release
FISHERS- The Fuel hosted the Kalamazoo Wings on Friday night to start their weekend.</t>
  </si>
  <si>
    <t>K-Wings Fuel up in Indy Friday</t>
  </si>
  <si>
    <t>March 14, 2025 - ECHL (ECHL)
Kalamazoo Wings News Release
FISHERS, IN - The Kalamazoo Wings (26-27-3-1), proud ECHL affiliate of the National Hockey League's Vancouver Canucks, poured it on over the Indy Fuel (23-26-4-4) Friday at Fishers Event Center, winning 6-2.</t>
  </si>
  <si>
    <t>USAC Night with the Indy Fuel Fires Off This Friday, March 14</t>
  </si>
  <si>
    <t>BVM Sports</t>
  </si>
  <si>
    <t>Race of Champions Introduces "Punch Your Ticket to Thompson" Qualifier Program for 2025 Season Brogan Carder Joins 2025 ASCS National Tour Rookie Class at 14 USAC CRA Sprints Headline Imperial's California Mid-Winter Fair March 14-15 Racing News Race of Champions Introduces "Punch Your Ticket to Thompson" Qualifier Program for 2025 Season March 12, 2025 Racing News Brogan Carder Joins 2025 ASCS National Tour Rookie Class at 14 March 11, 2025 Racing News USAC CRA Sprints Headline Imperial's...</t>
  </si>
  <si>
    <t>Speedway Digest</t>
  </si>
  <si>
    <t>Ice hockey meets USAC racing as the Indy Fuel presents USAC Night at the Fishers Event Center on Friday night, March 14.
As the ECHL’s Indy Fuel takes the ice for their game against the Kalamazoo Wings that night, USAC drivers will be on hand to battle it out on the ice and meet and greet fans.</t>
  </si>
  <si>
    <t>Fuel
Railers Drop Series Finale to Lions 3-1 - Worcester Railers HC
Swamp Rabbits Drop Final Game of Weekend - Greenville Swamp Rabbits
Thunder Shutout Nailers 2-0 - Adirondack Thunder
Stingrays Skate Past Ghost Pirates in 2-1 Win - South Carolina Stingrays
Brodeur, Thunder Blank Wheeling, 2-0 … Nine-Game Point Streak, 4-1 - Reading Royals
Joey Cipollone &amp; Blake Murray Both Have Two Goal Games As Atlanta Rebounds In Kalamazoo - Atlanta Gladiators
Nadeau Extends Goal Streak to Six as Jacksonville Sweeps Allen - Jacksonville Icemen
Fuel Defeats Thunder in Front of Sold out Crowd on Saturday - Indy</t>
  </si>
  <si>
    <t>Fuel lose another close one, this time to Wichita 5-4</t>
  </si>
  <si>
    <t>The Indy Fuel have been playing a lot of close games of late, winning Saturday against the Wichita Thunder, but Sunday it was the Thunder coming out on top 5-4.  A power play goal by Wichita’s Kobe Walker with 4:19 remaining in the third period cemented the victory for the Thunder.</t>
  </si>
  <si>
    <t>Thunder Snaps Skid with Win at Indy</t>
  </si>
  <si>
    <t>Fuel Sell out Sunday, Fall to Wichita 5-4</t>
  </si>
  <si>
    <t>March 9, 2025 - ECHL (ECHL)
Indy Fuel News Release
FISHERS- The Fuel hosted the Wichita Thunder for the second day in a row on Sunday for Bluey Day.</t>
  </si>
  <si>
    <t>Nine-Game Point Streak, 4-1 - Reading Royals
Joey Cipollone &amp; Blake Murray Both Have Two Goal Games As Atlanta Rebounds In Kalamazoo - Atlanta Gladiators
Nadeau Extends Goal Streak to Six as Jacksonville Sweeps Allen - Jacksonville Icemen
Fuel Defeats Thunder in Front of Sold out Crowd on Saturday - Indy … Fuel
Americans Swept by Jacksonville - Allen Americans
Knight Monsters Strike Down RC in Dominant Win - Tahoe Knight Monsters
Tahoe Shuts Down Rush, 7-1 - Rapid City Rush
The opinions expressed in this release are those of the organization issuing it, and do not necessarily reflect the thoughts</t>
  </si>
  <si>
    <t>The IN List 2024: 3/10 - 3/16</t>
  </si>
  <si>
    <t>Indy Fuel vs. Kalamazoo Wings: 7pm. Fishers Event Center - Fishers, IN. Tickets required.
Pajama-Rama: 7pm-7:45pm. Cool Creek Nature Center. Put on your favorite pair of PJs and bring a blanket. Instructor will lead the kids through songs andstories.Best for kids ages 1-7.Registration required.</t>
  </si>
  <si>
    <t>Road Trip Ends this Afternoon at Indy</t>
  </si>
  <si>
    <t>Single- win for Indy Fuel over Wichita Thunder</t>
  </si>
  <si>
    <t>The -team Indy Fuel seized a win against the Wichita Thunder.
The team won 4-3 on Saturday, March 07, 2025.</t>
  </si>
  <si>
    <t>Fuel Defeats Thunder in Front of Sold out Crowd on Saturday</t>
  </si>
  <si>
    <t>March 9, 2025 - ECHL (ECHL)
Indy Fuel News Release
FISHERS- The Fuel hosted the Wichita Thunder for the first of two games this weekend against the Mountain division team.</t>
  </si>
  <si>
    <t>Fuel get important win over Wichita Thunder 4-3</t>
  </si>
  <si>
    <t>Another night, another close game for the Indy Fuel.  This time, the Fuel get the win 4-3 over the Wichita Thunder Saturday night at the Fishers Event Center.
Things got a bit crazy in the third period, when a fight broke out between the Thunder’s Nolan Kneen and the Fuel’s Brett Bulmer. </t>
  </si>
  <si>
    <t>to Win, 5-2 - Atlanta Gladiators
Royals Conclude Two-Game Set in Maine with Saturday Showdown Against Mariners - Reading Royals
Oilers Top Grizzlies in First Road Contest - Tulsa Oilers
Carter Berger Secures Overtime Win - Bloomington Bison
Fuel Earn Point in Shootout Thriller with Fort Wayne - Indy … Fuel
Oilers Defeat Grizzlies on Military Night at Maverik Center - Utah Grizzlies
Deelstra Scores in Pro Debut, Royals Push Point Streak to Eight in Overtime Loss to Mariners, 2-1 - Reading Royals
The opinions expressed in this release are those of the organization issuing it, and do not necessarily</t>
  </si>
  <si>
    <t>Thunder Edged on Saturday Night vs. Fuel</t>
  </si>
  <si>
    <t>Wichita Looks to Get Back on Track Tonight at Indy</t>
  </si>
  <si>
    <t>Fort Wayne Komets beat Indy Fuel in shootout</t>
  </si>
  <si>
    <t>The game on Friday, March 06, 2025 between the Indy Fuel and the Fort Wayne Komets was a hard fought and hotly contested matchup.
It took penalties to separate the teams, and in the end it was Fort Wayne who managed to keep their cool as they won 2-1.</t>
  </si>
  <si>
    <t>Fuel Earn Point in Shootout Thriller with Fort Wayne</t>
  </si>
  <si>
    <t>March 8, 2025 - ECHL (ECHL)
Indy Fuel News Release
FISHERS- The Fuel started their weekend hosting the Fort Wayne Komets on Friday night.</t>
  </si>
  <si>
    <t>Komets best Indy Fuel in shootout win</t>
  </si>
  <si>
    <t>(WANE) – The Komets bested the Indy Fuel 2-1 in a shootout victory on Friday night, with Justin Taylor netting the game-winner for Fort Wayne.</t>
  </si>
  <si>
    <t>Fuel Lose Shootout in Intense Battle</t>
  </si>
  <si>
    <t>In a contest that included plenty of defense, goaltending skill and physicality, the Indy Fuel battled the Fort Wayne Komets to a 1-1 home tie in regulation Friday night.  The Komets’ Justin Taylor notched a 6th-round shootout goal for the win.</t>
  </si>
  <si>
    <t>Indianapolis weekend events: Pro wrestling at Upland FSQ, Indy Fuel and more</t>
  </si>
  <si>
    <t>2pm and 7:30pm Saturday; and 1pm and 6:30pm Sunday.
๐ผ๏ธ Check out the work of more than 30 local artists with a bespoke cocktail during Easel by Penrod at Stutz, 6pm Friday.
๐น Hear jazz pianist Christian Sands tickle the ivories at the Jazz Kitchen, 9:30pm Friday.
๐ Hit the ice with the Indy … Fuel as they play three games at the Fishers Event Center</t>
  </si>
  <si>
    <t>Solar Bears Trade Forward Jarrett Lee to Indy for Future Considerations</t>
  </si>
  <si>
    <t>. - The Orlando Solar Bears, ECHL affiliate of the National Hockey League's Tampa Bay Lightning, announced Thursday (Mar. 6) the Solar Bears have acquired future considerations from the Indy Fuel in exchange for forward Jarrett Lee.</t>
  </si>
  <si>
    <t>Noblesville resident grows BFF Indy community for women</t>
  </si>
  <si>
    <t>Jessica Todd</t>
  </si>
  <si>
    <t>Several events are on the horizon for BFF Indy, such as an Indy Fuel game at the Fishers Event Center March 7 and a private barre3 class at barre3 Carmel March 11.
For more, visit bffindianapolis.com.</t>
  </si>
  <si>
    <t>Sam Rhodes signed by ECHL's Indy Fuel</t>
  </si>
  <si>
    <t>FISHERS, Indiana - The ECHL's Indy Fuel have signed graduating Golden Hawks men's hockey forward Sam Rhodes to a standard player contract. Rhodes, 25, is a left-shooting forward from Powhatan, Virginia who led Laurier with eight goals this season in a team-high 28 games.</t>
  </si>
  <si>
    <t>Students get a special visit from mascots to celebrate National School Breakfast Week</t>
  </si>
  <si>
    <t>Brittany Noble</t>
  </si>
  <si>
    <t>WISH-TV (Indianapolis, IN)</t>
  </si>
  <si>
    <t>Indianapolis Colts cheerleaders and mascot Blue, the Indianapolis Indians mascot Rowdie, and Indy Fuel’s mascot Nitro all joined for a hearty breakfast with the kids.
Students then participated in an interactive presentation from local dairy farmer Kerry Estes.</t>
  </si>
  <si>
    <t>NewsBreak</t>
  </si>
  <si>
    <t>Indianapolis Colts cheerleaders and mascot Blue, the Indianapolis Indians mascot Rowdie, and Indy Fuel’s mascot Nitro all joined for a hearty breakfast with the kids. 
 Students then participated in an interactive presentation from local dairy farmer Kerry Estes.</t>
  </si>
  <si>
    <t>Tommy Lang</t>
  </si>
  <si>
    <t>KCJJ-AM (Iowa City, IA)</t>
  </si>
  <si>
    <t>Fuel Fall to Heartlanders 4-2 on Sunday Afternoon</t>
  </si>
  <si>
    <t>March 2, 2025 - ECHL (ECHL)
Indy Fuel News Release
FISHERS - The Fuel finished their weekend with a Sunday afternoon game against the Iowa Heartlanders.</t>
  </si>
  <si>
    <t>Indy Fuel lose Sunday match with Iowa 4-2</t>
  </si>
  <si>
    <t>An open net goal, after the Indy Fuel pulled goaltender Ben Gaudreau with 42 seconds left in the game, cemented an Iowa Heartlander 4-2 win Sunday afternoon, before a Fishers Event Center crowd of 6,003.</t>
  </si>
  <si>
    <t>Heartlanders Fall Saturday in Indy, 4-0</t>
  </si>
  <si>
    <t>March 2, 2025 - ECHL (ECHL)
Iowa Heartlanders News Release
Fishers, IN - Iowa Heartlanders defenseman Kyle Masters rifled in a slap shot at :25 of the third to break a tie and Yuki Miura scored an empty-net goal in the final minute to gallop by the Indy Fuel, 4-2, Sunday at the Fishers Event Center</t>
  </si>
  <si>
    <t>The IN List 2025: 3/3 - 3/9</t>
  </si>
  <si>
    <t>Indy Fuel vs. Fort Wayne Komets:7pm. Fishers Event Center - Fishers, IN. Tickets required.
Saturday, Mar 8
Carmel Winter Farmers Market: 9am-12pm. 611 3rd Avenue SW, Carmel, IN. 
Westfield Winter Farmers Market: 9am-12pm. Westfork Whiskey 10 E 191st St, Westfield, IN.</t>
  </si>
  <si>
    <t>Fuel Sets Franchise Record In Victory Over Iowa</t>
  </si>
  <si>
    <t>In their 4-0 win over the Iowa Heartlanders, the Indy Fuel claimed their ninth shutout of the season, setting a new franchise record for a single season in the process.</t>
  </si>
  <si>
    <t>In their 4-0 win over the Iowa Heartlanders, the Indy Fuel claimed their ninth shutout of the season, setting a new franchise record for a single season in the process.
Cam Gray was the hero in net for the Fuel, saving all 18 shots he faced while his teammates made four of their 31 shots count.</t>
  </si>
  <si>
    <t>Heartlanders fall Saturday in Indy, 4-0</t>
  </si>
  <si>
    <t>Iowa Heartlanders news release
Heartlanders fall Saturday in Indy, 4-0
Fishers, IN – The Iowa Heartlanders dropped to the Indy Fuel, 4-0, Saturday at Fishers Event Center. Indy scored twice early in the second period to take a 3-0 lead. Cam Gray shut out Iowa with 18 saves.</t>
  </si>
  <si>
    <t>Indy Fuel Beat Iowa 4-0 in Spectacular Shutout</t>
  </si>
  <si>
    <t>It was a big night for Indy Fuel goaltender Dan Gray as he picked up a shutout with help from a first class defense Saturday night as the Fuel picked up 2 big points in their quest to move up in the Central Division standings.</t>
  </si>
  <si>
    <t>Fuel Set Franchise Record with Ninth Shutout Win of Season</t>
  </si>
  <si>
    <t>March 1, 2025 - ECHL (ECHL)
Indy Fuel News Release
FISHERS- The Fuel hosted the Iowa Heartlanders on Saturday night in front of a sold-out crowd of 6,611 fans.</t>
  </si>
  <si>
    <t>March 1, 2025 - ECHL (ECHL)
Iowa Heartlanders News Release
Fishers, IN - The Iowa Heartlanders dropped to the Indy Fuel, 4-0, Saturday at Fishers Event Center. Indy scored twice early in the second period to take a 3-0 lead. Cam Gray shut out Iowa with 18 saves.</t>
  </si>
  <si>
    <t>Fuel Struggle in Fort Wayne, Fall 7-2 to Komets</t>
  </si>
  <si>
    <t>The Indy Fuel kicked off their weekend with a tough matchup against their in-state rivals, the Fort Wayne Komets, on Friday night. After a closely contested first period, the Komets took control in the second, ultimately handing the Fuel a 7-2 defeat.</t>
  </si>
  <si>
    <t>Komets streak by Indy Fuel in 7-2 win</t>
  </si>
  <si>
    <t>(WANE) – The Komets opened a three-game weekend with a 7-2 mauling of the Indy Fuel, as Anthony Petruzzelli and Brannon McManus scored two goals apiece for Fort Wayne on Friday night at War Memorial Coliseum.</t>
  </si>
  <si>
    <t>Komets score 4 goals in second period, roll over Indy Fuel</t>
  </si>
  <si>
    <t>Victoria Jacobsen</t>
  </si>
  <si>
    <t>It might not have been a perfect 60 minutes of Komets hockey Friday night at the Coliseum, but the home side took advantage when the opportunities presented themselves, scored four goals in the second period and opened the weekend with a 7-2 victory over the Indy Fuel.</t>
  </si>
  <si>
    <t>Komets vs Indy Fuel</t>
  </si>
  <si>
    <t>Stan Sussina</t>
  </si>
  <si>
    <t>Your browser is out of date and potentially vulnerable to security risks. We recommend switching to one of the following browsers:</t>
  </si>
  <si>
    <t>The Komets enjoyed one of their best periods of the season on Friday at Memorial Coliseum, s…</t>
  </si>
  <si>
    <t>It might not have been a perfect 60 minutes of Komets hockey Friday night at the Coliseum, b…</t>
  </si>
  <si>
    <t>Article</t>
  </si>
  <si>
    <t>URL</t>
  </si>
  <si>
    <t>Author</t>
  </si>
  <si>
    <t>Media Outlet</t>
  </si>
  <si>
    <t>Published</t>
  </si>
  <si>
    <t>Snippet</t>
  </si>
  <si>
    <t>UVM (Insights by Similarweb)</t>
  </si>
  <si>
    <t>Journalist Shares</t>
  </si>
  <si>
    <t>Journalist Reach</t>
  </si>
  <si>
    <t>Total Engagement</t>
  </si>
  <si>
    <t>Sentiment</t>
  </si>
  <si>
    <t>Pitch Placement</t>
  </si>
  <si>
    <t>Location Category</t>
  </si>
  <si>
    <t>USA</t>
  </si>
  <si>
    <t>Local</t>
  </si>
  <si>
    <t>International</t>
  </si>
  <si>
    <t>Advertising Value Equivalency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</si>
</sst>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sz val="10"/>
      <name val="Arial"/>
    </font>
    <font>
      <b/>
      <sz val="10"/>
      <name val="Arial"/>
    </font>
  </fonts>
  <fills count="2">
    <fill>
      <patternFill patternType="none"/>
    </fill>
    <fill>
      <patternFill patternType="gray125"/>
    </fill>
  </fills>
  <borders count="1">
    <border>
      <left/>
      <right/>
      <top/>
      <bottom/>
      <diagonal/>
    </border>
  </borders>
  <cellStyleXfs count="4">
    <xf numFmtId="0" fontId="0" fillId="0" borderId="0"/>
    <xf numFmtId="0" fontId="1" fillId="0" borderId="0">
      <alignment vertical="top" wrapText="1"/>
    </xf>
    <xf numFmtId="164" fontId="1" fillId="0" borderId="0">
      <alignment vertical="top" wrapText="1"/>
    </xf>
    <xf numFmtId="0" fontId="2" fillId="0" borderId="0"/>
  </cellStyleXfs>
  <cellXfs count="4">
    <xf numFmtId="0" fontId="0" fillId="0" borderId="0" xfId="0"/>
    <xf numFmtId="0" fontId="1" fillId="0" borderId="0" xfId="1">
      <alignment vertical="top" wrapText="1"/>
    </xf>
    <xf numFmtId="164" fontId="1" fillId="0" borderId="0" xfId="2">
      <alignment vertical="top" wrapText="1"/>
    </xf>
    <xf numFmtId="0" fontId="2" fillId="0" borderId="0" xfId="3"/>
  </cellXfs>
  <cellStyles count="4">
    <cellStyle name="mr_datetime" xfId="2" xr:uid="{71BC91AA-B363-43E1-983D-3FFEC1310DCA}"/>
    <cellStyle name="mr_header" xfId="3" xr:uid="{7F188FB0-5DA9-4882-9217-126D7DA3A8B3}"/>
    <cellStyle name="mr_normal" xfId="1" xr:uid="{C0186C06-9047-403E-9B0E-F1AB1909121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C1D9A-21F9-45ED-8A67-2B378CF824D7}">
  <dimension ref="A1:N86"/>
  <sheetViews>
    <sheetView tabSelected="1" topLeftCell="H85" workbookViewId="0">
      <selection activeCell="H87" sqref="H87:K87"/>
    </sheetView>
  </sheetViews>
  <sheetFormatPr defaultRowHeight="14.4" x14ac:dyDescent="0.3"/>
  <cols>
    <col min="1" max="1" width="20.44140625" customWidth="1"/>
    <col min="2" max="2" width="15" customWidth="1"/>
    <col min="4" max="4" width="18.6640625" customWidth="1"/>
    <col min="5" max="5" width="23.44140625" customWidth="1"/>
    <col min="6" max="7" width="35.44140625" customWidth="1"/>
    <col min="8" max="8" width="26.88671875" bestFit="1" customWidth="1"/>
    <col min="9" max="9" width="16.44140625" bestFit="1" customWidth="1"/>
    <col min="10" max="10" width="15.77734375" bestFit="1" customWidth="1"/>
    <col min="11" max="11" width="16.88671875" bestFit="1" customWidth="1"/>
    <col min="12" max="12" width="9.77734375" bestFit="1" customWidth="1"/>
    <col min="13" max="13" width="15.109375" bestFit="1" customWidth="1"/>
    <col min="14" max="14" width="17.33203125" bestFit="1" customWidth="1"/>
  </cols>
  <sheetData>
    <row r="1" spans="1:14" x14ac:dyDescent="0.3">
      <c r="A1" s="3" t="s">
        <v>192</v>
      </c>
      <c r="B1" s="3" t="s">
        <v>193</v>
      </c>
      <c r="C1" s="3" t="s">
        <v>194</v>
      </c>
      <c r="D1" s="3" t="s">
        <v>195</v>
      </c>
      <c r="E1" s="3" t="s">
        <v>196</v>
      </c>
      <c r="F1" s="3" t="s">
        <v>197</v>
      </c>
      <c r="G1" s="3" t="s">
        <v>208</v>
      </c>
      <c r="H1" s="3" t="s">
        <v>198</v>
      </c>
      <c r="I1" s="3" t="s">
        <v>199</v>
      </c>
      <c r="J1" s="3" t="s">
        <v>200</v>
      </c>
      <c r="K1" s="3" t="s">
        <v>201</v>
      </c>
      <c r="L1" s="3" t="s">
        <v>202</v>
      </c>
      <c r="M1" s="3" t="s">
        <v>203</v>
      </c>
      <c r="N1" s="3" t="s">
        <v>204</v>
      </c>
    </row>
    <row r="2" spans="1:14" ht="118.8" x14ac:dyDescent="0.3">
      <c r="A2" s="1" t="s">
        <v>2</v>
      </c>
      <c r="B2" s="1" t="str">
        <f>HYPERLINK("https://www.flohockey.tv/events/12626670-2025-toledo-walleye-vs-indy-fuel")</f>
        <v>https://www.flohockey.tv/events/12626670-2025-toledo-walleye-vs-indy-fuel</v>
      </c>
      <c r="C2" s="1"/>
      <c r="D2" s="1" t="s">
        <v>3</v>
      </c>
      <c r="E2" s="2">
        <v>45747.494155092587</v>
      </c>
      <c r="F2" s="1" t="s">
        <v>4</v>
      </c>
      <c r="G2" s="1">
        <f>H2*0.025*0.35</f>
        <v>2807.7787499999999</v>
      </c>
      <c r="H2" s="1">
        <v>320889</v>
      </c>
      <c r="I2" s="1">
        <v>0</v>
      </c>
      <c r="J2" s="1">
        <v>0</v>
      </c>
      <c r="K2" s="1">
        <v>0</v>
      </c>
      <c r="L2" s="1" t="s">
        <v>5</v>
      </c>
      <c r="M2" s="1"/>
      <c r="N2" t="s">
        <v>205</v>
      </c>
    </row>
    <row r="3" spans="1:14" ht="132" x14ac:dyDescent="0.3">
      <c r="A3" s="1" t="s">
        <v>8</v>
      </c>
      <c r="B3" s="1" t="str">
        <f>HYPERLINK("https://www.oursportscentral.com/services/releases/brodeur-thunder-shutout-fuel-3-0/n-6206987")</f>
        <v>https://www.oursportscentral.com/services/releases/brodeur-thunder-shutout-fuel-3-0/n-6206987</v>
      </c>
      <c r="C3" s="1"/>
      <c r="D3" s="1" t="s">
        <v>1</v>
      </c>
      <c r="E3" s="2">
        <v>45747.323611111111</v>
      </c>
      <c r="F3" s="1" t="s">
        <v>9</v>
      </c>
      <c r="G3" s="1">
        <f t="shared" ref="G3:G66" si="0">H3*0.025*0.35</f>
        <v>353.51749999999998</v>
      </c>
      <c r="H3" s="1">
        <v>40402</v>
      </c>
      <c r="I3" s="1">
        <v>0</v>
      </c>
      <c r="J3" s="1">
        <v>0</v>
      </c>
      <c r="K3" s="1">
        <v>0</v>
      </c>
      <c r="L3" s="1" t="s">
        <v>5</v>
      </c>
      <c r="M3" s="1"/>
      <c r="N3" t="s">
        <v>205</v>
      </c>
    </row>
    <row r="4" spans="1:14" ht="145.19999999999999" x14ac:dyDescent="0.3">
      <c r="A4" s="1" t="s">
        <v>11</v>
      </c>
      <c r="B4" s="1" t="str">
        <f>HYPERLINK("https://www.therinklive.com/sports/pro/penalty-shootout-decides-the-outcome-as-the-indy-fuel-beat-adirondack-thunder-20250330180342")</f>
        <v>https://www.therinklive.com/sports/pro/penalty-shootout-decides-the-outcome-as-the-indy-fuel-beat-adirondack-thunder-20250330180342</v>
      </c>
      <c r="C4" s="1"/>
      <c r="D4" s="1" t="s">
        <v>12</v>
      </c>
      <c r="E4" s="2">
        <v>45746.811157407406</v>
      </c>
      <c r="F4" s="1" t="s">
        <v>13</v>
      </c>
      <c r="G4" s="1">
        <f t="shared" si="0"/>
        <v>146.47499999999999</v>
      </c>
      <c r="H4" s="1">
        <v>16740</v>
      </c>
      <c r="I4" s="1">
        <v>0</v>
      </c>
      <c r="J4" s="1">
        <v>0</v>
      </c>
      <c r="K4" s="1">
        <v>0</v>
      </c>
      <c r="L4" s="1" t="s">
        <v>5</v>
      </c>
      <c r="M4" s="1"/>
      <c r="N4" t="s">
        <v>205</v>
      </c>
    </row>
    <row r="5" spans="1:14" ht="184.8" x14ac:dyDescent="0.3">
      <c r="A5" s="1" t="s">
        <v>14</v>
      </c>
      <c r="B5" s="1" t="str">
        <f>HYPERLINK("https://www.keepingupincarmel.com/post/the-in-list-2024-mar-31-apr-6")</f>
        <v>https://www.keepingupincarmel.com/post/the-in-list-2024-mar-31-apr-6</v>
      </c>
      <c r="C5" s="1" t="s">
        <v>15</v>
      </c>
      <c r="D5" s="1" t="s">
        <v>16</v>
      </c>
      <c r="E5" s="2">
        <v>45746.664363425924</v>
      </c>
      <c r="F5" s="1" t="s">
        <v>17</v>
      </c>
      <c r="G5" s="1">
        <f t="shared" si="0"/>
        <v>6.0025000000000004</v>
      </c>
      <c r="H5" s="1">
        <v>686</v>
      </c>
      <c r="I5" s="1">
        <v>0</v>
      </c>
      <c r="J5" s="1">
        <v>0</v>
      </c>
      <c r="K5" s="1">
        <v>0</v>
      </c>
      <c r="L5" s="1" t="s">
        <v>0</v>
      </c>
      <c r="M5" s="1"/>
      <c r="N5" t="s">
        <v>206</v>
      </c>
    </row>
    <row r="6" spans="1:14" ht="118.8" x14ac:dyDescent="0.3">
      <c r="A6" s="1" t="s">
        <v>18</v>
      </c>
      <c r="B6" s="1" t="str">
        <f>HYPERLINK("https://www.oursportscentral.com/services/releases/fuel-shut-out-for-second-night-in-a-row/n-6206502")</f>
        <v>https://www.oursportscentral.com/services/releases/fuel-shut-out-for-second-night-in-a-row/n-6206502</v>
      </c>
      <c r="C6" s="1"/>
      <c r="D6" s="1" t="s">
        <v>1</v>
      </c>
      <c r="E6" s="2">
        <v>45746.09097222222</v>
      </c>
      <c r="F6" s="1" t="s">
        <v>19</v>
      </c>
      <c r="G6" s="1">
        <f t="shared" si="0"/>
        <v>353.51749999999998</v>
      </c>
      <c r="H6" s="1">
        <v>40402</v>
      </c>
      <c r="I6" s="1">
        <v>0</v>
      </c>
      <c r="J6" s="1">
        <v>0</v>
      </c>
      <c r="K6" s="1">
        <v>0</v>
      </c>
      <c r="L6" s="1" t="s">
        <v>0</v>
      </c>
      <c r="M6" s="1"/>
      <c r="N6" t="s">
        <v>205</v>
      </c>
    </row>
    <row r="7" spans="1:14" ht="79.2" x14ac:dyDescent="0.3">
      <c r="A7" s="1" t="s">
        <v>20</v>
      </c>
      <c r="B7" s="1" t="str">
        <f>HYPERLINK("https://www.larryinfishers.com/2025/03/30/fuel-shut-out-again-in-tough-loss-to-adirondack/")</f>
        <v>https://www.larryinfishers.com/2025/03/30/fuel-shut-out-again-in-tough-loss-to-adirondack/</v>
      </c>
      <c r="C7" s="1"/>
      <c r="D7" s="1" t="s">
        <v>6</v>
      </c>
      <c r="E7" s="2">
        <v>45746.011886574073</v>
      </c>
      <c r="F7" s="1" t="s">
        <v>21</v>
      </c>
      <c r="G7" s="1">
        <f t="shared" si="0"/>
        <v>30.703749999999999</v>
      </c>
      <c r="H7" s="1">
        <v>3509</v>
      </c>
      <c r="I7" s="1">
        <v>0</v>
      </c>
      <c r="J7" s="1">
        <v>0</v>
      </c>
      <c r="K7" s="1">
        <v>1</v>
      </c>
      <c r="L7" s="1" t="s">
        <v>5</v>
      </c>
      <c r="M7" s="1"/>
      <c r="N7" t="s">
        <v>206</v>
      </c>
    </row>
    <row r="8" spans="1:14" ht="132" x14ac:dyDescent="0.3">
      <c r="A8" s="1" t="s">
        <v>22</v>
      </c>
      <c r="B8" s="1" t="str">
        <f>HYPERLINK("https://wnyt.com/big-board-sports/adirondack-thunder-get-second-straight-shutout-against-the-indy-fuel/")</f>
        <v>https://wnyt.com/big-board-sports/adirondack-thunder-get-second-straight-shutout-against-the-indy-fuel/</v>
      </c>
      <c r="C8" s="1" t="s">
        <v>23</v>
      </c>
      <c r="D8" s="1" t="s">
        <v>24</v>
      </c>
      <c r="E8" s="2">
        <v>45746.004282407397</v>
      </c>
      <c r="F8" s="1" t="s">
        <v>25</v>
      </c>
      <c r="G8" s="1">
        <f t="shared" si="0"/>
        <v>1993.41625</v>
      </c>
      <c r="H8" s="1">
        <v>227819</v>
      </c>
      <c r="I8" s="1">
        <v>1</v>
      </c>
      <c r="J8" s="1">
        <v>2033</v>
      </c>
      <c r="K8" s="1">
        <v>1</v>
      </c>
      <c r="L8" s="1" t="s">
        <v>5</v>
      </c>
      <c r="M8" s="1"/>
      <c r="N8" t="s">
        <v>205</v>
      </c>
    </row>
    <row r="9" spans="1:14" ht="250.8" x14ac:dyDescent="0.3">
      <c r="A9" s="1" t="s">
        <v>26</v>
      </c>
      <c r="B9" s="1" t="str">
        <f>HYPERLINK("https://insidetherink.com/echl-game-recap-indy-fuel-vs-adirondack-thunder-03-29-2025/")</f>
        <v>https://insidetherink.com/echl-game-recap-indy-fuel-vs-adirondack-thunder-03-29-2025/</v>
      </c>
      <c r="C9" s="1" t="s">
        <v>27</v>
      </c>
      <c r="D9" s="1" t="s">
        <v>28</v>
      </c>
      <c r="E9" s="2">
        <v>45745.966296296298</v>
      </c>
      <c r="F9" s="1" t="s">
        <v>29</v>
      </c>
      <c r="G9" s="1">
        <f t="shared" si="0"/>
        <v>425.85375000000005</v>
      </c>
      <c r="H9" s="1">
        <v>48669</v>
      </c>
      <c r="I9" s="1">
        <v>0</v>
      </c>
      <c r="J9" s="1">
        <v>0</v>
      </c>
      <c r="K9" s="1">
        <v>20</v>
      </c>
      <c r="L9" s="1" t="s">
        <v>0</v>
      </c>
      <c r="M9" s="1"/>
      <c r="N9" t="s">
        <v>205</v>
      </c>
    </row>
    <row r="10" spans="1:14" ht="145.19999999999999" x14ac:dyDescent="0.3">
      <c r="A10" s="1" t="s">
        <v>30</v>
      </c>
      <c r="B10" s="1" t="str">
        <f>HYPERLINK("https://www.oursportscentral.com/services/releases/thunder-shut-down-fuel-again-1-0/n-6206297")</f>
        <v>https://www.oursportscentral.com/services/releases/thunder-shut-down-fuel-again-1-0/n-6206297</v>
      </c>
      <c r="C10" s="1"/>
      <c r="D10" s="1" t="s">
        <v>1</v>
      </c>
      <c r="E10" s="2">
        <v>45745.811111111107</v>
      </c>
      <c r="F10" s="1" t="s">
        <v>31</v>
      </c>
      <c r="G10" s="1">
        <f t="shared" si="0"/>
        <v>353.51749999999998</v>
      </c>
      <c r="H10" s="1">
        <v>40402</v>
      </c>
      <c r="I10" s="1">
        <v>0</v>
      </c>
      <c r="J10" s="1">
        <v>0</v>
      </c>
      <c r="K10" s="1">
        <v>0</v>
      </c>
      <c r="L10" s="1" t="s">
        <v>0</v>
      </c>
      <c r="M10" s="1"/>
      <c r="N10" t="s">
        <v>205</v>
      </c>
    </row>
    <row r="11" spans="1:14" ht="409.6" x14ac:dyDescent="0.3">
      <c r="A11" s="1" t="s">
        <v>33</v>
      </c>
      <c r="B11" s="1" t="str">
        <f>HYPERLINK("https://www.therinklive.com/sports/pro/strong-defense-as-adirondack-thunder-beat-indy-fuel-20250329000943")</f>
        <v>https://www.therinklive.com/sports/pro/strong-defense-as-adirondack-thunder-beat-indy-fuel-20250329000943</v>
      </c>
      <c r="C11" s="1"/>
      <c r="D11" s="1" t="s">
        <v>12</v>
      </c>
      <c r="E11" s="2">
        <v>45745.173425925917</v>
      </c>
      <c r="F11" s="1" t="s">
        <v>34</v>
      </c>
      <c r="G11" s="1">
        <f t="shared" si="0"/>
        <v>146.47499999999999</v>
      </c>
      <c r="H11" s="1">
        <v>16740</v>
      </c>
      <c r="I11" s="1">
        <v>0</v>
      </c>
      <c r="J11" s="1">
        <v>0</v>
      </c>
      <c r="K11" s="1">
        <v>0</v>
      </c>
      <c r="L11" s="1" t="s">
        <v>7</v>
      </c>
      <c r="M11" s="1"/>
      <c r="N11" t="s">
        <v>205</v>
      </c>
    </row>
    <row r="12" spans="1:14" ht="145.19999999999999" x14ac:dyDescent="0.3">
      <c r="A12" s="1" t="s">
        <v>35</v>
      </c>
      <c r="B12" s="1" t="str">
        <f>HYPERLINK("https://insidetherink.com/echl-game-recap-indy-fuel-vs-adirondack-thunder-03-28-2025/")</f>
        <v>https://insidetherink.com/echl-game-recap-indy-fuel-vs-adirondack-thunder-03-28-2025/</v>
      </c>
      <c r="C12" s="1" t="s">
        <v>27</v>
      </c>
      <c r="D12" s="1" t="s">
        <v>28</v>
      </c>
      <c r="E12" s="2">
        <v>45745.030462962961</v>
      </c>
      <c r="F12" s="1" t="s">
        <v>36</v>
      </c>
      <c r="G12" s="1">
        <f t="shared" si="0"/>
        <v>425.85375000000005</v>
      </c>
      <c r="H12" s="1">
        <v>48669</v>
      </c>
      <c r="I12" s="1">
        <v>0</v>
      </c>
      <c r="J12" s="1">
        <v>0</v>
      </c>
      <c r="K12" s="1">
        <v>58</v>
      </c>
      <c r="L12" s="1" t="s">
        <v>5</v>
      </c>
      <c r="M12" s="1"/>
      <c r="N12" t="s">
        <v>205</v>
      </c>
    </row>
    <row r="13" spans="1:14" ht="132" x14ac:dyDescent="0.3">
      <c r="A13" s="1" t="s">
        <v>37</v>
      </c>
      <c r="B13" s="1" t="str">
        <f>HYPERLINK("https://wnyt.com/big-board-sports/adirondack-thunder-shut-out-the-indy-fuel-3-0-to-kick-off-stick-it-to-cancer-weekend/")</f>
        <v>https://wnyt.com/big-board-sports/adirondack-thunder-shut-out-the-indy-fuel-3-0-to-kick-off-stick-it-to-cancer-weekend/</v>
      </c>
      <c r="C13" s="1" t="s">
        <v>23</v>
      </c>
      <c r="D13" s="1" t="s">
        <v>24</v>
      </c>
      <c r="E13" s="2">
        <v>45744.998981481483</v>
      </c>
      <c r="F13" s="1" t="s">
        <v>25</v>
      </c>
      <c r="G13" s="1">
        <f t="shared" si="0"/>
        <v>1993.41625</v>
      </c>
      <c r="H13" s="1">
        <v>227819</v>
      </c>
      <c r="I13" s="1">
        <v>1</v>
      </c>
      <c r="J13" s="1">
        <v>2033</v>
      </c>
      <c r="K13" s="1">
        <v>77</v>
      </c>
      <c r="L13" s="1" t="s">
        <v>5</v>
      </c>
      <c r="M13" s="1"/>
      <c r="N13" t="s">
        <v>205</v>
      </c>
    </row>
    <row r="14" spans="1:14" ht="92.4" x14ac:dyDescent="0.3">
      <c r="A14" s="1" t="s">
        <v>38</v>
      </c>
      <c r="B14" s="1" t="str">
        <f>HYPERLINK("https://www.larryinfishers.com/2025/03/28/fuel-shut-out-by-adirondack-in-penalty-filled-matchup/")</f>
        <v>https://www.larryinfishers.com/2025/03/28/fuel-shut-out-by-adirondack-in-penalty-filled-matchup/</v>
      </c>
      <c r="C14" s="1"/>
      <c r="D14" s="1" t="s">
        <v>6</v>
      </c>
      <c r="E14" s="2">
        <v>45744.98201388889</v>
      </c>
      <c r="F14" s="1" t="s">
        <v>39</v>
      </c>
      <c r="G14" s="1">
        <f t="shared" si="0"/>
        <v>30.703749999999999</v>
      </c>
      <c r="H14" s="1">
        <v>3509</v>
      </c>
      <c r="I14" s="1">
        <v>0</v>
      </c>
      <c r="J14" s="1">
        <v>0</v>
      </c>
      <c r="K14" s="1">
        <v>10</v>
      </c>
      <c r="L14" s="1" t="s">
        <v>5</v>
      </c>
      <c r="M14" s="1"/>
      <c r="N14" t="s">
        <v>206</v>
      </c>
    </row>
    <row r="15" spans="1:14" ht="118.8" x14ac:dyDescent="0.3">
      <c r="A15" s="1" t="s">
        <v>40</v>
      </c>
      <c r="B15" s="1" t="str">
        <f>HYPERLINK("https://www.oursportscentral.com/services/releases/fuel-shut-out-by-adirondack-on-friday-night/n-6205907")</f>
        <v>https://www.oursportscentral.com/services/releases/fuel-shut-out-by-adirondack-on-friday-night/n-6205907</v>
      </c>
      <c r="C15" s="1"/>
      <c r="D15" s="1" t="s">
        <v>1</v>
      </c>
      <c r="E15" s="2">
        <v>45744.870833333327</v>
      </c>
      <c r="F15" s="1" t="s">
        <v>41</v>
      </c>
      <c r="G15" s="1">
        <f t="shared" si="0"/>
        <v>353.51749999999998</v>
      </c>
      <c r="H15" s="1">
        <v>40402</v>
      </c>
      <c r="I15" s="1">
        <v>0</v>
      </c>
      <c r="J15" s="1">
        <v>0</v>
      </c>
      <c r="K15" s="1">
        <v>0</v>
      </c>
      <c r="L15" s="1" t="s">
        <v>5</v>
      </c>
      <c r="M15" s="1"/>
      <c r="N15" t="s">
        <v>205</v>
      </c>
    </row>
    <row r="16" spans="1:14" ht="132" x14ac:dyDescent="0.3">
      <c r="A16" s="1" t="s">
        <v>42</v>
      </c>
      <c r="B16" s="1" t="str">
        <f>HYPERLINK("https://www.oursportscentral.com/services/releases/brodeur-thunder-shut-out-fuel-3-0/n-6205768")</f>
        <v>https://www.oursportscentral.com/services/releases/brodeur-thunder-shut-out-fuel-3-0/n-6205768</v>
      </c>
      <c r="C16" s="1"/>
      <c r="D16" s="1" t="s">
        <v>1</v>
      </c>
      <c r="E16" s="2">
        <v>45744.807638888888</v>
      </c>
      <c r="F16" s="1" t="s">
        <v>43</v>
      </c>
      <c r="G16" s="1">
        <f t="shared" si="0"/>
        <v>353.51749999999998</v>
      </c>
      <c r="H16" s="1">
        <v>40402</v>
      </c>
      <c r="I16" s="1">
        <v>0</v>
      </c>
      <c r="J16" s="1">
        <v>0</v>
      </c>
      <c r="K16" s="1">
        <v>0</v>
      </c>
      <c r="L16" s="1" t="s">
        <v>5</v>
      </c>
      <c r="M16" s="1"/>
      <c r="N16" t="s">
        <v>205</v>
      </c>
    </row>
    <row r="17" spans="1:14" ht="118.8" x14ac:dyDescent="0.3">
      <c r="A17" s="1" t="s">
        <v>44</v>
      </c>
      <c r="B17" s="1" t="str">
        <f>HYPERLINK("https://ca.sports.yahoo.com/news/5-takeaways-march-26-action-152400893.html")</f>
        <v>https://ca.sports.yahoo.com/news/5-takeaways-march-26-action-152400893.html</v>
      </c>
      <c r="C17" s="1" t="s">
        <v>45</v>
      </c>
      <c r="D17" s="1" t="s">
        <v>46</v>
      </c>
      <c r="E17" s="2">
        <v>45743.474999999999</v>
      </c>
      <c r="F17" s="1" t="s">
        <v>47</v>
      </c>
      <c r="G17" s="1">
        <f t="shared" si="0"/>
        <v>5428.6137499999995</v>
      </c>
      <c r="H17" s="1">
        <v>620413</v>
      </c>
      <c r="I17" s="1">
        <v>0</v>
      </c>
      <c r="J17" s="1">
        <v>0</v>
      </c>
      <c r="K17" s="1">
        <v>0</v>
      </c>
      <c r="L17" s="1" t="s">
        <v>0</v>
      </c>
      <c r="M17" s="1"/>
      <c r="N17" t="s">
        <v>207</v>
      </c>
    </row>
    <row r="18" spans="1:14" ht="132" x14ac:dyDescent="0.3">
      <c r="A18" s="1" t="s">
        <v>48</v>
      </c>
      <c r="B18" s="1" t="str">
        <f>HYPERLINK("https://www.oursportscentral.com/services/releases/fuel-win-shootout-battle-in-adirondack/n-6205036")</f>
        <v>https://www.oursportscentral.com/services/releases/fuel-win-shootout-battle-in-adirondack/n-6205036</v>
      </c>
      <c r="C18" s="1"/>
      <c r="D18" s="1" t="s">
        <v>1</v>
      </c>
      <c r="E18" s="2">
        <v>45743.0625</v>
      </c>
      <c r="F18" s="1" t="s">
        <v>49</v>
      </c>
      <c r="G18" s="1">
        <f t="shared" si="0"/>
        <v>353.51749999999998</v>
      </c>
      <c r="H18" s="1">
        <v>40402</v>
      </c>
      <c r="I18" s="1">
        <v>0</v>
      </c>
      <c r="J18" s="1">
        <v>0</v>
      </c>
      <c r="K18" s="1">
        <v>0</v>
      </c>
      <c r="L18" s="1" t="s">
        <v>7</v>
      </c>
      <c r="M18" s="1"/>
      <c r="N18" t="s">
        <v>205</v>
      </c>
    </row>
    <row r="19" spans="1:14" ht="92.4" x14ac:dyDescent="0.3">
      <c r="A19" s="1" t="s">
        <v>50</v>
      </c>
      <c r="B19" s="1" t="str">
        <f>HYPERLINK("https://www.larryinfishers.com/2025/03/26/fuel-rally-late-to-secure-shootout-victory-over-adirondack/")</f>
        <v>https://www.larryinfishers.com/2025/03/26/fuel-rally-late-to-secure-shootout-victory-over-adirondack/</v>
      </c>
      <c r="C19" s="1"/>
      <c r="D19" s="1" t="s">
        <v>6</v>
      </c>
      <c r="E19" s="2">
        <v>45743.001574074071</v>
      </c>
      <c r="F19" s="1" t="s">
        <v>51</v>
      </c>
      <c r="G19" s="1">
        <f t="shared" si="0"/>
        <v>30.703749999999999</v>
      </c>
      <c r="H19" s="1">
        <v>3509</v>
      </c>
      <c r="I19" s="1">
        <v>0</v>
      </c>
      <c r="J19" s="1">
        <v>0</v>
      </c>
      <c r="K19" s="1">
        <v>1</v>
      </c>
      <c r="L19" s="1" t="s">
        <v>7</v>
      </c>
      <c r="M19" s="1"/>
      <c r="N19" t="s">
        <v>206</v>
      </c>
    </row>
    <row r="20" spans="1:14" ht="224.4" x14ac:dyDescent="0.3">
      <c r="A20" s="1" t="s">
        <v>52</v>
      </c>
      <c r="B20" s="1" t="str">
        <f>HYPERLINK("https://insidetherink.com/echl-game-recap-indy-fuel-vs-adirondack-thunder-03-26-2025/")</f>
        <v>https://insidetherink.com/echl-game-recap-indy-fuel-vs-adirondack-thunder-03-26-2025/</v>
      </c>
      <c r="C20" s="1" t="s">
        <v>27</v>
      </c>
      <c r="D20" s="1" t="s">
        <v>28</v>
      </c>
      <c r="E20" s="2">
        <v>45742.970138888893</v>
      </c>
      <c r="F20" s="1" t="s">
        <v>53</v>
      </c>
      <c r="G20" s="1">
        <f t="shared" si="0"/>
        <v>425.85375000000005</v>
      </c>
      <c r="H20" s="1">
        <v>48669</v>
      </c>
      <c r="I20" s="1">
        <v>0</v>
      </c>
      <c r="J20" s="1">
        <v>0</v>
      </c>
      <c r="K20" s="1">
        <v>9</v>
      </c>
      <c r="L20" s="1" t="s">
        <v>0</v>
      </c>
      <c r="M20" s="1"/>
      <c r="N20" t="s">
        <v>205</v>
      </c>
    </row>
    <row r="21" spans="1:14" ht="118.8" x14ac:dyDescent="0.3">
      <c r="A21" s="1" t="s">
        <v>54</v>
      </c>
      <c r="B21" s="1" t="str">
        <f>HYPERLINK("https://www.oursportscentral.com/services/releases/thunder-fall-to-fuel-in-shootout-3-2/n-6204984")</f>
        <v>https://www.oursportscentral.com/services/releases/thunder-fall-to-fuel-in-shootout-3-2/n-6204984</v>
      </c>
      <c r="C21" s="1"/>
      <c r="D21" s="1" t="s">
        <v>1</v>
      </c>
      <c r="E21" s="2">
        <v>45742.805555555547</v>
      </c>
      <c r="F21" s="1" t="s">
        <v>55</v>
      </c>
      <c r="G21" s="1">
        <f t="shared" si="0"/>
        <v>353.51749999999998</v>
      </c>
      <c r="H21" s="1">
        <v>40402</v>
      </c>
      <c r="I21" s="1">
        <v>0</v>
      </c>
      <c r="J21" s="1">
        <v>0</v>
      </c>
      <c r="K21" s="1">
        <v>0</v>
      </c>
      <c r="L21" s="1" t="s">
        <v>5</v>
      </c>
      <c r="M21" s="1"/>
      <c r="N21" t="s">
        <v>205</v>
      </c>
    </row>
    <row r="22" spans="1:14" ht="132" x14ac:dyDescent="0.3">
      <c r="A22" s="1" t="s">
        <v>56</v>
      </c>
      <c r="B22" s="1" t="str">
        <f>HYPERLINK("https://www.flohockey.tv/events/12626506-2025-indy-fuel-vs-adirondack-thunder")</f>
        <v>https://www.flohockey.tv/events/12626506-2025-indy-fuel-vs-adirondack-thunder</v>
      </c>
      <c r="C22" s="1"/>
      <c r="D22" s="1" t="s">
        <v>3</v>
      </c>
      <c r="E22" s="2">
        <v>45742</v>
      </c>
      <c r="F22" s="1" t="s">
        <v>57</v>
      </c>
      <c r="G22" s="1">
        <f t="shared" si="0"/>
        <v>2807.7787499999999</v>
      </c>
      <c r="H22" s="1">
        <v>320889</v>
      </c>
      <c r="I22" s="1">
        <v>0</v>
      </c>
      <c r="J22" s="1">
        <v>0</v>
      </c>
      <c r="K22" s="1">
        <v>0</v>
      </c>
      <c r="L22" s="1" t="s">
        <v>5</v>
      </c>
      <c r="M22" s="1"/>
      <c r="N22" t="s">
        <v>205</v>
      </c>
    </row>
    <row r="23" spans="1:14" ht="118.8" x14ac:dyDescent="0.3">
      <c r="A23" s="1" t="s">
        <v>58</v>
      </c>
      <c r="B23" s="1" t="str">
        <f>HYPERLINK("https://thefulcrum.ca/sports/gee-gees-complete-cinderella-story-win-programs-first-national-championship-on-home-ice1/")</f>
        <v>https://thefulcrum.ca/sports/gee-gees-complete-cinderella-story-win-programs-first-national-championship-on-home-ice1/</v>
      </c>
      <c r="C23" s="1" t="s">
        <v>59</v>
      </c>
      <c r="D23" s="1" t="s">
        <v>60</v>
      </c>
      <c r="E23" s="2">
        <v>45741.891342592593</v>
      </c>
      <c r="F23" s="1" t="s">
        <v>61</v>
      </c>
      <c r="G23" s="1">
        <f t="shared" si="0"/>
        <v>164.10624999999999</v>
      </c>
      <c r="H23" s="1">
        <v>18755</v>
      </c>
      <c r="I23" s="1">
        <v>0</v>
      </c>
      <c r="J23" s="1">
        <v>0</v>
      </c>
      <c r="K23" s="1">
        <v>0</v>
      </c>
      <c r="L23" s="1" t="s">
        <v>7</v>
      </c>
      <c r="M23" s="1"/>
      <c r="N23" t="s">
        <v>207</v>
      </c>
    </row>
    <row r="24" spans="1:14" ht="105.6" x14ac:dyDescent="0.3">
      <c r="A24" s="1" t="s">
        <v>62</v>
      </c>
      <c r="B24" s="1" t="str">
        <f>HYPERLINK("https://www.oursportscentral.com/services/releases/fuel-sweep-weekend-with-win-over-wheeling/n-6203991")</f>
        <v>https://www.oursportscentral.com/services/releases/fuel-sweep-weekend-with-win-over-wheeling/n-6203991</v>
      </c>
      <c r="C24" s="1"/>
      <c r="D24" s="1" t="s">
        <v>1</v>
      </c>
      <c r="E24" s="2">
        <v>45739.798611111109</v>
      </c>
      <c r="F24" s="1" t="s">
        <v>63</v>
      </c>
      <c r="G24" s="1">
        <f t="shared" si="0"/>
        <v>353.51749999999998</v>
      </c>
      <c r="H24" s="1">
        <v>40402</v>
      </c>
      <c r="I24" s="1">
        <v>0</v>
      </c>
      <c r="J24" s="1">
        <v>0</v>
      </c>
      <c r="K24" s="1">
        <v>0</v>
      </c>
      <c r="L24" s="1" t="s">
        <v>7</v>
      </c>
      <c r="M24" s="1"/>
      <c r="N24" t="s">
        <v>205</v>
      </c>
    </row>
    <row r="25" spans="1:14" ht="92.4" x14ac:dyDescent="0.3">
      <c r="A25" s="1" t="s">
        <v>64</v>
      </c>
      <c r="B25" s="1" t="str">
        <f>HYPERLINK("https://www.larryinfishers.com/2025/03/23/fuel-take-3-straight-at-home-with-3-1-win-over-wheeling/")</f>
        <v>https://www.larryinfishers.com/2025/03/23/fuel-take-3-straight-at-home-with-3-1-win-over-wheeling/</v>
      </c>
      <c r="C25" s="1"/>
      <c r="D25" s="1" t="s">
        <v>6</v>
      </c>
      <c r="E25" s="2">
        <v>45739.778634259259</v>
      </c>
      <c r="F25" s="1" t="s">
        <v>65</v>
      </c>
      <c r="G25" s="1">
        <f t="shared" si="0"/>
        <v>30.703749999999999</v>
      </c>
      <c r="H25" s="1">
        <v>3509</v>
      </c>
      <c r="I25" s="1">
        <v>0</v>
      </c>
      <c r="J25" s="1">
        <v>0</v>
      </c>
      <c r="K25" s="1">
        <v>1</v>
      </c>
      <c r="L25" s="1" t="s">
        <v>7</v>
      </c>
      <c r="M25" s="1"/>
      <c r="N25" t="s">
        <v>206</v>
      </c>
    </row>
    <row r="26" spans="1:14" ht="132" x14ac:dyDescent="0.3">
      <c r="A26" s="1" t="s">
        <v>66</v>
      </c>
      <c r="B26" s="1" t="str">
        <f>HYPERLINK("https://www.oursportscentral.com/services/releases/nailers-fall-in-game-but-not-in-standings/n-6203911")</f>
        <v>https://www.oursportscentral.com/services/releases/nailers-fall-in-game-but-not-in-standings/n-6203911</v>
      </c>
      <c r="C26" s="1"/>
      <c r="D26" s="1" t="s">
        <v>1</v>
      </c>
      <c r="E26" s="2">
        <v>45739.688888888893</v>
      </c>
      <c r="F26" s="1" t="s">
        <v>67</v>
      </c>
      <c r="G26" s="1">
        <f t="shared" si="0"/>
        <v>353.51749999999998</v>
      </c>
      <c r="H26" s="1">
        <v>40402</v>
      </c>
      <c r="I26" s="1">
        <v>0</v>
      </c>
      <c r="J26" s="1">
        <v>0</v>
      </c>
      <c r="K26" s="1">
        <v>0</v>
      </c>
      <c r="L26" s="1" t="s">
        <v>0</v>
      </c>
      <c r="M26" s="1"/>
      <c r="N26" t="s">
        <v>205</v>
      </c>
    </row>
    <row r="27" spans="1:14" ht="105.6" x14ac:dyDescent="0.3">
      <c r="A27" s="1" t="s">
        <v>68</v>
      </c>
      <c r="B27" s="1" t="str">
        <f>HYPERLINK("https://www.larryinfishers.com/2025/03/22/indy-fuel-gain-ground-in-playoff-push-beating-bloomington-5-2/")</f>
        <v>https://www.larryinfishers.com/2025/03/22/indy-fuel-gain-ground-in-playoff-push-beating-bloomington-5-2/</v>
      </c>
      <c r="C27" s="1"/>
      <c r="D27" s="1" t="s">
        <v>6</v>
      </c>
      <c r="E27" s="2">
        <v>45738.915196759262</v>
      </c>
      <c r="F27" s="1" t="s">
        <v>69</v>
      </c>
      <c r="G27" s="1">
        <f t="shared" si="0"/>
        <v>30.703749999999999</v>
      </c>
      <c r="H27" s="1">
        <v>3509</v>
      </c>
      <c r="I27" s="1">
        <v>0</v>
      </c>
      <c r="J27" s="1">
        <v>0</v>
      </c>
      <c r="K27" s="1">
        <v>7</v>
      </c>
      <c r="L27" s="1" t="s">
        <v>0</v>
      </c>
      <c r="M27" s="1"/>
      <c r="N27" t="s">
        <v>206</v>
      </c>
    </row>
    <row r="28" spans="1:14" ht="132" x14ac:dyDescent="0.3">
      <c r="A28" s="1" t="s">
        <v>70</v>
      </c>
      <c r="B28" s="1" t="str">
        <f>HYPERLINK("https://www.oursportscentral.com/services/releases/fuel-set-new-sellout-record-in-win-over-bloomington/n-6203552")</f>
        <v>https://www.oursportscentral.com/services/releases/fuel-set-new-sellout-record-in-win-over-bloomington/n-6203552</v>
      </c>
      <c r="C28" s="1"/>
      <c r="D28" s="1" t="s">
        <v>1</v>
      </c>
      <c r="E28" s="2">
        <v>45738.813888888893</v>
      </c>
      <c r="F28" s="1" t="s">
        <v>71</v>
      </c>
      <c r="G28" s="1">
        <f t="shared" si="0"/>
        <v>353.51749999999998</v>
      </c>
      <c r="H28" s="1">
        <v>40402</v>
      </c>
      <c r="I28" s="1">
        <v>0</v>
      </c>
      <c r="J28" s="1">
        <v>0</v>
      </c>
      <c r="K28" s="1">
        <v>0</v>
      </c>
      <c r="L28" s="1" t="s">
        <v>7</v>
      </c>
      <c r="M28" s="1"/>
      <c r="N28" t="s">
        <v>205</v>
      </c>
    </row>
    <row r="29" spans="1:14" ht="105.6" x14ac:dyDescent="0.3">
      <c r="A29" s="1" t="s">
        <v>72</v>
      </c>
      <c r="B29" s="1" t="str">
        <f>HYPERLINK("https://www.oursportscentral.com/services/releases/bison-win-streak-snapped-in-indy/n-6203499")</f>
        <v>https://www.oursportscentral.com/services/releases/bison-win-streak-snapped-in-indy/n-6203499</v>
      </c>
      <c r="C29" s="1"/>
      <c r="D29" s="1" t="s">
        <v>1</v>
      </c>
      <c r="E29" s="2">
        <v>45738.79791666667</v>
      </c>
      <c r="F29" s="1" t="s">
        <v>73</v>
      </c>
      <c r="G29" s="1">
        <f t="shared" si="0"/>
        <v>353.51749999999998</v>
      </c>
      <c r="H29" s="1">
        <v>40402</v>
      </c>
      <c r="I29" s="1">
        <v>0</v>
      </c>
      <c r="J29" s="1">
        <v>0</v>
      </c>
      <c r="K29" s="1">
        <v>0</v>
      </c>
      <c r="L29" s="1" t="s">
        <v>7</v>
      </c>
      <c r="M29" s="1"/>
      <c r="N29" t="s">
        <v>205</v>
      </c>
    </row>
    <row r="30" spans="1:14" ht="92.4" x14ac:dyDescent="0.3">
      <c r="A30" s="1" t="s">
        <v>74</v>
      </c>
      <c r="B30" s="1" t="str">
        <f>HYPERLINK("https://www.larryinfishers.com/2025/03/21/fuel-pick-up-a-win-at-home-3-1-over-cincinnati/")</f>
        <v>https://www.larryinfishers.com/2025/03/21/fuel-pick-up-a-win-at-home-3-1-over-cincinnati/</v>
      </c>
      <c r="C30" s="1"/>
      <c r="D30" s="1" t="s">
        <v>6</v>
      </c>
      <c r="E30" s="2">
        <v>45737.908414351848</v>
      </c>
      <c r="F30" s="1" t="s">
        <v>75</v>
      </c>
      <c r="G30" s="1">
        <f t="shared" si="0"/>
        <v>30.703749999999999</v>
      </c>
      <c r="H30" s="1">
        <v>3509</v>
      </c>
      <c r="I30" s="1">
        <v>0</v>
      </c>
      <c r="J30" s="1">
        <v>0</v>
      </c>
      <c r="K30" s="1">
        <v>16</v>
      </c>
      <c r="L30" s="1" t="s">
        <v>7</v>
      </c>
      <c r="M30" s="1"/>
      <c r="N30" t="s">
        <v>206</v>
      </c>
    </row>
    <row r="31" spans="1:14" ht="92.4" x14ac:dyDescent="0.3">
      <c r="A31" s="1" t="s">
        <v>76</v>
      </c>
      <c r="B31" s="1" t="str">
        <f>HYPERLINK("https://www.oursportscentral.com/services/releases/fuel-win-with-power-play-success-over-cincy/n-6203187")</f>
        <v>https://www.oursportscentral.com/services/releases/fuel-win-with-power-play-success-over-cincy/n-6203187</v>
      </c>
      <c r="C31" s="1"/>
      <c r="D31" s="1" t="s">
        <v>1</v>
      </c>
      <c r="E31" s="2">
        <v>45737.905555555553</v>
      </c>
      <c r="F31" s="1" t="s">
        <v>77</v>
      </c>
      <c r="G31" s="1">
        <f t="shared" si="0"/>
        <v>353.51749999999998</v>
      </c>
      <c r="H31" s="1">
        <v>40402</v>
      </c>
      <c r="I31" s="1">
        <v>0</v>
      </c>
      <c r="J31" s="1">
        <v>0</v>
      </c>
      <c r="K31" s="1">
        <v>0</v>
      </c>
      <c r="L31" s="1" t="s">
        <v>7</v>
      </c>
      <c r="M31" s="1"/>
      <c r="N31" t="s">
        <v>205</v>
      </c>
    </row>
    <row r="32" spans="1:14" ht="92.4" x14ac:dyDescent="0.3">
      <c r="A32" s="1" t="s">
        <v>78</v>
      </c>
      <c r="B32" s="1" t="str">
        <f>HYPERLINK("https://www.oursportscentral.com/services/releases/cyclones-fall-to-fuel-3-1-on-friday-night/n-6203097")</f>
        <v>https://www.oursportscentral.com/services/releases/cyclones-fall-to-fuel-3-1-on-friday-night/n-6203097</v>
      </c>
      <c r="C32" s="1"/>
      <c r="D32" s="1" t="s">
        <v>1</v>
      </c>
      <c r="E32" s="2">
        <v>45737.8</v>
      </c>
      <c r="F32" s="1" t="s">
        <v>79</v>
      </c>
      <c r="G32" s="1">
        <f t="shared" si="0"/>
        <v>353.51749999999998</v>
      </c>
      <c r="H32" s="1">
        <v>40402</v>
      </c>
      <c r="I32" s="1">
        <v>0</v>
      </c>
      <c r="J32" s="1">
        <v>0</v>
      </c>
      <c r="K32" s="1">
        <v>0</v>
      </c>
      <c r="L32" s="1" t="s">
        <v>0</v>
      </c>
      <c r="M32" s="1"/>
      <c r="N32" t="s">
        <v>205</v>
      </c>
    </row>
    <row r="33" spans="1:14" ht="79.2" x14ac:dyDescent="0.3">
      <c r="A33" s="1" t="s">
        <v>84</v>
      </c>
      <c r="B33" s="1" t="str">
        <f>HYPERLINK("https://insidetherink.com/photos-indy-fuel-vs-cincinnati-cyclones-03-15-2025/")</f>
        <v>https://insidetherink.com/photos-indy-fuel-vs-cincinnati-cyclones-03-15-2025/</v>
      </c>
      <c r="C33" s="1" t="s">
        <v>85</v>
      </c>
      <c r="D33" s="1" t="s">
        <v>28</v>
      </c>
      <c r="E33" s="2">
        <v>45733.5625</v>
      </c>
      <c r="F33" s="1" t="s">
        <v>86</v>
      </c>
      <c r="G33" s="1">
        <f t="shared" si="0"/>
        <v>425.85375000000005</v>
      </c>
      <c r="H33" s="1">
        <v>48669</v>
      </c>
      <c r="I33" s="1">
        <v>0</v>
      </c>
      <c r="J33" s="1">
        <v>0</v>
      </c>
      <c r="K33" s="1">
        <v>26</v>
      </c>
      <c r="L33" s="1" t="s">
        <v>5</v>
      </c>
      <c r="M33" s="1"/>
      <c r="N33" t="s">
        <v>205</v>
      </c>
    </row>
    <row r="34" spans="1:14" ht="105.6" x14ac:dyDescent="0.3">
      <c r="A34" s="1" t="s">
        <v>87</v>
      </c>
      <c r="B34" s="1" t="str">
        <f>HYPERLINK("https://www.larryinfishers.com/2025/03/16/fuel-lose-to-fort-wayne-4-2/")</f>
        <v>https://www.larryinfishers.com/2025/03/16/fuel-lose-to-fort-wayne-4-2/</v>
      </c>
      <c r="C34" s="1"/>
      <c r="D34" s="1" t="s">
        <v>6</v>
      </c>
      <c r="E34" s="2">
        <v>45732.788877314822</v>
      </c>
      <c r="F34" s="1" t="s">
        <v>88</v>
      </c>
      <c r="G34" s="1">
        <f t="shared" si="0"/>
        <v>30.703749999999999</v>
      </c>
      <c r="H34" s="1">
        <v>3509</v>
      </c>
      <c r="I34" s="1">
        <v>0</v>
      </c>
      <c r="J34" s="1">
        <v>0</v>
      </c>
      <c r="K34" s="1">
        <v>1</v>
      </c>
      <c r="L34" s="1" t="s">
        <v>5</v>
      </c>
      <c r="M34" s="1"/>
      <c r="N34" t="s">
        <v>206</v>
      </c>
    </row>
    <row r="35" spans="1:14" ht="105.6" x14ac:dyDescent="0.3">
      <c r="A35" s="1" t="s">
        <v>90</v>
      </c>
      <c r="B35" s="1" t="str">
        <f>HYPERLINK("https://www.oursportscentral.com/services/releases/fuel-fall-to-fort-wayne-on-sunday-afternoon/n-6201449")</f>
        <v>https://www.oursportscentral.com/services/releases/fuel-fall-to-fort-wayne-on-sunday-afternoon/n-6201449</v>
      </c>
      <c r="C35" s="1"/>
      <c r="D35" s="1" t="s">
        <v>1</v>
      </c>
      <c r="E35" s="2">
        <v>45732.696527777778</v>
      </c>
      <c r="F35" s="1" t="s">
        <v>91</v>
      </c>
      <c r="G35" s="1">
        <f t="shared" si="0"/>
        <v>353.51749999999998</v>
      </c>
      <c r="H35" s="1">
        <v>40402</v>
      </c>
      <c r="I35" s="1">
        <v>0</v>
      </c>
      <c r="J35" s="1">
        <v>0</v>
      </c>
      <c r="K35" s="1">
        <v>0</v>
      </c>
      <c r="L35" s="1" t="s">
        <v>5</v>
      </c>
      <c r="M35" s="1"/>
      <c r="N35" t="s">
        <v>205</v>
      </c>
    </row>
    <row r="36" spans="1:14" ht="184.8" x14ac:dyDescent="0.3">
      <c r="A36" s="1" t="s">
        <v>92</v>
      </c>
      <c r="B36" s="1" t="str">
        <f>HYPERLINK("https://www.oursportscentral.com/services/releases/komets-mastery-of-the-fuel-continues-with-a-4-2-win/n-6201439")</f>
        <v>https://www.oursportscentral.com/services/releases/komets-mastery-of-the-fuel-continues-with-a-4-2-win/n-6201439</v>
      </c>
      <c r="C36" s="1"/>
      <c r="D36" s="1" t="s">
        <v>1</v>
      </c>
      <c r="E36" s="2">
        <v>45732.695138888892</v>
      </c>
      <c r="F36" s="1" t="s">
        <v>89</v>
      </c>
      <c r="G36" s="1">
        <f t="shared" si="0"/>
        <v>353.51749999999998</v>
      </c>
      <c r="H36" s="1">
        <v>40402</v>
      </c>
      <c r="I36" s="1">
        <v>0</v>
      </c>
      <c r="J36" s="1">
        <v>0</v>
      </c>
      <c r="K36" s="1">
        <v>0</v>
      </c>
      <c r="L36" s="1" t="s">
        <v>7</v>
      </c>
      <c r="M36" s="1"/>
      <c r="N36" t="s">
        <v>205</v>
      </c>
    </row>
    <row r="37" spans="1:14" ht="184.8" x14ac:dyDescent="0.3">
      <c r="A37" s="1" t="s">
        <v>93</v>
      </c>
      <c r="B37" s="1" t="str">
        <f>HYPERLINK("https://www.keepingupincarmel.com/post/the-in-list-2024-3-17-3-23")</f>
        <v>https://www.keepingupincarmel.com/post/the-in-list-2024-3-17-3-23</v>
      </c>
      <c r="C37" s="1" t="s">
        <v>15</v>
      </c>
      <c r="D37" s="1" t="s">
        <v>16</v>
      </c>
      <c r="E37" s="2">
        <v>45732.660393518519</v>
      </c>
      <c r="F37" s="1" t="s">
        <v>94</v>
      </c>
      <c r="G37" s="1">
        <f t="shared" si="0"/>
        <v>6.0025000000000004</v>
      </c>
      <c r="H37" s="1">
        <v>686</v>
      </c>
      <c r="I37" s="1">
        <v>0</v>
      </c>
      <c r="J37" s="1">
        <v>0</v>
      </c>
      <c r="K37" s="1">
        <v>0</v>
      </c>
      <c r="L37" s="1" t="s">
        <v>0</v>
      </c>
      <c r="M37" s="1"/>
      <c r="N37" t="s">
        <v>206</v>
      </c>
    </row>
    <row r="38" spans="1:14" ht="105.6" x14ac:dyDescent="0.3">
      <c r="A38" s="1" t="s">
        <v>96</v>
      </c>
      <c r="B38" s="1" t="str">
        <f>HYPERLINK("https://sports.yahoo.com/article/fuel-edge-cyclones-hard-fought-013759522.html")</f>
        <v>https://sports.yahoo.com/article/fuel-edge-cyclones-hard-fought-013759522.html</v>
      </c>
      <c r="C38" s="1" t="s">
        <v>45</v>
      </c>
      <c r="D38" s="1" t="s">
        <v>82</v>
      </c>
      <c r="E38" s="2">
        <v>45731.901377314818</v>
      </c>
      <c r="F38" s="1" t="s">
        <v>97</v>
      </c>
      <c r="G38" s="1">
        <f t="shared" si="0"/>
        <v>202758.57874999999</v>
      </c>
      <c r="H38" s="1">
        <v>23172409</v>
      </c>
      <c r="I38" s="1">
        <v>0</v>
      </c>
      <c r="J38" s="1">
        <v>0</v>
      </c>
      <c r="K38" s="1">
        <v>0</v>
      </c>
      <c r="L38" s="1" t="s">
        <v>5</v>
      </c>
      <c r="M38" s="1"/>
      <c r="N38" t="s">
        <v>205</v>
      </c>
    </row>
    <row r="39" spans="1:14" ht="105.6" x14ac:dyDescent="0.3">
      <c r="A39" s="1" t="s">
        <v>96</v>
      </c>
      <c r="B39" s="1" t="str">
        <f>HYPERLINK("https://ca.sports.yahoo.com/news/fuel-edge-cyclones-hard-fought-013759522.html")</f>
        <v>https://ca.sports.yahoo.com/news/fuel-edge-cyclones-hard-fought-013759522.html</v>
      </c>
      <c r="C39" s="1" t="s">
        <v>45</v>
      </c>
      <c r="D39" s="1" t="s">
        <v>46</v>
      </c>
      <c r="E39" s="2">
        <v>45731.901377314818</v>
      </c>
      <c r="F39" s="1" t="s">
        <v>97</v>
      </c>
      <c r="G39" s="1">
        <f t="shared" si="0"/>
        <v>5428.6137499999995</v>
      </c>
      <c r="H39" s="1">
        <v>620413</v>
      </c>
      <c r="I39" s="1">
        <v>0</v>
      </c>
      <c r="J39" s="1">
        <v>0</v>
      </c>
      <c r="K39" s="1">
        <v>0</v>
      </c>
      <c r="L39" s="1" t="s">
        <v>5</v>
      </c>
      <c r="M39" s="1"/>
      <c r="N39" t="s">
        <v>207</v>
      </c>
    </row>
    <row r="40" spans="1:14" ht="118.8" x14ac:dyDescent="0.3">
      <c r="A40" s="1" t="s">
        <v>98</v>
      </c>
      <c r="B40" s="1" t="str">
        <f>HYPERLINK("https://www.larryinfishers.com/2025/03/15/fuel-edge-cyclones-2-1-in-tight-defensive-battle/")</f>
        <v>https://www.larryinfishers.com/2025/03/15/fuel-edge-cyclones-2-1-in-tight-defensive-battle/</v>
      </c>
      <c r="C40" s="1"/>
      <c r="D40" s="1" t="s">
        <v>6</v>
      </c>
      <c r="E40" s="2">
        <v>45731.871111111112</v>
      </c>
      <c r="F40" s="1" t="s">
        <v>99</v>
      </c>
      <c r="G40" s="1">
        <f t="shared" si="0"/>
        <v>30.703749999999999</v>
      </c>
      <c r="H40" s="1">
        <v>3509</v>
      </c>
      <c r="I40" s="1">
        <v>0</v>
      </c>
      <c r="J40" s="1">
        <v>0</v>
      </c>
      <c r="K40" s="1">
        <v>26</v>
      </c>
      <c r="L40" s="1" t="s">
        <v>5</v>
      </c>
      <c r="M40" s="1"/>
      <c r="N40" t="s">
        <v>206</v>
      </c>
    </row>
    <row r="41" spans="1:14" ht="105.6" x14ac:dyDescent="0.3">
      <c r="A41" s="1" t="s">
        <v>100</v>
      </c>
      <c r="B41" s="1" t="str">
        <f>HYPERLINK("https://www.oursportscentral.com/services/releases/fuel-claim-2-1-victory-in-cincinnati-on-saturday/n-6200997")</f>
        <v>https://www.oursportscentral.com/services/releases/fuel-claim-2-1-victory-in-cincinnati-on-saturday/n-6200997</v>
      </c>
      <c r="C41" s="1"/>
      <c r="D41" s="1" t="s">
        <v>1</v>
      </c>
      <c r="E41" s="2">
        <v>45731.729166666657</v>
      </c>
      <c r="F41" s="1" t="s">
        <v>101</v>
      </c>
      <c r="G41" s="1">
        <f t="shared" si="0"/>
        <v>353.51749999999998</v>
      </c>
      <c r="H41" s="1">
        <v>40402</v>
      </c>
      <c r="I41" s="1">
        <v>0</v>
      </c>
      <c r="J41" s="1">
        <v>0</v>
      </c>
      <c r="K41" s="1">
        <v>0</v>
      </c>
      <c r="L41" s="1" t="s">
        <v>5</v>
      </c>
      <c r="M41" s="1"/>
      <c r="N41" t="s">
        <v>205</v>
      </c>
    </row>
    <row r="42" spans="1:14" ht="118.8" x14ac:dyDescent="0.3">
      <c r="A42" s="1" t="s">
        <v>102</v>
      </c>
      <c r="B42" s="1" t="str">
        <f>HYPERLINK("https://www.oursportscentral.com/services/releases/clones-fall-to-the-fuel-2-1/n-6200990")</f>
        <v>https://www.oursportscentral.com/services/releases/clones-fall-to-the-fuel-2-1/n-6200990</v>
      </c>
      <c r="C42" s="1"/>
      <c r="D42" s="1" t="s">
        <v>1</v>
      </c>
      <c r="E42" s="2">
        <v>45731.725694444453</v>
      </c>
      <c r="F42" s="1" t="s">
        <v>103</v>
      </c>
      <c r="G42" s="1">
        <f t="shared" si="0"/>
        <v>353.51749999999998</v>
      </c>
      <c r="H42" s="1">
        <v>40402</v>
      </c>
      <c r="I42" s="1">
        <v>0</v>
      </c>
      <c r="J42" s="1">
        <v>0</v>
      </c>
      <c r="K42" s="1">
        <v>0</v>
      </c>
      <c r="L42" s="1" t="s">
        <v>0</v>
      </c>
      <c r="M42" s="1"/>
      <c r="N42" t="s">
        <v>205</v>
      </c>
    </row>
    <row r="43" spans="1:14" ht="105.6" x14ac:dyDescent="0.3">
      <c r="A43" s="1" t="s">
        <v>105</v>
      </c>
      <c r="B43" s="1" t="str">
        <f>HYPERLINK("https://cycloneshockey.com/news/2025/03/clones-fall-to-the-fuel-2-1")</f>
        <v>https://cycloneshockey.com/news/2025/03/clones-fall-to-the-fuel-2-1</v>
      </c>
      <c r="C43" s="1"/>
      <c r="D43" s="1" t="s">
        <v>95</v>
      </c>
      <c r="E43" s="2">
        <v>45731</v>
      </c>
      <c r="F43" s="1" t="s">
        <v>106</v>
      </c>
      <c r="G43" s="1">
        <f t="shared" si="0"/>
        <v>395.24625000000003</v>
      </c>
      <c r="H43" s="1">
        <v>45171</v>
      </c>
      <c r="I43" s="1">
        <v>0</v>
      </c>
      <c r="J43" s="1">
        <v>0</v>
      </c>
      <c r="K43" s="1">
        <v>0</v>
      </c>
      <c r="L43" s="1" t="s">
        <v>0</v>
      </c>
      <c r="M43" s="1"/>
      <c r="N43" t="s">
        <v>205</v>
      </c>
    </row>
    <row r="44" spans="1:14" ht="79.2" x14ac:dyDescent="0.3">
      <c r="A44" s="1" t="s">
        <v>107</v>
      </c>
      <c r="B44" s="1" t="str">
        <f>HYPERLINK("https://www.larryinfishers.com/2025/03/14/kalamazoo-tops-indy-fuel-6-2/")</f>
        <v>https://www.larryinfishers.com/2025/03/14/kalamazoo-tops-indy-fuel-6-2/</v>
      </c>
      <c r="C44" s="1"/>
      <c r="D44" s="1" t="s">
        <v>6</v>
      </c>
      <c r="E44" s="2">
        <v>45730.912210648137</v>
      </c>
      <c r="F44" s="1" t="s">
        <v>108</v>
      </c>
      <c r="G44" s="1">
        <f t="shared" si="0"/>
        <v>30.703749999999999</v>
      </c>
      <c r="H44" s="1">
        <v>3509</v>
      </c>
      <c r="I44" s="1">
        <v>0</v>
      </c>
      <c r="J44" s="1">
        <v>0</v>
      </c>
      <c r="K44" s="1">
        <v>1</v>
      </c>
      <c r="L44" s="1" t="s">
        <v>5</v>
      </c>
      <c r="M44" s="1"/>
      <c r="N44" t="s">
        <v>206</v>
      </c>
    </row>
    <row r="45" spans="1:14" ht="92.4" x14ac:dyDescent="0.3">
      <c r="A45" s="1" t="s">
        <v>109</v>
      </c>
      <c r="B45" s="1" t="str">
        <f>HYPERLINK("https://www.oursportscentral.com/services/releases/fuel-fall-to-kalamazoo-on-friday-night/n-6200737")</f>
        <v>https://www.oursportscentral.com/services/releases/fuel-fall-to-kalamazoo-on-friday-night/n-6200737</v>
      </c>
      <c r="C45" s="1"/>
      <c r="D45" s="1" t="s">
        <v>1</v>
      </c>
      <c r="E45" s="2">
        <v>45730.847222222219</v>
      </c>
      <c r="F45" s="1" t="s">
        <v>110</v>
      </c>
      <c r="G45" s="1">
        <f t="shared" si="0"/>
        <v>353.51749999999998</v>
      </c>
      <c r="H45" s="1">
        <v>40402</v>
      </c>
      <c r="I45" s="1">
        <v>0</v>
      </c>
      <c r="J45" s="1">
        <v>0</v>
      </c>
      <c r="K45" s="1">
        <v>0</v>
      </c>
      <c r="L45" s="1" t="s">
        <v>5</v>
      </c>
      <c r="M45" s="1"/>
      <c r="N45" t="s">
        <v>205</v>
      </c>
    </row>
    <row r="46" spans="1:14" ht="132" x14ac:dyDescent="0.3">
      <c r="A46" s="1" t="s">
        <v>111</v>
      </c>
      <c r="B46" s="1" t="str">
        <f>HYPERLINK("https://www.oursportscentral.com/services/releases/k-wings-fuel-up-in-indy-friday/n-6200661")</f>
        <v>https://www.oursportscentral.com/services/releases/k-wings-fuel-up-in-indy-friday/n-6200661</v>
      </c>
      <c r="C46" s="1"/>
      <c r="D46" s="1" t="s">
        <v>1</v>
      </c>
      <c r="E46" s="2">
        <v>45730.80972222222</v>
      </c>
      <c r="F46" s="1" t="s">
        <v>112</v>
      </c>
      <c r="G46" s="1">
        <f t="shared" si="0"/>
        <v>353.51749999999998</v>
      </c>
      <c r="H46" s="1">
        <v>40402</v>
      </c>
      <c r="I46" s="1">
        <v>0</v>
      </c>
      <c r="J46" s="1">
        <v>0</v>
      </c>
      <c r="K46" s="1">
        <v>0</v>
      </c>
      <c r="L46" s="1" t="s">
        <v>0</v>
      </c>
      <c r="M46" s="1"/>
      <c r="N46" t="s">
        <v>205</v>
      </c>
    </row>
    <row r="47" spans="1:14" ht="184.8" x14ac:dyDescent="0.3">
      <c r="A47" s="1" t="s">
        <v>113</v>
      </c>
      <c r="B47" s="1" t="str">
        <f>HYPERLINK("https://bvmsports.com/2025/03/12/usac-night-with-the-indy-fuel-fires-off-this-friday-march-14/")</f>
        <v>https://bvmsports.com/2025/03/12/usac-night-with-the-indy-fuel-fires-off-this-friday-march-14/</v>
      </c>
      <c r="C47" s="1"/>
      <c r="D47" s="1" t="s">
        <v>114</v>
      </c>
      <c r="E47" s="2">
        <v>45728.540763888886</v>
      </c>
      <c r="F47" s="1" t="s">
        <v>115</v>
      </c>
      <c r="G47" s="1">
        <f t="shared" si="0"/>
        <v>18835.477500000001</v>
      </c>
      <c r="H47" s="1">
        <v>2152626</v>
      </c>
      <c r="I47" s="1">
        <v>0</v>
      </c>
      <c r="J47" s="1">
        <v>0</v>
      </c>
      <c r="K47" s="1">
        <v>0</v>
      </c>
      <c r="L47" s="1" t="s">
        <v>7</v>
      </c>
      <c r="M47" s="1"/>
      <c r="N47" t="s">
        <v>205</v>
      </c>
    </row>
    <row r="48" spans="1:14" ht="132" x14ac:dyDescent="0.3">
      <c r="A48" s="1" t="s">
        <v>113</v>
      </c>
      <c r="B48" s="1" t="str">
        <f>HYPERLINK("https://speedwaydigest.com/index.php/news/racing-news/427262-usac-night-with-the-indy-fuel-fires-off-this-friday-march-14/")</f>
        <v>https://speedwaydigest.com/index.php/news/racing-news/427262-usac-night-with-the-indy-fuel-fires-off-this-friday-march-14/</v>
      </c>
      <c r="C48" s="1"/>
      <c r="D48" s="1" t="s">
        <v>116</v>
      </c>
      <c r="E48" s="2">
        <v>45728.504467592589</v>
      </c>
      <c r="F48" s="1" t="s">
        <v>117</v>
      </c>
      <c r="G48" s="1">
        <f t="shared" si="0"/>
        <v>277.23500000000001</v>
      </c>
      <c r="H48" s="1">
        <v>31684</v>
      </c>
      <c r="I48" s="1">
        <v>0</v>
      </c>
      <c r="J48" s="1">
        <v>0</v>
      </c>
      <c r="K48" s="1">
        <v>0</v>
      </c>
      <c r="L48" s="1" t="s">
        <v>7</v>
      </c>
      <c r="M48" s="1"/>
      <c r="N48" t="s">
        <v>206</v>
      </c>
    </row>
    <row r="49" spans="1:14" ht="105.6" x14ac:dyDescent="0.3">
      <c r="A49" s="1" t="s">
        <v>119</v>
      </c>
      <c r="B49" s="1" t="str">
        <f>HYPERLINK("https://www.larryinfishers.com/2025/03/09/fuel-lose-another-close-one-this-time-to-wichita-5-4/")</f>
        <v>https://www.larryinfishers.com/2025/03/09/fuel-lose-another-close-one-this-time-to-wichita-5-4/</v>
      </c>
      <c r="C49" s="1"/>
      <c r="D49" s="1" t="s">
        <v>6</v>
      </c>
      <c r="E49" s="2">
        <v>45725.785983796297</v>
      </c>
      <c r="F49" s="1" t="s">
        <v>120</v>
      </c>
      <c r="G49" s="1">
        <f t="shared" si="0"/>
        <v>30.703749999999999</v>
      </c>
      <c r="H49" s="1">
        <v>3509</v>
      </c>
      <c r="I49" s="1">
        <v>0</v>
      </c>
      <c r="J49" s="1">
        <v>0</v>
      </c>
      <c r="K49" s="1">
        <v>1</v>
      </c>
      <c r="L49" s="1" t="s">
        <v>5</v>
      </c>
      <c r="M49" s="1"/>
      <c r="N49" t="s">
        <v>206</v>
      </c>
    </row>
    <row r="50" spans="1:14" ht="382.8" x14ac:dyDescent="0.3">
      <c r="A50" s="1" t="s">
        <v>121</v>
      </c>
      <c r="B50" s="1" t="str">
        <f>HYPERLINK("https://www.oursportscentral.com/services/releases/thunder-snaps-skid-with-win-at-indy/n-6199020")</f>
        <v>https://www.oursportscentral.com/services/releases/thunder-snaps-skid-with-win-at-indy/n-6199020</v>
      </c>
      <c r="C50" s="1"/>
      <c r="D50" s="1" t="s">
        <v>1</v>
      </c>
      <c r="E50" s="2">
        <v>45725.75277777778</v>
      </c>
      <c r="F50" s="1" t="s">
        <v>118</v>
      </c>
      <c r="G50" s="1">
        <f t="shared" si="0"/>
        <v>353.51749999999998</v>
      </c>
      <c r="H50" s="1">
        <v>40402</v>
      </c>
      <c r="I50" s="1">
        <v>0</v>
      </c>
      <c r="J50" s="1">
        <v>0</v>
      </c>
      <c r="K50" s="1">
        <v>0</v>
      </c>
      <c r="L50" s="1" t="s">
        <v>7</v>
      </c>
      <c r="M50" s="1"/>
      <c r="N50" t="s">
        <v>205</v>
      </c>
    </row>
    <row r="51" spans="1:14" ht="92.4" x14ac:dyDescent="0.3">
      <c r="A51" s="1" t="s">
        <v>122</v>
      </c>
      <c r="B51" s="1" t="str">
        <f>HYPERLINK("https://www.oursportscentral.com/services/releases/fuel-sell-out-sunday-fall-to-wichita-5-4/n-6198985")</f>
        <v>https://www.oursportscentral.com/services/releases/fuel-sell-out-sunday-fall-to-wichita-5-4/n-6198985</v>
      </c>
      <c r="C51" s="1"/>
      <c r="D51" s="1" t="s">
        <v>1</v>
      </c>
      <c r="E51" s="2">
        <v>45725.708333333343</v>
      </c>
      <c r="F51" s="1" t="s">
        <v>123</v>
      </c>
      <c r="G51" s="1">
        <f t="shared" si="0"/>
        <v>353.51749999999998</v>
      </c>
      <c r="H51" s="1">
        <v>40402</v>
      </c>
      <c r="I51" s="1">
        <v>0</v>
      </c>
      <c r="J51" s="1">
        <v>0</v>
      </c>
      <c r="K51" s="1">
        <v>0</v>
      </c>
      <c r="L51" s="1" t="s">
        <v>5</v>
      </c>
      <c r="M51" s="1"/>
      <c r="N51" t="s">
        <v>205</v>
      </c>
    </row>
    <row r="52" spans="1:14" ht="132" x14ac:dyDescent="0.3">
      <c r="A52" s="1" t="s">
        <v>125</v>
      </c>
      <c r="B52" s="1" t="str">
        <f>HYPERLINK("https://www.keepingupincarmel.com/post/the-in-list-2024-3-10-3-16")</f>
        <v>https://www.keepingupincarmel.com/post/the-in-list-2024-3-10-3-16</v>
      </c>
      <c r="C52" s="1" t="s">
        <v>15</v>
      </c>
      <c r="D52" s="1" t="s">
        <v>16</v>
      </c>
      <c r="E52" s="2">
        <v>45725.637638888889</v>
      </c>
      <c r="F52" s="1" t="s">
        <v>126</v>
      </c>
      <c r="G52" s="1">
        <f t="shared" si="0"/>
        <v>6.0025000000000004</v>
      </c>
      <c r="H52" s="1">
        <v>686</v>
      </c>
      <c r="I52" s="1">
        <v>0</v>
      </c>
      <c r="J52" s="1">
        <v>0</v>
      </c>
      <c r="K52" s="1">
        <v>0</v>
      </c>
      <c r="L52" s="1" t="s">
        <v>0</v>
      </c>
      <c r="M52" s="1"/>
      <c r="N52" t="s">
        <v>206</v>
      </c>
    </row>
    <row r="53" spans="1:14" ht="369.6" x14ac:dyDescent="0.3">
      <c r="A53" s="1" t="s">
        <v>127</v>
      </c>
      <c r="B53" s="1" t="str">
        <f>HYPERLINK("https://www.oursportscentral.com/services/releases/road-trip-ends-this-afternoon-at-indy/n-6198878")</f>
        <v>https://www.oursportscentral.com/services/releases/road-trip-ends-this-afternoon-at-indy/n-6198878</v>
      </c>
      <c r="C53" s="1"/>
      <c r="D53" s="1" t="s">
        <v>1</v>
      </c>
      <c r="E53" s="2">
        <v>45725.338888888888</v>
      </c>
      <c r="F53" s="1" t="s">
        <v>124</v>
      </c>
      <c r="G53" s="1">
        <f t="shared" si="0"/>
        <v>353.51749999999998</v>
      </c>
      <c r="H53" s="1">
        <v>40402</v>
      </c>
      <c r="I53" s="1">
        <v>0</v>
      </c>
      <c r="J53" s="1">
        <v>0</v>
      </c>
      <c r="K53" s="1">
        <v>0</v>
      </c>
      <c r="L53" s="1" t="s">
        <v>5</v>
      </c>
      <c r="M53" s="1"/>
      <c r="N53" t="s">
        <v>205</v>
      </c>
    </row>
    <row r="54" spans="1:14" ht="105.6" x14ac:dyDescent="0.3">
      <c r="A54" s="1" t="s">
        <v>128</v>
      </c>
      <c r="B54" s="1" t="str">
        <f>HYPERLINK("https://www.therinklive.com/sports/pro/single-win-for-indy-fuel-over-wichita-thunder-20250309015541")</f>
        <v>https://www.therinklive.com/sports/pro/single-win-for-indy-fuel-over-wichita-thunder-20250309015541</v>
      </c>
      <c r="C54" s="1"/>
      <c r="D54" s="1" t="s">
        <v>12</v>
      </c>
      <c r="E54" s="2">
        <v>45725.288680555554</v>
      </c>
      <c r="F54" s="1" t="s">
        <v>129</v>
      </c>
      <c r="G54" s="1">
        <f t="shared" si="0"/>
        <v>146.47499999999999</v>
      </c>
      <c r="H54" s="1">
        <v>16740</v>
      </c>
      <c r="I54" s="1">
        <v>0</v>
      </c>
      <c r="J54" s="1">
        <v>0</v>
      </c>
      <c r="K54" s="1">
        <v>0</v>
      </c>
      <c r="L54" s="1" t="s">
        <v>7</v>
      </c>
      <c r="M54" s="1"/>
      <c r="N54" t="s">
        <v>205</v>
      </c>
    </row>
    <row r="55" spans="1:14" ht="118.8" x14ac:dyDescent="0.3">
      <c r="A55" s="1" t="s">
        <v>130</v>
      </c>
      <c r="B55" s="1" t="str">
        <f>HYPERLINK("https://www.oursportscentral.com/services/releases/fuel-defeats-thunder-in-front-of-sold-out-crowd-on-saturday/n-6198800")</f>
        <v>https://www.oursportscentral.com/services/releases/fuel-defeats-thunder-in-front-of-sold-out-crowd-on-saturday/n-6198800</v>
      </c>
      <c r="C55" s="1"/>
      <c r="D55" s="1" t="s">
        <v>1</v>
      </c>
      <c r="E55" s="2">
        <v>45725.127083333333</v>
      </c>
      <c r="F55" s="1" t="s">
        <v>131</v>
      </c>
      <c r="G55" s="1">
        <f t="shared" si="0"/>
        <v>353.51749999999998</v>
      </c>
      <c r="H55" s="1">
        <v>40402</v>
      </c>
      <c r="I55" s="1">
        <v>0</v>
      </c>
      <c r="J55" s="1">
        <v>0</v>
      </c>
      <c r="K55" s="1">
        <v>0</v>
      </c>
      <c r="L55" s="1" t="s">
        <v>5</v>
      </c>
      <c r="M55" s="1"/>
      <c r="N55" t="s">
        <v>205</v>
      </c>
    </row>
    <row r="56" spans="1:14" ht="132" x14ac:dyDescent="0.3">
      <c r="A56" s="1" t="s">
        <v>132</v>
      </c>
      <c r="B56" s="1" t="str">
        <f>HYPERLINK("https://www.larryinfishers.com/2025/03/08/fuel-get-important-win-over-wichita-thunder-4-3/")</f>
        <v>https://www.larryinfishers.com/2025/03/08/fuel-get-important-win-over-wichita-thunder-4-3/</v>
      </c>
      <c r="C56" s="1"/>
      <c r="D56" s="1" t="s">
        <v>6</v>
      </c>
      <c r="E56" s="2">
        <v>45724.910601851851</v>
      </c>
      <c r="F56" s="1" t="s">
        <v>133</v>
      </c>
      <c r="G56" s="1">
        <f t="shared" si="0"/>
        <v>30.703749999999999</v>
      </c>
      <c r="H56" s="1">
        <v>3509</v>
      </c>
      <c r="I56" s="1">
        <v>0</v>
      </c>
      <c r="J56" s="1">
        <v>0</v>
      </c>
      <c r="K56" s="1">
        <v>1</v>
      </c>
      <c r="L56" s="1" t="s">
        <v>7</v>
      </c>
      <c r="M56" s="1"/>
      <c r="N56" t="s">
        <v>206</v>
      </c>
    </row>
    <row r="57" spans="1:14" ht="330" x14ac:dyDescent="0.3">
      <c r="A57" s="1" t="s">
        <v>135</v>
      </c>
      <c r="B57" s="1" t="str">
        <f>HYPERLINK("https://www.oursportscentral.com/services/releases/thunder-edged-on-saturday-night-vs-fuel/n-6198719")</f>
        <v>https://www.oursportscentral.com/services/releases/thunder-edged-on-saturday-night-vs-fuel/n-6198719</v>
      </c>
      <c r="C57" s="1"/>
      <c r="D57" s="1" t="s">
        <v>1</v>
      </c>
      <c r="E57" s="2">
        <v>45724.859027777777</v>
      </c>
      <c r="F57" s="1" t="s">
        <v>134</v>
      </c>
      <c r="G57" s="1">
        <f t="shared" si="0"/>
        <v>353.51749999999998</v>
      </c>
      <c r="H57" s="1">
        <v>40402</v>
      </c>
      <c r="I57" s="1">
        <v>0</v>
      </c>
      <c r="J57" s="1">
        <v>0</v>
      </c>
      <c r="K57" s="1">
        <v>0</v>
      </c>
      <c r="L57" s="1" t="s">
        <v>5</v>
      </c>
      <c r="M57" s="1"/>
      <c r="N57" t="s">
        <v>205</v>
      </c>
    </row>
    <row r="58" spans="1:14" ht="330" x14ac:dyDescent="0.3">
      <c r="A58" s="1" t="s">
        <v>136</v>
      </c>
      <c r="B58" s="1" t="str">
        <f>HYPERLINK("https://www.oursportscentral.com/services/releases/wichita-looks-to-get-back-on-track-tonight-at-indy/n-6198446")</f>
        <v>https://www.oursportscentral.com/services/releases/wichita-looks-to-get-back-on-track-tonight-at-indy/n-6198446</v>
      </c>
      <c r="C58" s="1"/>
      <c r="D58" s="1" t="s">
        <v>1</v>
      </c>
      <c r="E58" s="2">
        <v>45724.552083333343</v>
      </c>
      <c r="F58" s="1" t="s">
        <v>134</v>
      </c>
      <c r="G58" s="1">
        <f t="shared" si="0"/>
        <v>353.51749999999998</v>
      </c>
      <c r="H58" s="1">
        <v>40402</v>
      </c>
      <c r="I58" s="1">
        <v>0</v>
      </c>
      <c r="J58" s="1">
        <v>0</v>
      </c>
      <c r="K58" s="1">
        <v>0</v>
      </c>
      <c r="L58" s="1" t="s">
        <v>0</v>
      </c>
      <c r="M58" s="1"/>
      <c r="N58" t="s">
        <v>205</v>
      </c>
    </row>
    <row r="59" spans="1:14" ht="118.8" x14ac:dyDescent="0.3">
      <c r="A59" s="1" t="s">
        <v>137</v>
      </c>
      <c r="B59" s="1" t="str">
        <f>HYPERLINK("https://www.therinklive.com/sports/pro/fort-wayne-komets-beat-indy-fuel-in-shootout-20250308004641")</f>
        <v>https://www.therinklive.com/sports/pro/fort-wayne-komets-beat-indy-fuel-in-shootout-20250308004641</v>
      </c>
      <c r="C59" s="1"/>
      <c r="D59" s="1" t="s">
        <v>12</v>
      </c>
      <c r="E59" s="2">
        <v>45724.240763888891</v>
      </c>
      <c r="F59" s="1" t="s">
        <v>138</v>
      </c>
      <c r="G59" s="1">
        <f t="shared" si="0"/>
        <v>146.47499999999999</v>
      </c>
      <c r="H59" s="1">
        <v>16740</v>
      </c>
      <c r="I59" s="1">
        <v>0</v>
      </c>
      <c r="J59" s="1">
        <v>0</v>
      </c>
      <c r="K59" s="1">
        <v>0</v>
      </c>
      <c r="L59" s="1" t="s">
        <v>0</v>
      </c>
      <c r="M59" s="1"/>
      <c r="N59" t="s">
        <v>205</v>
      </c>
    </row>
    <row r="60" spans="1:14" ht="105.6" x14ac:dyDescent="0.3">
      <c r="A60" s="1" t="s">
        <v>139</v>
      </c>
      <c r="B60" s="1" t="str">
        <f>HYPERLINK("https://www.oursportscentral.com/services/releases/fuel-earn-point-in-shootout-thriller-with-fort-wayne/n-6198345")</f>
        <v>https://www.oursportscentral.com/services/releases/fuel-earn-point-in-shootout-thriller-with-fort-wayne/n-6198345</v>
      </c>
      <c r="C60" s="1"/>
      <c r="D60" s="1" t="s">
        <v>1</v>
      </c>
      <c r="E60" s="2">
        <v>45724.054861111108</v>
      </c>
      <c r="F60" s="1" t="s">
        <v>140</v>
      </c>
      <c r="G60" s="1">
        <f t="shared" si="0"/>
        <v>353.51749999999998</v>
      </c>
      <c r="H60" s="1">
        <v>40402</v>
      </c>
      <c r="I60" s="1">
        <v>0</v>
      </c>
      <c r="J60" s="1">
        <v>0</v>
      </c>
      <c r="K60" s="1">
        <v>0</v>
      </c>
      <c r="L60" s="1" t="s">
        <v>0</v>
      </c>
      <c r="M60" s="1"/>
      <c r="N60" t="s">
        <v>205</v>
      </c>
    </row>
    <row r="61" spans="1:14" ht="66" x14ac:dyDescent="0.3">
      <c r="A61" s="1" t="s">
        <v>141</v>
      </c>
      <c r="B61" s="1" t="str">
        <f>HYPERLINK("https://www.wane.com/sports/komets/komets-best-indy-fuel-in-shootout-win/")</f>
        <v>https://www.wane.com/sports/komets/komets-best-indy-fuel-in-shootout-win/</v>
      </c>
      <c r="C61" s="1" t="s">
        <v>104</v>
      </c>
      <c r="D61" s="1" t="s">
        <v>10</v>
      </c>
      <c r="E61" s="2">
        <v>45724.000243055547</v>
      </c>
      <c r="F61" s="1" t="s">
        <v>142</v>
      </c>
      <c r="G61" s="1">
        <f t="shared" si="0"/>
        <v>4658.1062499999998</v>
      </c>
      <c r="H61" s="1">
        <v>532355</v>
      </c>
      <c r="I61" s="1">
        <v>0</v>
      </c>
      <c r="J61" s="1">
        <v>0</v>
      </c>
      <c r="K61" s="1">
        <v>0</v>
      </c>
      <c r="L61" s="1" t="s">
        <v>7</v>
      </c>
      <c r="M61" s="1"/>
      <c r="N61" t="s">
        <v>206</v>
      </c>
    </row>
    <row r="62" spans="1:14" ht="92.4" x14ac:dyDescent="0.3">
      <c r="A62" s="1" t="s">
        <v>143</v>
      </c>
      <c r="B62" s="1" t="str">
        <f>HYPERLINK("https://www.larryinfishers.com/2025/03/07/fuel-lose-shootout-nail-biter-2-1/")</f>
        <v>https://www.larryinfishers.com/2025/03/07/fuel-lose-shootout-nail-biter-2-1/</v>
      </c>
      <c r="C62" s="1"/>
      <c r="D62" s="1" t="s">
        <v>6</v>
      </c>
      <c r="E62" s="2">
        <v>45723.931828703702</v>
      </c>
      <c r="F62" s="1" t="s">
        <v>144</v>
      </c>
      <c r="G62" s="1">
        <f t="shared" si="0"/>
        <v>30.703749999999999</v>
      </c>
      <c r="H62" s="1">
        <v>3509</v>
      </c>
      <c r="I62" s="1">
        <v>0</v>
      </c>
      <c r="J62" s="1">
        <v>0</v>
      </c>
      <c r="K62" s="1">
        <v>0</v>
      </c>
      <c r="L62" s="1" t="s">
        <v>5</v>
      </c>
      <c r="M62" s="1"/>
      <c r="N62" t="s">
        <v>206</v>
      </c>
    </row>
    <row r="63" spans="1:14" ht="198" x14ac:dyDescent="0.3">
      <c r="A63" s="1" t="s">
        <v>145</v>
      </c>
      <c r="B63" s="1" t="str">
        <f>HYPERLINK("https://www.axios.com/local/indianapolis/2025/03/07/indianapolis-weekend-events-pro-wrestling-indy-fuel-art")</f>
        <v>https://www.axios.com/local/indianapolis/2025/03/07/indianapolis-weekend-events-pro-wrestling-indy-fuel-art</v>
      </c>
      <c r="C63" s="1" t="s">
        <v>80</v>
      </c>
      <c r="D63" s="1" t="s">
        <v>81</v>
      </c>
      <c r="E63" s="2">
        <v>45723.267731481479</v>
      </c>
      <c r="F63" s="1" t="s">
        <v>146</v>
      </c>
      <c r="G63" s="1">
        <f t="shared" si="0"/>
        <v>126441.72624999999</v>
      </c>
      <c r="H63" s="1">
        <v>14450483</v>
      </c>
      <c r="I63" s="1">
        <v>0</v>
      </c>
      <c r="J63" s="1">
        <v>0</v>
      </c>
      <c r="K63" s="1">
        <v>0</v>
      </c>
      <c r="L63" s="1" t="s">
        <v>7</v>
      </c>
      <c r="M63" s="1"/>
      <c r="N63" t="s">
        <v>206</v>
      </c>
    </row>
    <row r="64" spans="1:14" ht="118.8" x14ac:dyDescent="0.3">
      <c r="A64" s="1" t="s">
        <v>147</v>
      </c>
      <c r="B64" s="1" t="str">
        <f>HYPERLINK("https://www.oursportscentral.com/services/releases/solar-bears-trade-forward-jarrett-lee-to-indy-for-future-considerations/n-6197743")</f>
        <v>https://www.oursportscentral.com/services/releases/solar-bears-trade-forward-jarrett-lee-to-indy-for-future-considerations/n-6197743</v>
      </c>
      <c r="C64" s="1"/>
      <c r="D64" s="1" t="s">
        <v>1</v>
      </c>
      <c r="E64" s="2">
        <v>45722.55</v>
      </c>
      <c r="F64" s="1" t="s">
        <v>148</v>
      </c>
      <c r="G64" s="1">
        <f t="shared" si="0"/>
        <v>353.51749999999998</v>
      </c>
      <c r="H64" s="1">
        <v>40402</v>
      </c>
      <c r="I64" s="1">
        <v>0</v>
      </c>
      <c r="J64" s="1">
        <v>0</v>
      </c>
      <c r="K64" s="1">
        <v>0</v>
      </c>
      <c r="L64" s="1" t="s">
        <v>0</v>
      </c>
      <c r="M64" s="1"/>
      <c r="N64" t="s">
        <v>205</v>
      </c>
    </row>
    <row r="65" spans="1:14" ht="92.4" x14ac:dyDescent="0.3">
      <c r="A65" s="1" t="s">
        <v>149</v>
      </c>
      <c r="B65" s="1" t="str">
        <f>HYPERLINK("https://www.youarecurrent.com/2025/03/04/noblesville-resident-grows-bff-indy-community-for-women/")</f>
        <v>https://www.youarecurrent.com/2025/03/04/noblesville-resident-grows-bff-indy-community-for-women/</v>
      </c>
      <c r="C65" s="1" t="s">
        <v>150</v>
      </c>
      <c r="D65" s="1" t="s">
        <v>83</v>
      </c>
      <c r="E65" s="2">
        <v>45720.624085648153</v>
      </c>
      <c r="F65" s="1" t="s">
        <v>151</v>
      </c>
      <c r="G65" s="1">
        <f t="shared" si="0"/>
        <v>371.91874999999999</v>
      </c>
      <c r="H65" s="1">
        <v>42505</v>
      </c>
      <c r="I65" s="1">
        <v>0</v>
      </c>
      <c r="J65" s="1">
        <v>0</v>
      </c>
      <c r="K65" s="1">
        <v>36</v>
      </c>
      <c r="L65" s="1" t="s">
        <v>7</v>
      </c>
      <c r="M65" s="1"/>
      <c r="N65" t="s">
        <v>206</v>
      </c>
    </row>
    <row r="66" spans="1:14" ht="105.6" x14ac:dyDescent="0.3">
      <c r="A66" s="1" t="s">
        <v>152</v>
      </c>
      <c r="B66" s="1" t="str">
        <f>HYPERLINK("https://bvmsports.com/2025/03/04/sam-rhodes-signed-by-echls-indy-fuel/")</f>
        <v>https://bvmsports.com/2025/03/04/sam-rhodes-signed-by-echls-indy-fuel/</v>
      </c>
      <c r="C66" s="1"/>
      <c r="D66" s="1" t="s">
        <v>114</v>
      </c>
      <c r="E66" s="2">
        <v>45720.542743055557</v>
      </c>
      <c r="F66" s="1" t="s">
        <v>153</v>
      </c>
      <c r="G66" s="1">
        <f t="shared" si="0"/>
        <v>18835.477500000001</v>
      </c>
      <c r="H66" s="1">
        <v>2152626</v>
      </c>
      <c r="I66" s="1">
        <v>0</v>
      </c>
      <c r="J66" s="1">
        <v>0</v>
      </c>
      <c r="K66" s="1">
        <v>0</v>
      </c>
      <c r="L66" s="1" t="s">
        <v>0</v>
      </c>
      <c r="M66" s="1"/>
      <c r="N66" t="s">
        <v>205</v>
      </c>
    </row>
    <row r="67" spans="1:14" ht="118.8" x14ac:dyDescent="0.3">
      <c r="A67" s="1" t="s">
        <v>154</v>
      </c>
      <c r="B67" s="1" t="str">
        <f>HYPERLINK("https://www.wishtv.com/news/local-news/westlake-elementary-school-breakfast-week/")</f>
        <v>https://www.wishtv.com/news/local-news/westlake-elementary-school-breakfast-week/</v>
      </c>
      <c r="C67" s="1" t="s">
        <v>155</v>
      </c>
      <c r="D67" s="1" t="s">
        <v>156</v>
      </c>
      <c r="E67" s="2">
        <v>45719.504594907397</v>
      </c>
      <c r="F67" s="1" t="s">
        <v>157</v>
      </c>
      <c r="G67" s="1">
        <f t="shared" ref="G67:G86" si="1">H67*0.025*0.35</f>
        <v>4971.0150000000003</v>
      </c>
      <c r="H67" s="1">
        <v>568116</v>
      </c>
      <c r="I67" s="1">
        <v>0</v>
      </c>
      <c r="J67" s="1">
        <v>0</v>
      </c>
      <c r="K67" s="1">
        <v>34</v>
      </c>
      <c r="L67" s="1" t="s">
        <v>7</v>
      </c>
      <c r="M67" s="1"/>
      <c r="N67" t="s">
        <v>206</v>
      </c>
    </row>
    <row r="68" spans="1:14" ht="118.8" x14ac:dyDescent="0.3">
      <c r="A68" s="1" t="s">
        <v>154</v>
      </c>
      <c r="B68" s="1" t="str">
        <f>HYPERLINK("https://www.newsbreak.com/news/3838202657250-students-get-a-special-visit-from-mascots-to-celebrate-national-school-breakfast-week")</f>
        <v>https://www.newsbreak.com/news/3838202657250-students-get-a-special-visit-from-mascots-to-celebrate-national-school-breakfast-week</v>
      </c>
      <c r="C68" s="1"/>
      <c r="D68" s="1" t="s">
        <v>158</v>
      </c>
      <c r="E68" s="2">
        <v>45719.50277777778</v>
      </c>
      <c r="F68" s="1" t="s">
        <v>159</v>
      </c>
      <c r="G68" s="1">
        <f t="shared" si="1"/>
        <v>164306.25750000001</v>
      </c>
      <c r="H68" s="1">
        <v>18777858</v>
      </c>
      <c r="I68" s="1">
        <v>0</v>
      </c>
      <c r="J68" s="1">
        <v>0</v>
      </c>
      <c r="K68" s="1">
        <v>0</v>
      </c>
      <c r="L68" s="1" t="s">
        <v>7</v>
      </c>
      <c r="M68" s="1"/>
      <c r="N68" t="s">
        <v>206</v>
      </c>
    </row>
    <row r="69" spans="1:14" ht="105.6" x14ac:dyDescent="0.3">
      <c r="A69" s="1" t="s">
        <v>162</v>
      </c>
      <c r="B69" s="1" t="str">
        <f>HYPERLINK("https://www.oursportscentral.com/services/releases/fuel-fall-to-heartlanders-4-2-on-sunday-afternoon/n-6196522")</f>
        <v>https://www.oursportscentral.com/services/releases/fuel-fall-to-heartlanders-4-2-on-sunday-afternoon/n-6196522</v>
      </c>
      <c r="C69" s="1"/>
      <c r="D69" s="1" t="s">
        <v>1</v>
      </c>
      <c r="E69" s="2">
        <v>45718.82708333333</v>
      </c>
      <c r="F69" s="1" t="s">
        <v>163</v>
      </c>
      <c r="G69" s="1">
        <f t="shared" si="1"/>
        <v>353.51749999999998</v>
      </c>
      <c r="H69" s="1">
        <v>40402</v>
      </c>
      <c r="I69" s="1">
        <v>0</v>
      </c>
      <c r="J69" s="1">
        <v>0</v>
      </c>
      <c r="K69" s="1">
        <v>0</v>
      </c>
      <c r="L69" s="1" t="s">
        <v>5</v>
      </c>
      <c r="M69" s="1"/>
      <c r="N69" t="s">
        <v>205</v>
      </c>
    </row>
    <row r="70" spans="1:14" ht="79.2" x14ac:dyDescent="0.3">
      <c r="A70" s="1" t="s">
        <v>164</v>
      </c>
      <c r="B70" s="1" t="str">
        <f>HYPERLINK("https://www.larryinfishers.com/2025/03/02/indy-fuel-lose-sunday-match-with-iowa-4-2/")</f>
        <v>https://www.larryinfishers.com/2025/03/02/indy-fuel-lose-sunday-match-with-iowa-4-2/</v>
      </c>
      <c r="C70" s="1"/>
      <c r="D70" s="1" t="s">
        <v>6</v>
      </c>
      <c r="E70" s="2">
        <v>45718.792534722219</v>
      </c>
      <c r="F70" s="1" t="s">
        <v>165</v>
      </c>
      <c r="G70" s="1">
        <f t="shared" si="1"/>
        <v>30.703749999999999</v>
      </c>
      <c r="H70" s="1">
        <v>3509</v>
      </c>
      <c r="I70" s="1">
        <v>0</v>
      </c>
      <c r="J70" s="1">
        <v>0</v>
      </c>
      <c r="K70" s="1">
        <v>0</v>
      </c>
      <c r="L70" s="1" t="s">
        <v>5</v>
      </c>
      <c r="M70" s="1"/>
      <c r="N70" t="s">
        <v>206</v>
      </c>
    </row>
    <row r="71" spans="1:14" ht="145.19999999999999" x14ac:dyDescent="0.3">
      <c r="A71" s="1" t="s">
        <v>166</v>
      </c>
      <c r="B71" s="1" t="str">
        <f>HYPERLINK("https://www.oursportscentral.com/services/releases/heartlanders-fall-saturday-in-indy-4-0/n-6196496")</f>
        <v>https://www.oursportscentral.com/services/releases/heartlanders-fall-saturday-in-indy-4-0/n-6196496</v>
      </c>
      <c r="C71" s="1"/>
      <c r="D71" s="1" t="s">
        <v>1</v>
      </c>
      <c r="E71" s="2">
        <v>45718.726388888892</v>
      </c>
      <c r="F71" s="1" t="s">
        <v>167</v>
      </c>
      <c r="G71" s="1">
        <f t="shared" si="1"/>
        <v>353.51749999999998</v>
      </c>
      <c r="H71" s="1">
        <v>40402</v>
      </c>
      <c r="I71" s="1">
        <v>0</v>
      </c>
      <c r="J71" s="1">
        <v>0</v>
      </c>
      <c r="K71" s="1">
        <v>0</v>
      </c>
      <c r="L71" s="1" t="s">
        <v>0</v>
      </c>
      <c r="M71" s="1"/>
      <c r="N71" t="s">
        <v>205</v>
      </c>
    </row>
    <row r="72" spans="1:14" ht="158.4" x14ac:dyDescent="0.3">
      <c r="A72" s="1" t="s">
        <v>168</v>
      </c>
      <c r="B72" s="1" t="str">
        <f>HYPERLINK("https://www.keepingupincarmel.com/post/the-in-list-2025-3-3-3-9")</f>
        <v>https://www.keepingupincarmel.com/post/the-in-list-2025-3-3-3-9</v>
      </c>
      <c r="C72" s="1" t="s">
        <v>15</v>
      </c>
      <c r="D72" s="1" t="s">
        <v>16</v>
      </c>
      <c r="E72" s="2">
        <v>45718.641250000001</v>
      </c>
      <c r="F72" s="1" t="s">
        <v>169</v>
      </c>
      <c r="G72" s="1">
        <f t="shared" si="1"/>
        <v>6.0025000000000004</v>
      </c>
      <c r="H72" s="1">
        <v>686</v>
      </c>
      <c r="I72" s="1">
        <v>0</v>
      </c>
      <c r="J72" s="1">
        <v>0</v>
      </c>
      <c r="K72" s="1">
        <v>0</v>
      </c>
      <c r="L72" s="1" t="s">
        <v>0</v>
      </c>
      <c r="M72" s="1"/>
      <c r="N72" t="s">
        <v>206</v>
      </c>
    </row>
    <row r="73" spans="1:14" ht="79.2" x14ac:dyDescent="0.3">
      <c r="A73" s="1" t="s">
        <v>170</v>
      </c>
      <c r="B73" s="1" t="str">
        <f>HYPERLINK("https://sports.yahoo.com/article/fuel-sets-franchise-record-victory-155400712.html")</f>
        <v>https://sports.yahoo.com/article/fuel-sets-franchise-record-victory-155400712.html</v>
      </c>
      <c r="C73" s="1" t="s">
        <v>45</v>
      </c>
      <c r="D73" s="1" t="s">
        <v>82</v>
      </c>
      <c r="E73" s="2">
        <v>45718.45416666667</v>
      </c>
      <c r="F73" s="1" t="s">
        <v>171</v>
      </c>
      <c r="G73" s="1">
        <f t="shared" si="1"/>
        <v>202758.57874999999</v>
      </c>
      <c r="H73" s="1">
        <v>23172409</v>
      </c>
      <c r="I73" s="1">
        <v>0</v>
      </c>
      <c r="J73" s="1">
        <v>0</v>
      </c>
      <c r="K73" s="1">
        <v>0</v>
      </c>
      <c r="L73" s="1" t="s">
        <v>0</v>
      </c>
      <c r="M73" s="1"/>
      <c r="N73" t="s">
        <v>205</v>
      </c>
    </row>
    <row r="74" spans="1:14" ht="132" x14ac:dyDescent="0.3">
      <c r="A74" s="1" t="s">
        <v>170</v>
      </c>
      <c r="B74" s="1" t="str">
        <f>HYPERLINK("https://ca.sports.yahoo.com/news/fuel-sets-franchise-record-victory-155400712.html")</f>
        <v>https://ca.sports.yahoo.com/news/fuel-sets-franchise-record-victory-155400712.html</v>
      </c>
      <c r="C74" s="1" t="s">
        <v>45</v>
      </c>
      <c r="D74" s="1" t="s">
        <v>46</v>
      </c>
      <c r="E74" s="2">
        <v>45718.45416666667</v>
      </c>
      <c r="F74" s="1" t="s">
        <v>172</v>
      </c>
      <c r="G74" s="1">
        <f t="shared" si="1"/>
        <v>5428.6137499999995</v>
      </c>
      <c r="H74" s="1">
        <v>620413</v>
      </c>
      <c r="I74" s="1">
        <v>0</v>
      </c>
      <c r="J74" s="1">
        <v>0</v>
      </c>
      <c r="K74" s="1">
        <v>0</v>
      </c>
      <c r="L74" s="1" t="s">
        <v>0</v>
      </c>
      <c r="M74" s="1"/>
      <c r="N74" t="s">
        <v>207</v>
      </c>
    </row>
    <row r="75" spans="1:14" ht="132" x14ac:dyDescent="0.3">
      <c r="A75" s="1" t="s">
        <v>173</v>
      </c>
      <c r="B75" s="1" t="str">
        <f>HYPERLINK("https://www.1630kcjj.com/2025/03/02/heartlanders-fall-saturday-in-indy-4-0/")</f>
        <v>https://www.1630kcjj.com/2025/03/02/heartlanders-fall-saturday-in-indy-4-0/</v>
      </c>
      <c r="C75" s="1" t="s">
        <v>160</v>
      </c>
      <c r="D75" s="1" t="s">
        <v>161</v>
      </c>
      <c r="E75" s="2">
        <v>45718.090914351851</v>
      </c>
      <c r="F75" s="1" t="s">
        <v>174</v>
      </c>
      <c r="G75" s="1">
        <f t="shared" si="1"/>
        <v>105.34125</v>
      </c>
      <c r="H75" s="1">
        <v>12039</v>
      </c>
      <c r="I75" s="1">
        <v>0</v>
      </c>
      <c r="J75" s="1">
        <v>0</v>
      </c>
      <c r="K75" s="1">
        <v>0</v>
      </c>
      <c r="L75" s="1" t="s">
        <v>0</v>
      </c>
      <c r="M75" s="1"/>
      <c r="N75" t="s">
        <v>205</v>
      </c>
    </row>
    <row r="76" spans="1:14" ht="79.2" x14ac:dyDescent="0.3">
      <c r="A76" s="1" t="s">
        <v>175</v>
      </c>
      <c r="B76" s="1" t="str">
        <f>HYPERLINK("https://www.larryinfishers.com/2025/03/01/indy-fuel-get-big-win-over-iowa-4-0/")</f>
        <v>https://www.larryinfishers.com/2025/03/01/indy-fuel-get-big-win-over-iowa-4-0/</v>
      </c>
      <c r="C76" s="1"/>
      <c r="D76" s="1" t="s">
        <v>6</v>
      </c>
      <c r="E76" s="2">
        <v>45717.915520833332</v>
      </c>
      <c r="F76" s="1" t="s">
        <v>176</v>
      </c>
      <c r="G76" s="1">
        <f t="shared" si="1"/>
        <v>30.703749999999999</v>
      </c>
      <c r="H76" s="1">
        <v>3509</v>
      </c>
      <c r="I76" s="1">
        <v>0</v>
      </c>
      <c r="J76" s="1">
        <v>0</v>
      </c>
      <c r="K76" s="1">
        <v>1</v>
      </c>
      <c r="L76" s="1" t="s">
        <v>5</v>
      </c>
      <c r="M76" s="1"/>
      <c r="N76" t="s">
        <v>206</v>
      </c>
    </row>
    <row r="77" spans="1:14" ht="118.8" x14ac:dyDescent="0.3">
      <c r="A77" s="1" t="s">
        <v>177</v>
      </c>
      <c r="B77" s="1" t="str">
        <f>HYPERLINK("https://www.oursportscentral.com/services/releases/fuel-set-franchise-record-with-ninth-shutout-win-of-season/n-6196136")</f>
        <v>https://www.oursportscentral.com/services/releases/fuel-set-franchise-record-with-ninth-shutout-win-of-season/n-6196136</v>
      </c>
      <c r="C77" s="1"/>
      <c r="D77" s="1" t="s">
        <v>1</v>
      </c>
      <c r="E77" s="2">
        <v>45717.811111111107</v>
      </c>
      <c r="F77" s="1" t="s">
        <v>178</v>
      </c>
      <c r="G77" s="1">
        <f t="shared" si="1"/>
        <v>353.51749999999998</v>
      </c>
      <c r="H77" s="1">
        <v>40402</v>
      </c>
      <c r="I77" s="1">
        <v>0</v>
      </c>
      <c r="J77" s="1">
        <v>0</v>
      </c>
      <c r="K77" s="1">
        <v>0</v>
      </c>
      <c r="L77" s="1" t="s">
        <v>7</v>
      </c>
      <c r="M77" s="1"/>
      <c r="N77" t="s">
        <v>205</v>
      </c>
    </row>
    <row r="78" spans="1:14" ht="132" x14ac:dyDescent="0.3">
      <c r="A78" s="1" t="s">
        <v>166</v>
      </c>
      <c r="B78" s="1" t="str">
        <f>HYPERLINK("https://www.oursportscentral.com/services/releases/heartlanders-fall-saturday-in-indy-4-0/n-6196124")</f>
        <v>https://www.oursportscentral.com/services/releases/heartlanders-fall-saturday-in-indy-4-0/n-6196124</v>
      </c>
      <c r="C78" s="1"/>
      <c r="D78" s="1" t="s">
        <v>1</v>
      </c>
      <c r="E78" s="2">
        <v>45717.805555555547</v>
      </c>
      <c r="F78" s="1" t="s">
        <v>179</v>
      </c>
      <c r="G78" s="1">
        <f t="shared" si="1"/>
        <v>353.51749999999998</v>
      </c>
      <c r="H78" s="1">
        <v>40402</v>
      </c>
      <c r="I78" s="1">
        <v>0</v>
      </c>
      <c r="J78" s="1">
        <v>0</v>
      </c>
      <c r="K78" s="1">
        <v>0</v>
      </c>
      <c r="L78" s="1" t="s">
        <v>0</v>
      </c>
      <c r="M78" s="1"/>
      <c r="N78" t="s">
        <v>205</v>
      </c>
    </row>
    <row r="79" spans="1:14" ht="92.4" x14ac:dyDescent="0.3">
      <c r="A79" s="1" t="s">
        <v>180</v>
      </c>
      <c r="B79" s="1" t="str">
        <f>HYPERLINK("https://www.larryinfishers.com/2025/03/01/fuel-struggle-in-fort-wayne-fall-7-2-to-komets/")</f>
        <v>https://www.larryinfishers.com/2025/03/01/fuel-struggle-in-fort-wayne-fall-7-2-to-komets/</v>
      </c>
      <c r="C79" s="1"/>
      <c r="D79" s="1" t="s">
        <v>6</v>
      </c>
      <c r="E79" s="2">
        <v>45717.338888888888</v>
      </c>
      <c r="F79" s="1" t="s">
        <v>181</v>
      </c>
      <c r="G79" s="1">
        <f t="shared" si="1"/>
        <v>30.703749999999999</v>
      </c>
      <c r="H79" s="1">
        <v>3509</v>
      </c>
      <c r="I79" s="1">
        <v>0</v>
      </c>
      <c r="J79" s="1">
        <v>0</v>
      </c>
      <c r="K79" s="1">
        <v>5</v>
      </c>
      <c r="L79" s="1" t="s">
        <v>5</v>
      </c>
      <c r="M79" s="1"/>
      <c r="N79" t="s">
        <v>206</v>
      </c>
    </row>
    <row r="80" spans="1:14" ht="79.2" x14ac:dyDescent="0.3">
      <c r="A80" s="1" t="s">
        <v>182</v>
      </c>
      <c r="B80" s="1" t="str">
        <f>HYPERLINK("https://www.wane.com/sports/komets/komets-streak-by-indy-fuel-in-7-2-win/")</f>
        <v>https://www.wane.com/sports/komets/komets-streak-by-indy-fuel-in-7-2-win/</v>
      </c>
      <c r="C80" s="1" t="s">
        <v>104</v>
      </c>
      <c r="D80" s="1" t="s">
        <v>10</v>
      </c>
      <c r="E80" s="2">
        <v>45717.127175925933</v>
      </c>
      <c r="F80" s="1" t="s">
        <v>183</v>
      </c>
      <c r="G80" s="1">
        <f t="shared" si="1"/>
        <v>4658.1062499999998</v>
      </c>
      <c r="H80" s="1">
        <v>532355</v>
      </c>
      <c r="I80" s="1">
        <v>0</v>
      </c>
      <c r="J80" s="1">
        <v>0</v>
      </c>
      <c r="K80" s="1">
        <v>4</v>
      </c>
      <c r="L80" s="1" t="s">
        <v>7</v>
      </c>
      <c r="M80" s="1"/>
      <c r="N80" t="s">
        <v>206</v>
      </c>
    </row>
    <row r="81" spans="1:14" ht="158.4" x14ac:dyDescent="0.3">
      <c r="A81" s="1" t="s">
        <v>184</v>
      </c>
      <c r="B81" s="1" t="str">
        <f>HYPERLINK("https://www.journalgazette.net/sports/professional/komets/komets-score-4-goals-in-second-period-roll-over-indy-fuel/article_6ef76c08-f64c-11ef-8ac1-0b794fbdefdf.html")</f>
        <v>https://www.journalgazette.net/sports/professional/komets/komets-score-4-goals-in-second-period-roll-over-indy-fuel/article_6ef76c08-f64c-11ef-8ac1-0b794fbdefdf.html</v>
      </c>
      <c r="C81" s="1" t="s">
        <v>185</v>
      </c>
      <c r="D81" s="1" t="s">
        <v>32</v>
      </c>
      <c r="E81" s="2">
        <v>45717.028148148151</v>
      </c>
      <c r="F81" s="1" t="s">
        <v>186</v>
      </c>
      <c r="G81" s="1">
        <f t="shared" si="1"/>
        <v>426.58</v>
      </c>
      <c r="H81" s="1">
        <v>48752</v>
      </c>
      <c r="I81" s="1">
        <v>1</v>
      </c>
      <c r="J81" s="1">
        <v>2172</v>
      </c>
      <c r="K81" s="1">
        <v>1</v>
      </c>
      <c r="L81" s="1" t="s">
        <v>7</v>
      </c>
      <c r="M81" s="1"/>
      <c r="N81" t="s">
        <v>206</v>
      </c>
    </row>
    <row r="82" spans="1:14" ht="105.6" x14ac:dyDescent="0.3">
      <c r="A82" s="1" t="s">
        <v>187</v>
      </c>
      <c r="B82" s="1" t="str">
        <f>HYPERLINK("https://www.journalgazette.net/komets-vs-indy-fuel/image_99662944-f646-11ef-8cac-cb9bcadb4d46.html")</f>
        <v>https://www.journalgazette.net/komets-vs-indy-fuel/image_99662944-f646-11ef-8cac-cb9bcadb4d46.html</v>
      </c>
      <c r="C82" s="1" t="s">
        <v>188</v>
      </c>
      <c r="D82" s="1" t="s">
        <v>32</v>
      </c>
      <c r="E82" s="2">
        <v>45717</v>
      </c>
      <c r="F82" s="1" t="s">
        <v>189</v>
      </c>
      <c r="G82" s="1">
        <f t="shared" si="1"/>
        <v>426.58</v>
      </c>
      <c r="H82" s="1">
        <v>48752</v>
      </c>
      <c r="I82" s="1">
        <v>0</v>
      </c>
      <c r="J82" s="1">
        <v>0</v>
      </c>
      <c r="K82" s="1">
        <v>0</v>
      </c>
      <c r="L82" s="1" t="s">
        <v>0</v>
      </c>
      <c r="M82" s="1"/>
      <c r="N82" t="s">
        <v>206</v>
      </c>
    </row>
    <row r="83" spans="1:14" ht="105.6" x14ac:dyDescent="0.3">
      <c r="A83" s="1" t="s">
        <v>187</v>
      </c>
      <c r="B83" s="1" t="str">
        <f>HYPERLINK("https://www.journalgazette.net/komets-vs-indy-fuel/image_979ff9f0-f646-11ef-ac3b-237239e3e3c5.html")</f>
        <v>https://www.journalgazette.net/komets-vs-indy-fuel/image_979ff9f0-f646-11ef-ac3b-237239e3e3c5.html</v>
      </c>
      <c r="C83" s="1" t="s">
        <v>188</v>
      </c>
      <c r="D83" s="1" t="s">
        <v>32</v>
      </c>
      <c r="E83" s="2">
        <v>45717</v>
      </c>
      <c r="F83" s="1" t="s">
        <v>189</v>
      </c>
      <c r="G83" s="1">
        <f t="shared" si="1"/>
        <v>426.58</v>
      </c>
      <c r="H83" s="1">
        <v>48752</v>
      </c>
      <c r="I83" s="1">
        <v>0</v>
      </c>
      <c r="J83" s="1">
        <v>0</v>
      </c>
      <c r="K83" s="1">
        <v>0</v>
      </c>
      <c r="L83" s="1" t="s">
        <v>0</v>
      </c>
      <c r="M83" s="1"/>
      <c r="N83" t="s">
        <v>206</v>
      </c>
    </row>
    <row r="84" spans="1:14" ht="105.6" x14ac:dyDescent="0.3">
      <c r="A84" s="1" t="s">
        <v>187</v>
      </c>
      <c r="B84" s="1" t="str">
        <f>HYPERLINK("https://www.journalgazette.net/komets-vs-indy-fuel/image_93796924-f646-11ef-acdf-b7d169216516.html")</f>
        <v>https://www.journalgazette.net/komets-vs-indy-fuel/image_93796924-f646-11ef-acdf-b7d169216516.html</v>
      </c>
      <c r="C84" s="1" t="s">
        <v>188</v>
      </c>
      <c r="D84" s="1" t="s">
        <v>32</v>
      </c>
      <c r="E84" s="2">
        <v>45717</v>
      </c>
      <c r="F84" s="1" t="s">
        <v>189</v>
      </c>
      <c r="G84" s="1">
        <f t="shared" si="1"/>
        <v>426.58</v>
      </c>
      <c r="H84" s="1">
        <v>48752</v>
      </c>
      <c r="I84" s="1">
        <v>0</v>
      </c>
      <c r="J84" s="1">
        <v>0</v>
      </c>
      <c r="K84" s="1">
        <v>0</v>
      </c>
      <c r="L84" s="1" t="s">
        <v>0</v>
      </c>
      <c r="M84" s="1"/>
      <c r="N84" t="s">
        <v>206</v>
      </c>
    </row>
    <row r="85" spans="1:14" ht="105.6" x14ac:dyDescent="0.3">
      <c r="A85" s="1" t="s">
        <v>187</v>
      </c>
      <c r="B85" s="1" t="str">
        <f>HYPERLINK("https://www.journalgazette.net/komets-vs-indy-fuel/image_9860f5d8-f646-11ef-9de9-db5e68d676ef.html")</f>
        <v>https://www.journalgazette.net/komets-vs-indy-fuel/image_9860f5d8-f646-11ef-9de9-db5e68d676ef.html</v>
      </c>
      <c r="C85" s="1" t="s">
        <v>188</v>
      </c>
      <c r="D85" s="1" t="s">
        <v>32</v>
      </c>
      <c r="E85" s="2">
        <v>45717</v>
      </c>
      <c r="F85" s="1" t="s">
        <v>190</v>
      </c>
      <c r="G85" s="1">
        <f t="shared" si="1"/>
        <v>426.58</v>
      </c>
      <c r="H85" s="1">
        <v>48752</v>
      </c>
      <c r="I85" s="1">
        <v>0</v>
      </c>
      <c r="J85" s="1">
        <v>0</v>
      </c>
      <c r="K85" s="1">
        <v>0</v>
      </c>
      <c r="L85" s="1" t="s">
        <v>7</v>
      </c>
      <c r="M85" s="1"/>
      <c r="N85" t="s">
        <v>206</v>
      </c>
    </row>
    <row r="86" spans="1:14" ht="118.8" x14ac:dyDescent="0.3">
      <c r="A86" s="1" t="s">
        <v>187</v>
      </c>
      <c r="B86" s="1" t="str">
        <f>HYPERLINK("https://www.journalgazette.net/sports/komets-vs-indy-fuel/image_94f26666-f646-11ef-ba1f-83792994664d.html")</f>
        <v>https://www.journalgazette.net/sports/komets-vs-indy-fuel/image_94f26666-f646-11ef-ba1f-83792994664d.html</v>
      </c>
      <c r="C86" s="1" t="s">
        <v>188</v>
      </c>
      <c r="D86" s="1" t="s">
        <v>32</v>
      </c>
      <c r="E86" s="2">
        <v>45717</v>
      </c>
      <c r="F86" s="1" t="s">
        <v>191</v>
      </c>
      <c r="G86" s="1">
        <f t="shared" si="1"/>
        <v>426.58</v>
      </c>
      <c r="H86" s="1">
        <v>48752</v>
      </c>
      <c r="I86" s="1">
        <v>0</v>
      </c>
      <c r="J86" s="1">
        <v>0</v>
      </c>
      <c r="K86" s="1">
        <v>0</v>
      </c>
      <c r="L86" s="1" t="s">
        <v>5</v>
      </c>
      <c r="M86" s="1"/>
      <c r="N86"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Brianna Stopher</dc:creator>
  <cp:lastModifiedBy>Brianna Stopher</cp:lastModifiedBy>
  <dcterms:created xsi:type="dcterms:W3CDTF">2025-06-30T14:20:20Z</dcterms:created>
  <dcterms:modified xsi:type="dcterms:W3CDTF">2025-07-21T17:31:00Z</dcterms:modified>
</cp:coreProperties>
</file>