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4" documentId="13_ncr:1_{801E1A30-5AC9-46A3-8977-B16388686C48}" xr6:coauthVersionLast="47" xr6:coauthVersionMax="47" xr10:uidLastSave="{6BE550DE-216D-49EF-B70A-DF05EC016BC9}"/>
  <bookViews>
    <workbookView xWindow="1920" yWindow="1152" windowWidth="11112" windowHeight="11808" xr2:uid="{18022E27-E8B2-456C-BF4A-527FB54EADA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2"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<sst xmlns="http://schemas.openxmlformats.org/spreadsheetml/2006/main" count="374" uniqueCount="176">
  <si>
    <t>Komets score 4 goals in second period, roll to 7-2 over Indy Fuel</t>
  </si>
  <si>
    <t>Victoria Jacobsen</t>
  </si>
  <si>
    <t>The Journal Gazette</t>
  </si>
  <si>
    <t>It might not have been a perfect 60 minutes of Komets hockey Friday night at the Coliseum, but the home side took advantage when the opportunities presented themselves, scored four goals in the second period and opened the weekend with a 7-2 victory over the Indy Fuel.</t>
  </si>
  <si>
    <t>Positive</t>
  </si>
  <si>
    <t>Friday Gallery: Komets take on the Indy Fuel at Memorial Coliseum</t>
  </si>
  <si>
    <t>Stan Sussina</t>
  </si>
  <si>
    <t>Your notification has been saved. There was a problem saving your notification. Email notifications are only sent once a day, and only if there are new matching items.</t>
  </si>
  <si>
    <t>Neutral</t>
  </si>
  <si>
    <t>Komets Postgame Blog: Komets whip Indy Fuel</t>
  </si>
  <si>
    <t>The Komets enjoyed one of their best periods of the night on Friday at Memorial Coliseum, scoring four goals against the Indy Fuel in the second on their way to a dominant 7-2 victory.
The Komets improved to 5-2 against the Fuel this season. </t>
  </si>
  <si>
    <t>Komets beat up on the Fuel 7-2</t>
  </si>
  <si>
    <t>komets.com</t>
  </si>
  <si>
    <t>On Friday, the Indy Fuel was back at the Coliseum. After an early Nolan Volcan goal at 5:54, Indy’s Brett Bulmer tied the game at 18:03.</t>
  </si>
  <si>
    <t>Our Sports Central</t>
  </si>
  <si>
    <t>Negative</t>
  </si>
  <si>
    <t>Fuel Defeated by Komets on Friday Night</t>
  </si>
  <si>
    <t>February 28, 2025 - ECHL (ECHL)
Indy Fuel News Release
Indy Fuel's Chris Cameron in action
(Indy Fuel)
FORT WAYNE- The Fuel kicked off their weekend in Fort Wayne with a game against the Komets before hosting two straight games at home.</t>
  </si>
  <si>
    <t>Komets Pregame Blog: Indy Fuel (21-22-4-3) at Komets (30-17-4)</t>
  </si>
  <si>
    <t>The Komets traded for forward Zach Jordan last Saturday, and he was activated Friday ahead of tonight's game against the Indy Fuel (21-22-4-3). Forward Nolan Volcan was also activated from the 3-day injured reserve.</t>
  </si>
  <si>
    <t>Komets Beat Up On The Fuel, 7-2</t>
  </si>
  <si>
    <t>February 28, 2025 - ECHL (ECHL)
Fort Wayne Komets News Release
On Friday, the Indy Fuel was back at the Coliseum. After an early Nolan Volcan goal at 5:54, Indy's Brett Bulmer tied the game at 18:03.</t>
  </si>
  <si>
    <t>Stephen Kerr</t>
  </si>
  <si>
    <t>Yahoo Sports</t>
  </si>
  <si>
    <t>Yahoo Sports Canada</t>
  </si>
  <si>
    <t>Josh Patterson</t>
  </si>
  <si>
    <t>Axios Indianapolis</t>
  </si>
  <si>
    <t>FloHockey</t>
  </si>
  <si>
    <t>larryInFishers</t>
  </si>
  <si>
    <t>Takeaways from the Bloomington Bison's weekend series with the Indy Fuel (copy)</t>
  </si>
  <si>
    <t>Adam Morris</t>
  </si>
  <si>
    <t>Pantagraph</t>
  </si>
  <si>
    <t>BLOOMINGTON — The Bison sealed an important series victory over the visiting Indy Fuel this weekend, winning two of three games and gaining five of a possible six points in the set.</t>
  </si>
  <si>
    <t>Takeaways from the Bloomington Bison's weekend series with the Indy Fuel</t>
  </si>
  <si>
    <t>Dylan Sinn</t>
  </si>
  <si>
    <t>Glenn Marini</t>
  </si>
  <si>
    <t>WANE-TV (Fort Wayne, IN)</t>
  </si>
  <si>
    <t>IndyStar</t>
  </si>
  <si>
    <t>Indy Fuel Lose to Bloomington Bison: Game Recap</t>
  </si>
  <si>
    <t>The Indy Fuel wrapped up their road trip with a Sunday afternoon matchup against the Bloomington Bison before heading home for a rematch on Tuesday morning.</t>
  </si>
  <si>
    <t>Fuel Shut out by Bison on Sunday Afternoon</t>
  </si>
  <si>
    <t>February 23, 2025 - ECHL (ECHL)
Indy Fuel News Release
BLOOMINGTON - The Fuel had one last game in Bloomington before heading home to host the Bison on Tuesday morning.</t>
  </si>
  <si>
    <t>The IN List 2025: 2/24 - 3/2</t>
  </si>
  <si>
    <t>Chelsea Kopelman</t>
  </si>
  <si>
    <t>Keeping Up in Carmel</t>
  </si>
  <si>
    <t>Indy Fuel vs. Bloomington Bison: 10:30am. Fishers Event Center - Fishers, IN. Tickets required.
Wednesday, Feb 26
Carmel Main Library Events: 425 E Main St, Carmel, IN. Tickets available 30 min prior at kids desk.
Drop-in Play Date: 10-11:30am. </t>
  </si>
  <si>
    <t>Highlights: Bloomington Bison vs. Indy Fuel, 2-22-25</t>
  </si>
  <si>
    <t>Indy Fuel, 2-22-25</t>
  </si>
  <si>
    <t>Indy Fuel Road Win: A Thrilling Overtime Victory</t>
  </si>
  <si>
    <t>The Indy Fuel secured a 3-2 overtime road victory against the Bloomington Bison on Saturday night, taking the second game of their three-game weekend series. Nathan Burke sealed the win with an impressive solo effort in the extra frame.</t>
  </si>
  <si>
    <t>Fuel Beat Bison in Saturday Overtime Game</t>
  </si>
  <si>
    <t>February 22, 2025 - ECHL (ECHL)
Indy Fuel News Release
BLOOMINGTON - The Fuel took on the Bison for the second of three straight in Bloomington this weekend.</t>
  </si>
  <si>
    <t>Highlights: Bloomington Bison vs. Indy Fuel, 2-21-25</t>
  </si>
  <si>
    <t>Indy Fuel, 2-21-25</t>
  </si>
  <si>
    <t>Indy Fuel Hockey: A Tough Series Opener</t>
  </si>
  <si>
    <t>The Indy Fuel opened a crucial four-game series against the Bloomington Bison on Wednesday night, battling for fourth place in the Central Division. Despite keeping pace early, the Fuel ultimately fell 5-2 as the Bison pulled away in the third period.</t>
  </si>
  <si>
    <t>Fuel Fall to Bison in First of Four Games</t>
  </si>
  <si>
    <t>February 21, 2025 - ECHL (ECHL)
Indy Fuel News Release
BLOOMINGTON- The Fuel traveled to Bloomington to kick off a four-game set against the Bison as they battle for a fourth place spot in the Central division.</t>
  </si>
  <si>
    <t>Mavericks Acquire Defenseman Thomas Farrell from Indy in Trade</t>
  </si>
  <si>
    <t>February 20, 2025 - ECHL (ECHL)
Kansas City Mavericks News Release
Independence, MO - The Kansas City Mavericks have acquired defenseman Thomas Farrell from the Indy Fuel in exchange for goaltender Logan Neaton.</t>
  </si>
  <si>
    <t>Keppen leads Komets to overtime win against Indy</t>
  </si>
  <si>
    <t>(WANE) – Ethan Keppen’s first goal of the night would send the game to overtime, and his second would win it in OT for the Komets as Fort Wayne beat the Indy Fuel 4-3 on Wednesday for their fourth win in a row.</t>
  </si>
  <si>
    <t>Fuel Lose in Overtime: A Tough Battle</t>
  </si>
  <si>
    <t>In a fast-paced and physical matchup, the Indy Fuel fell to the Fort Wayne Komets 4-3 in overtime on Wednesday night at the Fishers Event Center. Despite a strong start from the Fuel, the Komets stormed back to claim the victory, with Ethan Keppen netting the game-winning goal in the extra frame.</t>
  </si>
  <si>
    <t>Keppen, Komets beat Fuel in OT, inch closer to Walleye</t>
  </si>
  <si>
    <t>The Komets’ win streak reached four Wednesday with a nail-biting 4-3 overtime victory over the Indy Fuel at the Fishers Event Center as the visitors got an equalizer in regulation and the winning goal in the extra period from forward Ethan Keppen.</t>
  </si>
  <si>
    <t>2025 Fort Wayne Komets vs Indy Fuel</t>
  </si>
  <si>
    <t>Event Info
Here's how to watch the 2025 Fort Wayne Komets vs Indy Fuel broadcast on FloHockey. The 2025 Fort Wayne Komets vs Indy Fuel broadcast starts on Feb 19, 2025. Stream or cast from your desktop, mobile or TV. Now available on Roku, Fire TV, Chromecast and Apple TV.</t>
  </si>
  <si>
    <t>Kenny Called up to Indy</t>
  </si>
  <si>
    <t>. - The Fayetteville Marksmen, proud members of the SPHL, announced the call-up of goaltender Ryan Kenny to the ECHL's Indy Fuel Saturday.</t>
  </si>
  <si>
    <t>Fuel’s Kenny Shines in Debut as Indy Blanks Cincinnati 2-0</t>
  </si>
  <si>
    <t>The Indy Fuel capped off a grueling stretch of four games in five days with a statement win, shutting out the Cincinnati Cyclones 2-0 on Sunday afternoon.</t>
  </si>
  <si>
    <t>Cyclones Held Scoreless, Lose to Fuel 2-0</t>
  </si>
  <si>
    <t>February 16, 2025 - ECHL (ECHL)
Cincinnati Cyclones News Release
Cincinnati, Ohio - The Cincinnati Cyclones were shutout in a 2-0 loss against the Indy Fuel on Sunday afternoon at Heritage Bank Center.</t>
  </si>
  <si>
    <t>The IN List 2024: 2/17 - 2/23</t>
  </si>
  <si>
    <t>Indy Fuel vs. Fort Wayne Komets: 7pm. Fishers Event Center, Fishers, IN. Tickets required.
Bartok x Bjork: 7:30pm. Hilbert Circle Theatre, Indianapolis, IN. Uncharted performance from the Indianapolis Symphony Orchestra. Tickets required.</t>
  </si>
  <si>
    <t>Fuel Earn a Point in Thrilling Shootout Loss to Everblades</t>
  </si>
  <si>
    <t>In front of a sold-out crowd of 6,647 fans at the Fishers Event Center, the Indy Fuel battled the Florida Everblades to a nail-biting finish, ultimately falling 3-2 in a shootout on Saturday night.</t>
  </si>
  <si>
    <t>Indy Fuel Vs. Florida Everblades</t>
  </si>
  <si>
    <t>Trevor Griffis</t>
  </si>
  <si>
    <t>Nuvo</t>
  </si>
  <si>
    <t>State AlabamaAlaskaArizonaArkansasCaliforniaColoradoConnecticutDelawareFloridaGeorgiaHawaiiIdahoIllinoisIndianaIowaKansasKentuckyLouisianaMaineMarylandMassachusettsMichiganMinnesotaMississippiMissouriMontanaNebraskaNevadaNew HampshireNew JerseyNew MexicoNew YorkNorth CarolinaNorth DakotaOhioOklahomaOregonPennsylvaniaRhode IslandSouth CarolinaSouth DakotaTennesseeTexasUtahVermontVirginiaWashingtonWashington D.C.West VirginiaWisconsinWyomingPuerto RicoUS Virgin IslandsArmed Forces AmericasArmed...</t>
  </si>
  <si>
    <t>Fuel Earn Point in Shootout Thriller with Florida</t>
  </si>
  <si>
    <t>February 15, 2025 - ECHL (ECHL)
Indy Fuel News Release
FISHERS- The Fuel hosted the Florida Everblades on Saturday night to finish a three-game series with the Southern division team.</t>
  </si>
  <si>
    <t>Blades Sweep Indy and Win Fifth Straight</t>
  </si>
  <si>
    <t>. - The finale was not as easy as the first two games of the series, requiring a shootout to declare a winner, but the Florida Everblades came away with a 3-2 victory over the Indy Fuel Saturday night at Fishers Event Center.</t>
  </si>
  <si>
    <t>Fuel fall to Florida 7-3</t>
  </si>
  <si>
    <t>It was Valentine’s Day but there was no love for the Indy Fuel Friday night, as they once again lost to the team with the best record in the league, the Florida Everblades, 7-3, before a crowd of 5,248 at the Fishers Event Center.</t>
  </si>
  <si>
    <t>Fuel Fall to Florida on Valentine's Day</t>
  </si>
  <si>
    <t>February 14, 2025 - ECHL (ECHL)
Indy Fuel News Release
FISHERS- The Fuel hosted the Florida Everblades on Friday night for the second of three games against the first place team this weekend.</t>
  </si>
  <si>
    <t>Valentine's Day Massacre in Indy</t>
  </si>
  <si>
    <t>. - Two nights after rolling to a 6-3 victory in Wednesday night's series opener, the Florida Everblades did one better, knocking off the Indy Fuel 7-3 in a one-sided Valentine's Day matchup Friday night at Fishers Event Center.</t>
  </si>
  <si>
    <t>Indianapolis weekend events: Stand-up comedy, Indy Ignite, winter beer fest and more</t>
  </si>
  <si>
    <t>Justin L. Mack</t>
  </si>
  <si>
    <t>ğ Catch some action on the ice when the Indy Fuel play a pair of games against the Florida Everblades at Fishers Event Center, 7pm Friday and Saturday.</t>
  </si>
  <si>
    <t>This Butler student is Indy Fuel's first woman broadcaster. Here's how she got there.</t>
  </si>
  <si>
    <t>Charlotte Varnes</t>
  </si>
  <si>
    <t>"Giving up something she very much enjoyed, especially working with the other students — but (it was) because she had this amazing opportunity with the Indy Fuel."
Hallman, of course, is still busy.</t>
  </si>
  <si>
    <t>This Butler student is Indy Fuel's first woman broadcaster. Here's how she got there.
Butler junior Eva Hallman is busy.
Sure, most college students are. … "Giving up something she very much enjoyed, especially working with the other students — but (it was) because she had this amazing opportunity with the Indy Fuel."
Hallman, of course, is still busy.</t>
  </si>
  <si>
    <t>The WorldNews (WN) Network</t>
  </si>
  <si>
    <t>Indy Fuel Hockey Falls to Florida Everblades</t>
  </si>
  <si>
    <t>The Indy Fuel fell to the first-place Florida Everblades 6-3 on Wednesday night at the Fishers Event Center, in the first of a three-game home series this week. Despite an early deficit, the Fuel battled back but couldn’t overcome Florida’s offensive surge.</t>
  </si>
  <si>
    <t>Everblades Light up Indy in 6-3 Victory</t>
  </si>
  <si>
    <t>February 12, 2025 - ECHL (ECHL)
Florida Everblades News Release
The Florida Everblades continued their dominant march through the ECHL with a decisive 6-3 victory over the Indy Fuel at the Fishers Event Center.</t>
  </si>
  <si>
    <t>Fuel Fall to Everblades in First of Three Games</t>
  </si>
  <si>
    <t>February 12, 2025 - ECHL (ECHL)
Indy Fuel News Release
FISHERS - The Fuel hosted the Florida Everblades on Wednesday night for the first of three games against them this week.</t>
  </si>
  <si>
    <t>Fuel Host Everblades In First Meeting Since 2020</t>
  </si>
  <si>
    <t>Coming off a Feb. 8 game at Hertz Arena in which they morphed into the Florida Skunk Apes, the Everblades take to the road to begin a three-game series against the Indy Fuel.</t>
  </si>
  <si>
    <t>2025 Florida Everblades vs Indy Fuel</t>
  </si>
  <si>
    <t>Event Info
Here's how to watch the 2025 Florida Everblades vs Indy Fuel broadcast on FloHockey. The 2025 Florida Everblades vs Indy Fuel broadcast starts on Feb 12, 2025. Stream or cast from your desktop, mobile or TV. Now available on Roku, Fire TV, Chromecast and Apple TV.</t>
  </si>
  <si>
    <t>The IN List 2025: 2/10 - 2/16</t>
  </si>
  <si>
    <t>Indy Fuel vs. Florida Everblades: 7pm. Fishers Event Center - Fishers, IN. Tickets required.
Thursday, Feb 13
Carmel Main Library Events: 425 E Main St, Carmel, IN. Tickets available 30 min prior at kids desk.
Library Babies (kids 0-1 year old) : 9:30am, 10:30am, 11:30am.</t>
  </si>
  <si>
    <t>Fuel Snap Mavericks' Win Streak In Overtime Thriller</t>
  </si>
  <si>
    <t>Saturday was Wizard Night at Fishers Event Center, and the Indy Fuel showed off some magic in front of a sellout crowd of 6,564 with a 3-2 overtime win over the Kansas City Mavericks.
Kyle Maksimovich scored a power-play goal, his second tally on the night, to win it in the extra frame.</t>
  </si>
  <si>
    <t>Indy Fuel Win in Overtime: An Exciting Victory over Kansas City Mavericks</t>
  </si>
  <si>
    <t>Kyle Maksimovich found the perfect spot to score his second goal of the night, in overtime, to provide the Indy Fuel a big 3-2 win over the Kansas City Mavericks, before a Fishers Event Center sellout crowd of 6,564 Saturday night.</t>
  </si>
  <si>
    <t>Fuel Let Socks Fly In Overtime Win Against Kansas City</t>
  </si>
  <si>
    <t>February 8, 2025 - ECHL (ECHL)
Indy Fuel News Release
FISHERS- The Fuel hosted the Kansas City Mavericks for Wizard Night on Saturday. In front of a sold out crowd of 6,564 fans, Indy collected 7,896 socks to donate to homeless shelters around the city.</t>
  </si>
  <si>
    <t>Mavericks' Six-Game Win Streak Snapped in Overtime Loss to Fuel</t>
  </si>
  <si>
    <t>February 8, 2025 - ECHL (ECHL)
Kansas City Mavericks News Release
Fishers, IN - The Kansas City Mavericks' six-game winning streak came to an end Saturday night with a 3-2 overtime loss to the Indy Fuel at Fishers Event Center.</t>
  </si>
  <si>
    <t>Star Wars Night at Indy Fuel Ice Hockey</t>
  </si>
  <si>
    <t>Ross Hollebon</t>
  </si>
  <si>
    <t>Fantha Tracks</t>
  </si>
  <si>
    <t>satmar10:00 amsat3:00 pmEcho Base Live: Episode XVI: 29th March 2025TIME UNTIL THE EVENT ENDS:Star Guest Dinner – Friday 28th MarchEcho Base LIVE – Saturday 29th MarchEvent by Echo Base LIVEKingfisher Square, Redditch, B97 4, United KingdomSaturday 12th October 2023 from 10:00-15:00Price: free · Duration: 5 hrEarly bird entry from 9.15am. The passes will be given out in the queue from 8am. Passes will also be available to collect on Friday evening from 5-7pm from the front door of the venue.</t>
  </si>
  <si>
    <t>Indy Fuel vs Wheeling Nailers: A Penalty-Filled Contest</t>
  </si>
  <si>
    <t>When 3 Fuel players were suspended after a penalty-filled contest Sunday at Fort Wayne, Indy knew it would be a tough Friday night.  It was.  Without Cam Hausinger, Nathan Burke, and Lucas Brenton in the lineup, the Fuel lost to the Wheeling Nailers 6-3 at the Fishers Event Center. The Fuel’s Kyle Maksimovich found the back of the net first with only a half-second remaining in the first period, giving the home team its first and only lead of the night, 1-0.</t>
  </si>
  <si>
    <t>Fuel Fall to Nailers on Friday Night</t>
  </si>
  <si>
    <t>February 7, 2025 - ECHL (ECHL)
Indy Fuel News Release
FISHERS- The Fuel hosted the Wheeling Nailers on Friday night.</t>
  </si>
  <si>
    <t>Indy Fuel to host annual Hockey is for Everyone Night, emphasizing inclusivity</t>
  </si>
  <si>
    <t>Michaela Springer</t>
  </si>
  <si>
    <t>WISH-TV (Indianapolis, IN)</t>
  </si>
  <si>
    <t>INDIANAPOLIS (WISH) — Friday evening marks the return of Indy Fuel’s annual Hockey is for Everyone Night – a night to emphasize that hockey is an inclusive sport. 
The puck drops at 7 p.m. at the Fishers Event Center, and as the name implies, everyone is invited.</t>
  </si>
  <si>
    <t>Indianapolis weekend events: Polar Plunge, Winterfest, Billy Joel &amp; Sting and more</t>
  </si>
  <si>
    <t>ğ Hit the ice at Fishers Event Center with two Indy Fuel games this weekend.
• The Fuel will take on the Wheeling Nailers at 7pm Friday. Tickets start at $24.
• The team hosts the Kansas City Mavericks at 7pm Saturday. Tickets start at $24.</t>
  </si>
  <si>
    <t>Three Komets suspended for a total of five games after fight with Fuel</t>
  </si>
  <si>
    <t>All three players were suspended by the ECHL on Tuesday for their actions in a fracas at the end of their game Sunday against the Indy Fuel at Memorial Coliseum.</t>
  </si>
  <si>
    <t>Your Guide to Fun in Fishers</t>
  </si>
  <si>
    <t>Lexa Muehlbauer, Caroline ZuHone</t>
  </si>
  <si>
    <t>INDY MAVEN</t>
  </si>
  <si>
    <t>Root on the Indy Fuel – Indy’s minor league hockey team now plays its home games at the Fishers Event Center, the city’s newly-opened premier event hub. This is a must-do winter activity with the kids or if you’re looking for an exciting date night.</t>
  </si>
  <si>
    <t>Fuel fell Fort Wayne in fight-filled final moments; teams combine for 144 penalty minutes in game’s final 41 seconds</t>
  </si>
  <si>
    <t>Bryan Lemos’ empty net goal with 1:10 remaining provided the insurance needed for the Indy Fuel’s 3-1 victory over the Fort Wayne Komets Sunday at the Memorial Coliseum. Little did the 8,403 fans in attendance know that the fireworks were just beginning.</t>
  </si>
  <si>
    <t>Komets vs. Indy Fuel</t>
  </si>
  <si>
    <t>Fort Wayne Komets</t>
  </si>
  <si>
    <t>Your browser is out of date and potentially vulnerable to security risks. We recommend switching to one of the following browsers:</t>
  </si>
  <si>
    <t>Indy Fuel Secure 3-1 Victory Over Fort Wayne Komets in Sunday Showdown</t>
  </si>
  <si>
    <t>After two tough home losses to the Greenville Swamp Rabbits Friday and Saturday, the Indy Fuel bounced back, traveling north on I-69 to defeat the Fort Wayne Komets 3-1.  </t>
  </si>
  <si>
    <t>Komets fight until the end but fall short 3-1 to Indy</t>
  </si>
  <si>
    <t>Fort Wayne, IN -- On Sunday, the Indy Fuel came to town and left with a 3-1 win over the Komets. After a scoreless first period, the deadlock was broken by a Jack Gorniak power-play goal at :13 of the second period as the Fuel got even with a power-play goal at 5:42.</t>
  </si>
  <si>
    <t>Komets Fight Until the End But Fall Short 3-1 to Indy</t>
  </si>
  <si>
    <t>February 2, 2025 - ECHL (ECHL)
Fort Wayne Komets News Release
Fort Wayne, IN -- On Sunday, the Indy Fuel came to town and left with a 3-1 win over the Komets.</t>
  </si>
  <si>
    <t>Fuel Finish Weekend with Win in Fort Wayne</t>
  </si>
  <si>
    <t>February 2, 2025 - ECHL (ECHL)
Indy Fuel News Release
FORT WAYNE - The Fuel finished the weekend in Fort Wayne with a Sunday evening matchup against the Komets.</t>
  </si>
  <si>
    <t>The IN list 2024: 2/3 - 2/9</t>
  </si>
  <si>
    <t>Indy Fuel vs. Wheeling Nailers: 7pm. Fishers Event Center - Fishers, IN. Tickets required.
Saturday, Feb 8
Carmel Winter Farmers Market: 9am-12pm. 611 3rd Avenue SW, Carmel, IN. 
Westfield Winter Farmers Market: 9am-12pm. Westfork Whiskey 10 E 191st St, Westfield, IN.</t>
  </si>
  <si>
    <t>Tough night for the Fuel, losing for the second straight night to Greenville, 5-2</t>
  </si>
  <si>
    <t>The Indy Fuel encountered such a night Saturday, losing for a second straight night to the Greenville Swamp Rabbits, 5-2.  The score makes it look better for the Fuel than the contest was, with Indy scoring 2 quick goals in the final minute.</t>
  </si>
  <si>
    <t>Fuel Fall to Greenville, 5-2 on Saturday</t>
  </si>
  <si>
    <t>February 1, 2025 - ECHL (ECHL)
Indy Fuel News Release
FISHERS- The Fuel hosted the Swamp Rabbits for the second game in a row.</t>
  </si>
  <si>
    <t>Article</t>
  </si>
  <si>
    <t>URL</t>
  </si>
  <si>
    <t>Author</t>
  </si>
  <si>
    <t>Media Outlet</t>
  </si>
  <si>
    <t>Published</t>
  </si>
  <si>
    <t>Snippet</t>
  </si>
  <si>
    <t>UVM (Insights by Similarweb)</t>
  </si>
  <si>
    <t>Journalist Shares</t>
  </si>
  <si>
    <t>Journalist Reach</t>
  </si>
  <si>
    <t>Total Engagement</t>
  </si>
  <si>
    <t>Sentiment</t>
  </si>
  <si>
    <t>Pitch Placement</t>
  </si>
  <si>
    <t>Location Category</t>
  </si>
  <si>
    <t>Local</t>
  </si>
  <si>
    <t>USA</t>
  </si>
  <si>
    <t>International</t>
  </si>
  <si>
    <t>Advertising Value Equivalency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</si>
</sst>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Aptos Narrow"/>
      <family val="2"/>
      <scheme val="minor"/>
    </font>
    <font>
      <sz val="10"/>
      <name val="Arial"/>
    </font>
    <font>
      <b/>
      <sz val="10"/>
      <name val="Arial"/>
    </font>
  </fonts>
  <fills count="2">
    <fill>
      <patternFill patternType="none"/>
    </fill>
    <fill>
      <patternFill patternType="gray125"/>
    </fill>
  </fills>
  <borders count="1">
    <border>
      <left/>
      <right/>
      <top/>
      <bottom/>
      <diagonal/>
    </border>
  </borders>
  <cellStyleXfs count="4">
    <xf numFmtId="0" fontId="0" fillId="0" borderId="0"/>
    <xf numFmtId="0" fontId="1" fillId="0" borderId="0">
      <alignment vertical="top" wrapText="1"/>
    </xf>
    <xf numFmtId="164" fontId="1" fillId="0" borderId="0">
      <alignment vertical="top" wrapText="1"/>
    </xf>
    <xf numFmtId="0" fontId="2" fillId="0" borderId="0"/>
  </cellStyleXfs>
  <cellXfs count="4">
    <xf numFmtId="0" fontId="0" fillId="0" borderId="0" xfId="0"/>
    <xf numFmtId="0" fontId="1" fillId="0" borderId="0" xfId="1">
      <alignment vertical="top" wrapText="1"/>
    </xf>
    <xf numFmtId="164" fontId="1" fillId="0" borderId="0" xfId="2">
      <alignment vertical="top" wrapText="1"/>
    </xf>
    <xf numFmtId="0" fontId="2" fillId="0" borderId="0" xfId="3"/>
  </cellXfs>
  <cellStyles count="4">
    <cellStyle name="mr_datetime" xfId="2" xr:uid="{CA225981-6E55-4ED0-B427-BBD16F8F6A5E}"/>
    <cellStyle name="mr_header" xfId="3" xr:uid="{F170C3EC-E25B-4D8D-A420-A9BD58C9475D}"/>
    <cellStyle name="mr_normal" xfId="1" xr:uid="{84EA78E9-21F1-45B6-B468-DE5DA99C587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25658-EC16-4162-A9F9-0BB455FC56A9}">
  <dimension ref="A1:N68"/>
  <sheetViews>
    <sheetView tabSelected="1" topLeftCell="F67" workbookViewId="0">
      <selection activeCell="G2" sqref="G2:G68"/>
    </sheetView>
  </sheetViews>
  <sheetFormatPr defaultRowHeight="14.4" x14ac:dyDescent="0.3"/>
  <cols>
    <col min="1" max="1" width="17.109375" customWidth="1"/>
    <col min="2" max="2" width="18.44140625" customWidth="1"/>
    <col min="4" max="4" width="14.88671875" customWidth="1"/>
    <col min="5" max="5" width="21.21875" customWidth="1"/>
    <col min="6" max="7" width="33.33203125" customWidth="1"/>
    <col min="8" max="8" width="26.88671875" bestFit="1" customWidth="1"/>
    <col min="9" max="9" width="16.44140625" bestFit="1" customWidth="1"/>
    <col min="10" max="10" width="15.77734375" bestFit="1" customWidth="1"/>
    <col min="11" max="11" width="16.88671875" bestFit="1" customWidth="1"/>
    <col min="12" max="12" width="9.77734375" bestFit="1" customWidth="1"/>
    <col min="13" max="13" width="15.109375" bestFit="1" customWidth="1"/>
    <col min="14" max="14" width="17.33203125" bestFit="1" customWidth="1"/>
  </cols>
  <sheetData>
    <row r="1" spans="1:14" x14ac:dyDescent="0.3">
      <c r="A1" s="3" t="s">
        <v>159</v>
      </c>
      <c r="B1" s="3" t="s">
        <v>160</v>
      </c>
      <c r="C1" s="3" t="s">
        <v>161</v>
      </c>
      <c r="D1" s="3" t="s">
        <v>162</v>
      </c>
      <c r="E1" s="3" t="s">
        <v>163</v>
      </c>
      <c r="F1" s="3" t="s">
        <v>164</v>
      </c>
      <c r="G1" s="3" t="s">
        <v>175</v>
      </c>
      <c r="H1" s="3" t="s">
        <v>165</v>
      </c>
      <c r="I1" s="3" t="s">
        <v>166</v>
      </c>
      <c r="J1" s="3" t="s">
        <v>167</v>
      </c>
      <c r="K1" s="3" t="s">
        <v>168</v>
      </c>
      <c r="L1" s="3" t="s">
        <v>169</v>
      </c>
      <c r="M1" s="3" t="s">
        <v>170</v>
      </c>
      <c r="N1" s="3" t="s">
        <v>171</v>
      </c>
    </row>
    <row r="2" spans="1:14" ht="118.8" x14ac:dyDescent="0.3">
      <c r="A2" s="1" t="s">
        <v>0</v>
      </c>
      <c r="B2" s="1" t="str">
        <f>HYPERLINK("https://www.journalgazette.net/sports/professional/komets/komets-score-4-goals-in-second-period-roll-to-7-2-over-indy-fuel/article_6ef76c08-f64c-11ef-8ac1-0b794fbdefdf.html")</f>
        <v>https://www.journalgazette.net/sports/professional/komets/komets-score-4-goals-in-second-period-roll-to-7-2-over-indy-fuel/article_6ef76c08-f64c-11ef-8ac1-0b794fbdefdf.html</v>
      </c>
      <c r="C2" s="1" t="s">
        <v>1</v>
      </c>
      <c r="D2" s="1" t="s">
        <v>2</v>
      </c>
      <c r="E2" s="2">
        <v>45716.972800925927</v>
      </c>
      <c r="F2" s="1" t="s">
        <v>3</v>
      </c>
      <c r="G2" s="1">
        <f>H2*0.025*0.35</f>
        <v>426.58</v>
      </c>
      <c r="H2" s="1">
        <v>48752</v>
      </c>
      <c r="I2" s="1">
        <v>0</v>
      </c>
      <c r="J2" s="1">
        <v>0</v>
      </c>
      <c r="K2" s="1">
        <v>0</v>
      </c>
      <c r="L2" s="1" t="s">
        <v>4</v>
      </c>
      <c r="M2" s="1"/>
      <c r="N2" t="s">
        <v>172</v>
      </c>
    </row>
    <row r="3" spans="1:14" ht="118.8" x14ac:dyDescent="0.3">
      <c r="A3" s="1" t="s">
        <v>5</v>
      </c>
      <c r="B3" s="1" t="str">
        <f>HYPERLINK("https://www.journalgazette.net/multimedia/friday-gallery-komets-take-on-the-indy-fuel-at-memorial-coliseum/collection_421858be-f647-11ef-b490-230fec6f627e.html")</f>
        <v>https://www.journalgazette.net/multimedia/friday-gallery-komets-take-on-the-indy-fuel-at-memorial-coliseum/collection_421858be-f647-11ef-b490-230fec6f627e.html</v>
      </c>
      <c r="C3" s="1" t="s">
        <v>6</v>
      </c>
      <c r="D3" s="1" t="s">
        <v>2</v>
      </c>
      <c r="E3" s="2">
        <v>45716.93141203704</v>
      </c>
      <c r="F3" s="1" t="s">
        <v>7</v>
      </c>
      <c r="G3" s="1">
        <f t="shared" ref="G3:G66" si="0">H3*0.025*0.35</f>
        <v>426.58</v>
      </c>
      <c r="H3" s="1">
        <v>48752</v>
      </c>
      <c r="I3" s="1">
        <v>2</v>
      </c>
      <c r="J3" s="1">
        <v>2929</v>
      </c>
      <c r="K3" s="1">
        <v>3</v>
      </c>
      <c r="L3" s="1" t="s">
        <v>8</v>
      </c>
      <c r="M3" s="1"/>
      <c r="N3" t="s">
        <v>172</v>
      </c>
    </row>
    <row r="4" spans="1:14" ht="118.8" x14ac:dyDescent="0.3">
      <c r="A4" s="1" t="s">
        <v>9</v>
      </c>
      <c r="B4" s="1" t="str">
        <f>HYPERLINK("https://www.journalgazette.net/sports/professional/komets/ice-chips/komets-postgame-blog-komets-whip-indy-fuel/article_9b32ff7c-f637-11ef-a392-a7c1ba0dbeb9.html")</f>
        <v>https://www.journalgazette.net/sports/professional/komets/ice-chips/komets-postgame-blog-komets-whip-indy-fuel/article_9b32ff7c-f637-11ef-a392-a7c1ba0dbeb9.html</v>
      </c>
      <c r="C4" s="1" t="s">
        <v>1</v>
      </c>
      <c r="D4" s="1" t="s">
        <v>2</v>
      </c>
      <c r="E4" s="2">
        <v>45716.930081018523</v>
      </c>
      <c r="F4" s="1" t="s">
        <v>10</v>
      </c>
      <c r="G4" s="1">
        <f t="shared" si="0"/>
        <v>426.58</v>
      </c>
      <c r="H4" s="1">
        <v>48752</v>
      </c>
      <c r="I4" s="1">
        <v>1</v>
      </c>
      <c r="J4" s="1">
        <v>774</v>
      </c>
      <c r="K4" s="1">
        <v>2</v>
      </c>
      <c r="L4" s="1" t="s">
        <v>4</v>
      </c>
      <c r="M4" s="1"/>
      <c r="N4" t="s">
        <v>172</v>
      </c>
    </row>
    <row r="5" spans="1:14" ht="52.8" x14ac:dyDescent="0.3">
      <c r="A5" s="1" t="s">
        <v>11</v>
      </c>
      <c r="B5" s="1" t="str">
        <f>HYPERLINK("https://komets.com/news/2025/02/komets-beat-up-on-the-fuel-7-2")</f>
        <v>https://komets.com/news/2025/02/komets-beat-up-on-the-fuel-7-2</v>
      </c>
      <c r="C5" s="1"/>
      <c r="D5" s="1" t="s">
        <v>12</v>
      </c>
      <c r="E5" s="2">
        <v>45716.925000000003</v>
      </c>
      <c r="F5" s="1" t="s">
        <v>13</v>
      </c>
      <c r="G5" s="1">
        <f t="shared" si="0"/>
        <v>0</v>
      </c>
      <c r="H5" s="1"/>
      <c r="I5" s="1">
        <v>0</v>
      </c>
      <c r="J5" s="1">
        <v>0</v>
      </c>
      <c r="K5" s="1">
        <v>0</v>
      </c>
      <c r="L5" s="1" t="s">
        <v>8</v>
      </c>
      <c r="M5" s="1"/>
      <c r="N5" t="s">
        <v>173</v>
      </c>
    </row>
    <row r="6" spans="1:14" ht="158.4" x14ac:dyDescent="0.3">
      <c r="A6" s="1" t="s">
        <v>16</v>
      </c>
      <c r="B6" s="1" t="str">
        <f>HYPERLINK("https://www.oursportscentral.com/services/releases/fuel-defeated-by-komets-on-friday-night/n-6195858")</f>
        <v>https://www.oursportscentral.com/services/releases/fuel-defeated-by-komets-on-friday-night/n-6195858</v>
      </c>
      <c r="C6" s="1"/>
      <c r="D6" s="1" t="s">
        <v>14</v>
      </c>
      <c r="E6" s="2">
        <v>45716.852083333331</v>
      </c>
      <c r="F6" s="1" t="s">
        <v>17</v>
      </c>
      <c r="G6" s="1">
        <f t="shared" si="0"/>
        <v>353.51749999999998</v>
      </c>
      <c r="H6" s="1">
        <v>40402</v>
      </c>
      <c r="I6" s="1">
        <v>0</v>
      </c>
      <c r="J6" s="1">
        <v>0</v>
      </c>
      <c r="K6" s="1">
        <v>0</v>
      </c>
      <c r="L6" s="1" t="s">
        <v>15</v>
      </c>
      <c r="M6" s="1"/>
      <c r="N6" t="s">
        <v>173</v>
      </c>
    </row>
    <row r="7" spans="1:14" ht="132" x14ac:dyDescent="0.3">
      <c r="A7" s="1" t="s">
        <v>18</v>
      </c>
      <c r="B7" s="1" t="str">
        <f>HYPERLINK("https://www.journalgazette.net/sports/professional/komets/ice-chips/komets-pregame-blog-indy-fuel-21-22-4-3-at-komets-30-17-4/article_041bedee-f635-11ef-9c33-3b4348c8b4ee.html")</f>
        <v>https://www.journalgazette.net/sports/professional/komets/ice-chips/komets-pregame-blog-indy-fuel-21-22-4-3-at-komets-30-17-4/article_041bedee-f635-11ef-9c33-3b4348c8b4ee.html</v>
      </c>
      <c r="C7" s="1" t="s">
        <v>1</v>
      </c>
      <c r="D7" s="1" t="s">
        <v>2</v>
      </c>
      <c r="E7" s="2">
        <v>45716.832685185182</v>
      </c>
      <c r="F7" s="1" t="s">
        <v>19</v>
      </c>
      <c r="G7" s="1">
        <f t="shared" si="0"/>
        <v>426.58</v>
      </c>
      <c r="H7" s="1">
        <v>48752</v>
      </c>
      <c r="I7" s="1">
        <v>1</v>
      </c>
      <c r="J7" s="1">
        <v>769</v>
      </c>
      <c r="K7" s="1">
        <v>1</v>
      </c>
      <c r="L7" s="1" t="s">
        <v>15</v>
      </c>
      <c r="M7" s="1"/>
      <c r="N7" t="s">
        <v>172</v>
      </c>
    </row>
    <row r="8" spans="1:14" ht="105.6" x14ac:dyDescent="0.3">
      <c r="A8" s="1" t="s">
        <v>20</v>
      </c>
      <c r="B8" s="1" t="str">
        <f>HYPERLINK("https://www.oursportscentral.com/services/releases/komets-beat-up-on-the-fuel-7-2/n-6195780")</f>
        <v>https://www.oursportscentral.com/services/releases/komets-beat-up-on-the-fuel-7-2/n-6195780</v>
      </c>
      <c r="C8" s="1"/>
      <c r="D8" s="1" t="s">
        <v>14</v>
      </c>
      <c r="E8" s="2">
        <v>45716.8125</v>
      </c>
      <c r="F8" s="1" t="s">
        <v>21</v>
      </c>
      <c r="G8" s="1">
        <f t="shared" si="0"/>
        <v>353.51749999999998</v>
      </c>
      <c r="H8" s="1">
        <v>40402</v>
      </c>
      <c r="I8" s="1">
        <v>0</v>
      </c>
      <c r="J8" s="1">
        <v>0</v>
      </c>
      <c r="K8" s="1">
        <v>0</v>
      </c>
      <c r="L8" s="1" t="s">
        <v>8</v>
      </c>
      <c r="M8" s="1"/>
      <c r="N8" t="s">
        <v>173</v>
      </c>
    </row>
    <row r="9" spans="1:14" ht="79.2" x14ac:dyDescent="0.3">
      <c r="A9" s="1" t="s">
        <v>29</v>
      </c>
      <c r="B9" s="1" t="str">
        <f>HYPERLINK("https://pantagraph.com/sports/professional/hockey/article_8744f592-f3d5-11ef-9b3f-13f42baf3ba7.html")</f>
        <v>https://pantagraph.com/sports/professional/hockey/article_8744f592-f3d5-11ef-9b3f-13f42baf3ba7.html</v>
      </c>
      <c r="C9" s="1" t="s">
        <v>30</v>
      </c>
      <c r="D9" s="1" t="s">
        <v>31</v>
      </c>
      <c r="E9" s="2">
        <v>45713.893125000002</v>
      </c>
      <c r="F9" s="1" t="s">
        <v>32</v>
      </c>
      <c r="G9" s="1">
        <f t="shared" si="0"/>
        <v>761.38124999999991</v>
      </c>
      <c r="H9" s="1">
        <v>87015</v>
      </c>
      <c r="I9" s="1">
        <v>0</v>
      </c>
      <c r="J9" s="1">
        <v>0</v>
      </c>
      <c r="K9" s="1">
        <v>0</v>
      </c>
      <c r="L9" s="1" t="s">
        <v>4</v>
      </c>
      <c r="M9" s="1"/>
      <c r="N9" t="s">
        <v>172</v>
      </c>
    </row>
    <row r="10" spans="1:14" ht="79.2" x14ac:dyDescent="0.3">
      <c r="A10" s="1" t="s">
        <v>33</v>
      </c>
      <c r="B10" s="1" t="str">
        <f>HYPERLINK("https://pantagraph.com/sports/professional/hockey/article_005f2470-f2d7-11ef-a186-1ff583a2350f.html")</f>
        <v>https://pantagraph.com/sports/professional/hockey/article_005f2470-f2d7-11ef-a186-1ff583a2350f.html</v>
      </c>
      <c r="C10" s="1" t="s">
        <v>30</v>
      </c>
      <c r="D10" s="1" t="s">
        <v>31</v>
      </c>
      <c r="E10" s="2">
        <v>45713.887337962973</v>
      </c>
      <c r="F10" s="1" t="s">
        <v>32</v>
      </c>
      <c r="G10" s="1">
        <f t="shared" si="0"/>
        <v>761.38124999999991</v>
      </c>
      <c r="H10" s="1">
        <v>87015</v>
      </c>
      <c r="I10" s="1">
        <v>0</v>
      </c>
      <c r="J10" s="1">
        <v>0</v>
      </c>
      <c r="K10" s="1">
        <v>0</v>
      </c>
      <c r="L10" s="1" t="s">
        <v>4</v>
      </c>
      <c r="M10" s="1"/>
      <c r="N10" t="s">
        <v>172</v>
      </c>
    </row>
    <row r="11" spans="1:14" ht="132" x14ac:dyDescent="0.3">
      <c r="A11" s="1" t="s">
        <v>33</v>
      </c>
      <c r="B11" s="1" t="str">
        <f>HYPERLINK("https://pantagraph.com/sports/professional/hockey/takeaways-from-the-bloomington-bisons-weekend-series-with-the-indy-fuel/article_005f2470-f2d7-11ef-a186-1ff583a2350f.html")</f>
        <v>https://pantagraph.com/sports/professional/hockey/takeaways-from-the-bloomington-bisons-weekend-series-with-the-indy-fuel/article_005f2470-f2d7-11ef-a186-1ff583a2350f.html</v>
      </c>
      <c r="C11" s="1" t="s">
        <v>30</v>
      </c>
      <c r="D11" s="1" t="s">
        <v>31</v>
      </c>
      <c r="E11" s="2">
        <v>45712.633425925917</v>
      </c>
      <c r="F11" s="1" t="s">
        <v>32</v>
      </c>
      <c r="G11" s="1">
        <f t="shared" si="0"/>
        <v>761.38124999999991</v>
      </c>
      <c r="H11" s="1">
        <v>87015</v>
      </c>
      <c r="I11" s="1">
        <v>0</v>
      </c>
      <c r="J11" s="1">
        <v>0</v>
      </c>
      <c r="K11" s="1">
        <v>18</v>
      </c>
      <c r="L11" s="1" t="s">
        <v>4</v>
      </c>
      <c r="M11" s="1"/>
      <c r="N11" t="s">
        <v>172</v>
      </c>
    </row>
    <row r="12" spans="1:14" ht="66" x14ac:dyDescent="0.3">
      <c r="A12" s="1" t="s">
        <v>38</v>
      </c>
      <c r="B12" s="1" t="str">
        <f>HYPERLINK("https://www.larryinfishers.com/2025/02/23/fuel-shut-out-by-bison-in-bloomington-finale/")</f>
        <v>https://www.larryinfishers.com/2025/02/23/fuel-shut-out-by-bison-in-bloomington-finale/</v>
      </c>
      <c r="C12" s="1"/>
      <c r="D12" s="1" t="s">
        <v>28</v>
      </c>
      <c r="E12" s="2">
        <v>45711.859340277777</v>
      </c>
      <c r="F12" s="1" t="s">
        <v>39</v>
      </c>
      <c r="G12" s="1">
        <f t="shared" si="0"/>
        <v>30.703749999999999</v>
      </c>
      <c r="H12" s="1">
        <v>3509</v>
      </c>
      <c r="I12" s="1">
        <v>0</v>
      </c>
      <c r="J12" s="1">
        <v>0</v>
      </c>
      <c r="K12" s="1">
        <v>20</v>
      </c>
      <c r="L12" s="1" t="s">
        <v>15</v>
      </c>
      <c r="M12" s="1"/>
      <c r="N12" t="s">
        <v>172</v>
      </c>
    </row>
    <row r="13" spans="1:14" ht="105.6" x14ac:dyDescent="0.3">
      <c r="A13" s="1" t="s">
        <v>40</v>
      </c>
      <c r="B13" s="1" t="str">
        <f>HYPERLINK("https://www.oursportscentral.com/services/releases/fuel-shut-out-by-bison-on-sunday-afternoon/n-6194232")</f>
        <v>https://www.oursportscentral.com/services/releases/fuel-shut-out-by-bison-on-sunday-afternoon/n-6194232</v>
      </c>
      <c r="C13" s="1"/>
      <c r="D13" s="1" t="s">
        <v>14</v>
      </c>
      <c r="E13" s="2">
        <v>45711.745833333327</v>
      </c>
      <c r="F13" s="1" t="s">
        <v>41</v>
      </c>
      <c r="G13" s="1">
        <f t="shared" si="0"/>
        <v>353.51749999999998</v>
      </c>
      <c r="H13" s="1">
        <v>40402</v>
      </c>
      <c r="I13" s="1">
        <v>0</v>
      </c>
      <c r="J13" s="1">
        <v>0</v>
      </c>
      <c r="K13" s="1">
        <v>0</v>
      </c>
      <c r="L13" s="1" t="s">
        <v>15</v>
      </c>
      <c r="M13" s="1"/>
      <c r="N13" t="s">
        <v>173</v>
      </c>
    </row>
    <row r="14" spans="1:14" ht="145.19999999999999" x14ac:dyDescent="0.3">
      <c r="A14" s="1" t="s">
        <v>42</v>
      </c>
      <c r="B14" s="1" t="str">
        <f>HYPERLINK("https://www.keepingupincarmel.com/post/the-in-list-2025-2-24-3-2")</f>
        <v>https://www.keepingupincarmel.com/post/the-in-list-2025-2-24-3-2</v>
      </c>
      <c r="C14" s="1" t="s">
        <v>43</v>
      </c>
      <c r="D14" s="1" t="s">
        <v>44</v>
      </c>
      <c r="E14" s="2">
        <v>45711.670370370368</v>
      </c>
      <c r="F14" s="1" t="s">
        <v>45</v>
      </c>
      <c r="G14" s="1">
        <f t="shared" si="0"/>
        <v>6.0025000000000004</v>
      </c>
      <c r="H14" s="1">
        <v>686</v>
      </c>
      <c r="I14" s="1">
        <v>0</v>
      </c>
      <c r="J14" s="1">
        <v>0</v>
      </c>
      <c r="K14" s="1">
        <v>0</v>
      </c>
      <c r="L14" s="1" t="s">
        <v>8</v>
      </c>
      <c r="M14" s="1"/>
      <c r="N14" t="s">
        <v>172</v>
      </c>
    </row>
    <row r="15" spans="1:14" ht="105.6" x14ac:dyDescent="0.3">
      <c r="A15" s="1" t="s">
        <v>46</v>
      </c>
      <c r="B15" s="1" t="str">
        <f>HYPERLINK("https://pantagraph.com/news/local/highlights-bloomington-bison-vs-indy-fuel-2-22-25/video_eaa8b685-53bc-549a-aaf2-18da3a9f5a01.html")</f>
        <v>https://pantagraph.com/news/local/highlights-bloomington-bison-vs-indy-fuel-2-22-25/video_eaa8b685-53bc-549a-aaf2-18da3a9f5a01.html</v>
      </c>
      <c r="C15" s="1"/>
      <c r="D15" s="1" t="s">
        <v>31</v>
      </c>
      <c r="E15" s="2">
        <v>45711.071527777778</v>
      </c>
      <c r="F15" s="1" t="s">
        <v>47</v>
      </c>
      <c r="G15" s="1">
        <f t="shared" si="0"/>
        <v>761.38124999999991</v>
      </c>
      <c r="H15" s="1">
        <v>87015</v>
      </c>
      <c r="I15" s="1">
        <v>0</v>
      </c>
      <c r="J15" s="1">
        <v>0</v>
      </c>
      <c r="K15" s="1">
        <v>0</v>
      </c>
      <c r="L15" s="1" t="s">
        <v>8</v>
      </c>
      <c r="M15" s="1"/>
      <c r="N15" t="s">
        <v>172</v>
      </c>
    </row>
    <row r="16" spans="1:14" ht="92.4" x14ac:dyDescent="0.3">
      <c r="A16" s="1" t="s">
        <v>48</v>
      </c>
      <c r="B16" s="1" t="str">
        <f>HYPERLINK("https://www.larryinfishers.com/2025/02/22/fuel-edge-bison-in-overtime-thriller/")</f>
        <v>https://www.larryinfishers.com/2025/02/22/fuel-edge-bison-in-overtime-thriller/</v>
      </c>
      <c r="C16" s="1"/>
      <c r="D16" s="1" t="s">
        <v>28</v>
      </c>
      <c r="E16" s="2">
        <v>45710.993495370371</v>
      </c>
      <c r="F16" s="1" t="s">
        <v>49</v>
      </c>
      <c r="G16" s="1">
        <f t="shared" si="0"/>
        <v>30.703749999999999</v>
      </c>
      <c r="H16" s="1">
        <v>3509</v>
      </c>
      <c r="I16" s="1">
        <v>0</v>
      </c>
      <c r="J16" s="1">
        <v>0</v>
      </c>
      <c r="K16" s="1">
        <v>9</v>
      </c>
      <c r="L16" s="1" t="s">
        <v>4</v>
      </c>
      <c r="M16" s="1"/>
      <c r="N16" t="s">
        <v>172</v>
      </c>
    </row>
    <row r="17" spans="1:14" ht="92.4" x14ac:dyDescent="0.3">
      <c r="A17" s="1" t="s">
        <v>50</v>
      </c>
      <c r="B17" s="1" t="str">
        <f>HYPERLINK("https://www.oursportscentral.com/services/releases/fuel-beat-bison-in-saturday-overtime-game/n-6193944")</f>
        <v>https://www.oursportscentral.com/services/releases/fuel-beat-bison-in-saturday-overtime-game/n-6193944</v>
      </c>
      <c r="C17" s="1"/>
      <c r="D17" s="1" t="s">
        <v>14</v>
      </c>
      <c r="E17" s="2">
        <v>45710.847222222219</v>
      </c>
      <c r="F17" s="1" t="s">
        <v>51</v>
      </c>
      <c r="G17" s="1">
        <f t="shared" si="0"/>
        <v>353.51749999999998</v>
      </c>
      <c r="H17" s="1">
        <v>40402</v>
      </c>
      <c r="I17" s="1">
        <v>0</v>
      </c>
      <c r="J17" s="1">
        <v>0</v>
      </c>
      <c r="K17" s="1">
        <v>0</v>
      </c>
      <c r="L17" s="1" t="s">
        <v>4</v>
      </c>
      <c r="M17" s="1"/>
      <c r="N17" t="s">
        <v>173</v>
      </c>
    </row>
    <row r="18" spans="1:14" ht="105.6" x14ac:dyDescent="0.3">
      <c r="A18" s="1" t="s">
        <v>52</v>
      </c>
      <c r="B18" s="1" t="str">
        <f>HYPERLINK("https://pantagraph.com/news/local/highlights-bloomington-bison-vs-indy-fuel-2-21-25/video_57b86c3e-656e-5a9d-820b-0821b7b42be7.html")</f>
        <v>https://pantagraph.com/news/local/highlights-bloomington-bison-vs-indy-fuel-2-21-25/video_57b86c3e-656e-5a9d-820b-0821b7b42be7.html</v>
      </c>
      <c r="C18" s="1"/>
      <c r="D18" s="1" t="s">
        <v>31</v>
      </c>
      <c r="E18" s="2">
        <v>45710.664768518523</v>
      </c>
      <c r="F18" s="1" t="s">
        <v>53</v>
      </c>
      <c r="G18" s="1">
        <f t="shared" si="0"/>
        <v>761.38124999999991</v>
      </c>
      <c r="H18" s="1">
        <v>87015</v>
      </c>
      <c r="I18" s="1">
        <v>0</v>
      </c>
      <c r="J18" s="1">
        <v>0</v>
      </c>
      <c r="K18" s="1">
        <v>0</v>
      </c>
      <c r="L18" s="1" t="s">
        <v>8</v>
      </c>
      <c r="M18" s="1"/>
      <c r="N18" t="s">
        <v>172</v>
      </c>
    </row>
    <row r="19" spans="1:14" ht="92.4" x14ac:dyDescent="0.3">
      <c r="A19" s="1" t="s">
        <v>54</v>
      </c>
      <c r="B19" s="1" t="str">
        <f>HYPERLINK("https://www.larryinfishers.com/2025/02/22/fuel-fall-to-bison-5-2-in-bloomington/")</f>
        <v>https://www.larryinfishers.com/2025/02/22/fuel-fall-to-bison-5-2-in-bloomington/</v>
      </c>
      <c r="C19" s="1"/>
      <c r="D19" s="1" t="s">
        <v>28</v>
      </c>
      <c r="E19" s="2">
        <v>45710.010821759257</v>
      </c>
      <c r="F19" s="1" t="s">
        <v>55</v>
      </c>
      <c r="G19" s="1">
        <f t="shared" si="0"/>
        <v>30.703749999999999</v>
      </c>
      <c r="H19" s="1">
        <v>3509</v>
      </c>
      <c r="I19" s="1">
        <v>0</v>
      </c>
      <c r="J19" s="1">
        <v>0</v>
      </c>
      <c r="K19" s="1">
        <v>15</v>
      </c>
      <c r="L19" s="1" t="s">
        <v>15</v>
      </c>
      <c r="M19" s="1"/>
      <c r="N19" t="s">
        <v>172</v>
      </c>
    </row>
    <row r="20" spans="1:14" ht="118.8" x14ac:dyDescent="0.3">
      <c r="A20" s="1" t="s">
        <v>56</v>
      </c>
      <c r="B20" s="1" t="str">
        <f>HYPERLINK("https://www.oursportscentral.com/services/releases/fuel-fall-to-bison-in-first-of-four-games/n-6193603")</f>
        <v>https://www.oursportscentral.com/services/releases/fuel-fall-to-bison-in-first-of-four-games/n-6193603</v>
      </c>
      <c r="C20" s="1"/>
      <c r="D20" s="1" t="s">
        <v>14</v>
      </c>
      <c r="E20" s="2">
        <v>45709.881944444453</v>
      </c>
      <c r="F20" s="1" t="s">
        <v>57</v>
      </c>
      <c r="G20" s="1">
        <f t="shared" si="0"/>
        <v>353.51749999999998</v>
      </c>
      <c r="H20" s="1">
        <v>40402</v>
      </c>
      <c r="I20" s="1">
        <v>0</v>
      </c>
      <c r="J20" s="1">
        <v>0</v>
      </c>
      <c r="K20" s="1">
        <v>0</v>
      </c>
      <c r="L20" s="1" t="s">
        <v>8</v>
      </c>
      <c r="M20" s="1"/>
      <c r="N20" t="s">
        <v>173</v>
      </c>
    </row>
    <row r="21" spans="1:14" ht="118.8" x14ac:dyDescent="0.3">
      <c r="A21" s="1" t="s">
        <v>58</v>
      </c>
      <c r="B21" s="1" t="str">
        <f>HYPERLINK("https://www.oursportscentral.com/services/releases/mavericks-acquire-defenseman-thomas-farrell-from-indy-in-trade/n-6193145")</f>
        <v>https://www.oursportscentral.com/services/releases/mavericks-acquire-defenseman-thomas-farrell-from-indy-in-trade/n-6193145</v>
      </c>
      <c r="C21" s="1"/>
      <c r="D21" s="1" t="s">
        <v>14</v>
      </c>
      <c r="E21" s="2">
        <v>45708.696527777778</v>
      </c>
      <c r="F21" s="1" t="s">
        <v>59</v>
      </c>
      <c r="G21" s="1">
        <f t="shared" si="0"/>
        <v>353.51749999999998</v>
      </c>
      <c r="H21" s="1">
        <v>40402</v>
      </c>
      <c r="I21" s="1">
        <v>0</v>
      </c>
      <c r="J21" s="1">
        <v>0</v>
      </c>
      <c r="K21" s="1">
        <v>0</v>
      </c>
      <c r="L21" s="1" t="s">
        <v>4</v>
      </c>
      <c r="M21" s="1"/>
      <c r="N21" t="s">
        <v>173</v>
      </c>
    </row>
    <row r="22" spans="1:14" ht="79.2" x14ac:dyDescent="0.3">
      <c r="A22" s="1" t="s">
        <v>60</v>
      </c>
      <c r="B22" s="1" t="str">
        <f>HYPERLINK("https://www.wane.com/sports/komets/keppen-leads-komets-to-overtime-win-against-indy/")</f>
        <v>https://www.wane.com/sports/komets/keppen-leads-komets-to-overtime-win-against-indy/</v>
      </c>
      <c r="C22" s="1" t="s">
        <v>35</v>
      </c>
      <c r="D22" s="1" t="s">
        <v>36</v>
      </c>
      <c r="E22" s="2">
        <v>45708.134050925917</v>
      </c>
      <c r="F22" s="1" t="s">
        <v>61</v>
      </c>
      <c r="G22" s="1">
        <f t="shared" si="0"/>
        <v>4658.1062499999998</v>
      </c>
      <c r="H22" s="1">
        <v>532355</v>
      </c>
      <c r="I22" s="1">
        <v>0</v>
      </c>
      <c r="J22" s="1">
        <v>0</v>
      </c>
      <c r="K22" s="1">
        <v>83</v>
      </c>
      <c r="L22" s="1" t="s">
        <v>4</v>
      </c>
      <c r="M22" s="1"/>
      <c r="N22" t="s">
        <v>172</v>
      </c>
    </row>
    <row r="23" spans="1:14" ht="118.8" x14ac:dyDescent="0.3">
      <c r="A23" s="1" t="s">
        <v>62</v>
      </c>
      <c r="B23" s="1" t="str">
        <f>HYPERLINK("https://www.larryinfishers.com/2025/02/19/komets-edge-fuel-in-overtime-thriller/")</f>
        <v>https://www.larryinfishers.com/2025/02/19/komets-edge-fuel-in-overtime-thriller/</v>
      </c>
      <c r="C23" s="1"/>
      <c r="D23" s="1" t="s">
        <v>28</v>
      </c>
      <c r="E23" s="2">
        <v>45707.953564814823</v>
      </c>
      <c r="F23" s="1" t="s">
        <v>63</v>
      </c>
      <c r="G23" s="1">
        <f t="shared" si="0"/>
        <v>30.703749999999999</v>
      </c>
      <c r="H23" s="1">
        <v>3509</v>
      </c>
      <c r="I23" s="1">
        <v>0</v>
      </c>
      <c r="J23" s="1">
        <v>0</v>
      </c>
      <c r="K23" s="1">
        <v>3</v>
      </c>
      <c r="L23" s="1" t="s">
        <v>15</v>
      </c>
      <c r="M23" s="1"/>
      <c r="N23" t="s">
        <v>172</v>
      </c>
    </row>
    <row r="24" spans="1:14" ht="118.8" x14ac:dyDescent="0.3">
      <c r="A24" s="1" t="s">
        <v>64</v>
      </c>
      <c r="B24" s="1" t="str">
        <f>HYPERLINK("https://www.journalgazette.net/sports/professional/komets/keppen-komets-beat-fuel-in-ot-inch-closer-to-walleye/article_5513a818-ef2d-11ef-aa06-372bb7a20842.html")</f>
        <v>https://www.journalgazette.net/sports/professional/komets/keppen-komets-beat-fuel-in-ot-inch-closer-to-walleye/article_5513a818-ef2d-11ef-aa06-372bb7a20842.html</v>
      </c>
      <c r="C24" s="1" t="s">
        <v>34</v>
      </c>
      <c r="D24" s="1" t="s">
        <v>2</v>
      </c>
      <c r="E24" s="2">
        <v>45707.936990740738</v>
      </c>
      <c r="F24" s="1" t="s">
        <v>65</v>
      </c>
      <c r="G24" s="1">
        <f t="shared" si="0"/>
        <v>426.58</v>
      </c>
      <c r="H24" s="1">
        <v>48752</v>
      </c>
      <c r="I24" s="1">
        <v>1</v>
      </c>
      <c r="J24" s="1">
        <v>769</v>
      </c>
      <c r="K24" s="1">
        <v>3</v>
      </c>
      <c r="L24" s="1" t="s">
        <v>8</v>
      </c>
      <c r="M24" s="1"/>
      <c r="N24" t="s">
        <v>172</v>
      </c>
    </row>
    <row r="25" spans="1:14" ht="132" x14ac:dyDescent="0.3">
      <c r="A25" s="1" t="s">
        <v>66</v>
      </c>
      <c r="B25" s="1" t="str">
        <f>HYPERLINK("https://www.flohockey.tv/events/12621424-2025-fort-wayne-komets-vs-indy-fuel")</f>
        <v>https://www.flohockey.tv/events/12621424-2025-fort-wayne-komets-vs-indy-fuel</v>
      </c>
      <c r="C25" s="1"/>
      <c r="D25" s="1" t="s">
        <v>27</v>
      </c>
      <c r="E25" s="2">
        <v>45707</v>
      </c>
      <c r="F25" s="1" t="s">
        <v>67</v>
      </c>
      <c r="G25" s="1">
        <f t="shared" si="0"/>
        <v>2807.7787499999999</v>
      </c>
      <c r="H25" s="1">
        <v>320889</v>
      </c>
      <c r="I25" s="1">
        <v>0</v>
      </c>
      <c r="J25" s="1">
        <v>0</v>
      </c>
      <c r="K25" s="1">
        <v>0</v>
      </c>
      <c r="L25" s="1" t="s">
        <v>15</v>
      </c>
      <c r="M25" s="1"/>
      <c r="N25" t="s">
        <v>173</v>
      </c>
    </row>
    <row r="26" spans="1:14" ht="66" x14ac:dyDescent="0.3">
      <c r="A26" s="1" t="s">
        <v>68</v>
      </c>
      <c r="B26" s="1" t="str">
        <f>HYPERLINK("https://www.oursportscentral.com/services/releases/kenny-called-up-to-indy/n-6192397")</f>
        <v>https://www.oursportscentral.com/services/releases/kenny-called-up-to-indy/n-6192397</v>
      </c>
      <c r="C26" s="1"/>
      <c r="D26" s="1" t="s">
        <v>14</v>
      </c>
      <c r="E26" s="2">
        <v>45706.484027777777</v>
      </c>
      <c r="F26" s="1" t="s">
        <v>69</v>
      </c>
      <c r="G26" s="1">
        <f t="shared" si="0"/>
        <v>353.51749999999998</v>
      </c>
      <c r="H26" s="1">
        <v>40402</v>
      </c>
      <c r="I26" s="1">
        <v>0</v>
      </c>
      <c r="J26" s="1">
        <v>0</v>
      </c>
      <c r="K26" s="1">
        <v>0</v>
      </c>
      <c r="L26" s="1" t="s">
        <v>4</v>
      </c>
      <c r="M26" s="1"/>
      <c r="N26" t="s">
        <v>173</v>
      </c>
    </row>
    <row r="27" spans="1:14" ht="79.2" x14ac:dyDescent="0.3">
      <c r="A27" s="1" t="s">
        <v>70</v>
      </c>
      <c r="B27" s="1" t="str">
        <f>HYPERLINK("https://www.larryinfishers.com/2025/02/16/fuels-kenny-shines-in-debut-as-indy-blanks-cincinnati-2-0/")</f>
        <v>https://www.larryinfishers.com/2025/02/16/fuels-kenny-shines-in-debut-as-indy-blanks-cincinnati-2-0/</v>
      </c>
      <c r="C27" s="1"/>
      <c r="D27" s="1" t="s">
        <v>28</v>
      </c>
      <c r="E27" s="2">
        <v>45704.985162037039</v>
      </c>
      <c r="F27" s="1" t="s">
        <v>71</v>
      </c>
      <c r="G27" s="1">
        <f t="shared" si="0"/>
        <v>30.703749999999999</v>
      </c>
      <c r="H27" s="1">
        <v>3509</v>
      </c>
      <c r="I27" s="1">
        <v>0</v>
      </c>
      <c r="J27" s="1">
        <v>0</v>
      </c>
      <c r="K27" s="1">
        <v>0</v>
      </c>
      <c r="L27" s="1" t="s">
        <v>8</v>
      </c>
      <c r="M27" s="1"/>
      <c r="N27" t="s">
        <v>172</v>
      </c>
    </row>
    <row r="28" spans="1:14" ht="105.6" x14ac:dyDescent="0.3">
      <c r="A28" s="1" t="s">
        <v>72</v>
      </c>
      <c r="B28" s="1" t="str">
        <f>HYPERLINK("https://www.oursportscentral.com/services/releases/cyclones-held-scoreless-lose-to-fuel-2-0/n-6191957")</f>
        <v>https://www.oursportscentral.com/services/releases/cyclones-held-scoreless-lose-to-fuel-2-0/n-6191957</v>
      </c>
      <c r="C28" s="1"/>
      <c r="D28" s="1" t="s">
        <v>14</v>
      </c>
      <c r="E28" s="2">
        <v>45704.747916666667</v>
      </c>
      <c r="F28" s="1" t="s">
        <v>73</v>
      </c>
      <c r="G28" s="1">
        <f t="shared" si="0"/>
        <v>353.51749999999998</v>
      </c>
      <c r="H28" s="1">
        <v>40402</v>
      </c>
      <c r="I28" s="1">
        <v>0</v>
      </c>
      <c r="J28" s="1">
        <v>0</v>
      </c>
      <c r="K28" s="1">
        <v>0</v>
      </c>
      <c r="L28" s="1" t="s">
        <v>15</v>
      </c>
      <c r="M28" s="1"/>
      <c r="N28" t="s">
        <v>173</v>
      </c>
    </row>
    <row r="29" spans="1:14" ht="118.8" x14ac:dyDescent="0.3">
      <c r="A29" s="1" t="s">
        <v>74</v>
      </c>
      <c r="B29" s="1" t="str">
        <f>HYPERLINK("https://www.keepingupincarmel.com/post/the-in-list-2024-2-17-2-23")</f>
        <v>https://www.keepingupincarmel.com/post/the-in-list-2024-2-17-2-23</v>
      </c>
      <c r="C29" s="1" t="s">
        <v>43</v>
      </c>
      <c r="D29" s="1" t="s">
        <v>44</v>
      </c>
      <c r="E29" s="2">
        <v>45704.663310185177</v>
      </c>
      <c r="F29" s="1" t="s">
        <v>75</v>
      </c>
      <c r="G29" s="1">
        <f t="shared" si="0"/>
        <v>6.0025000000000004</v>
      </c>
      <c r="H29" s="1">
        <v>686</v>
      </c>
      <c r="I29" s="1">
        <v>0</v>
      </c>
      <c r="J29" s="1">
        <v>0</v>
      </c>
      <c r="K29" s="1">
        <v>0</v>
      </c>
      <c r="L29" s="1" t="s">
        <v>8</v>
      </c>
      <c r="M29" s="1"/>
      <c r="N29" t="s">
        <v>172</v>
      </c>
    </row>
    <row r="30" spans="1:14" ht="79.2" x14ac:dyDescent="0.3">
      <c r="A30" s="1" t="s">
        <v>76</v>
      </c>
      <c r="B30" s="1" t="str">
        <f>HYPERLINK("https://www.larryinfishers.com/2025/02/16/26670/")</f>
        <v>https://www.larryinfishers.com/2025/02/16/26670/</v>
      </c>
      <c r="C30" s="1"/>
      <c r="D30" s="1" t="s">
        <v>28</v>
      </c>
      <c r="E30" s="2">
        <v>45704.011111111111</v>
      </c>
      <c r="F30" s="1" t="s">
        <v>77</v>
      </c>
      <c r="G30" s="1">
        <f t="shared" si="0"/>
        <v>30.703749999999999</v>
      </c>
      <c r="H30" s="1">
        <v>3509</v>
      </c>
      <c r="I30" s="1">
        <v>0</v>
      </c>
      <c r="J30" s="1">
        <v>0</v>
      </c>
      <c r="K30" s="1">
        <v>22</v>
      </c>
      <c r="L30" s="1" t="s">
        <v>15</v>
      </c>
      <c r="M30" s="1"/>
      <c r="N30" t="s">
        <v>172</v>
      </c>
    </row>
    <row r="31" spans="1:14" ht="224.4" x14ac:dyDescent="0.3">
      <c r="A31" s="1" t="s">
        <v>78</v>
      </c>
      <c r="B31" s="1" t="str">
        <f>HYPERLINK("https://www.nuvo.net/sports/professional/indy-fuel-vs-florida-everblades/collection_e720bbfa-ecbd-11ef-8902-5b55fe2a7c29.html")</f>
        <v>https://www.nuvo.net/sports/professional/indy-fuel-vs-florida-everblades/collection_e720bbfa-ecbd-11ef-8902-5b55fe2a7c29.html</v>
      </c>
      <c r="C31" s="1" t="s">
        <v>79</v>
      </c>
      <c r="D31" s="1" t="s">
        <v>80</v>
      </c>
      <c r="E31" s="2">
        <v>45704</v>
      </c>
      <c r="F31" s="1" t="s">
        <v>81</v>
      </c>
      <c r="G31" s="1">
        <f t="shared" si="0"/>
        <v>76.614999999999995</v>
      </c>
      <c r="H31" s="1">
        <v>8756</v>
      </c>
      <c r="I31" s="1">
        <v>0</v>
      </c>
      <c r="J31" s="1">
        <v>0</v>
      </c>
      <c r="K31" s="1">
        <v>0</v>
      </c>
      <c r="L31" s="1" t="s">
        <v>4</v>
      </c>
      <c r="M31" s="1"/>
      <c r="N31" t="s">
        <v>172</v>
      </c>
    </row>
    <row r="32" spans="1:14" ht="105.6" x14ac:dyDescent="0.3">
      <c r="A32" s="1" t="s">
        <v>82</v>
      </c>
      <c r="B32" s="1" t="str">
        <f>HYPERLINK("https://www.oursportscentral.com/services/releases/fuel-earn-point-in-shootout-thriller-with-florida/n-6191671")</f>
        <v>https://www.oursportscentral.com/services/releases/fuel-earn-point-in-shootout-thriller-with-florida/n-6191671</v>
      </c>
      <c r="C32" s="1"/>
      <c r="D32" s="1" t="s">
        <v>14</v>
      </c>
      <c r="E32" s="2">
        <v>45703.807638888888</v>
      </c>
      <c r="F32" s="1" t="s">
        <v>83</v>
      </c>
      <c r="G32" s="1">
        <f t="shared" si="0"/>
        <v>353.51749999999998</v>
      </c>
      <c r="H32" s="1">
        <v>40402</v>
      </c>
      <c r="I32" s="1">
        <v>0</v>
      </c>
      <c r="J32" s="1">
        <v>0</v>
      </c>
      <c r="K32" s="1">
        <v>0</v>
      </c>
      <c r="L32" s="1" t="s">
        <v>8</v>
      </c>
      <c r="M32" s="1"/>
      <c r="N32" t="s">
        <v>173</v>
      </c>
    </row>
    <row r="33" spans="1:14" ht="92.4" x14ac:dyDescent="0.3">
      <c r="A33" s="1" t="s">
        <v>84</v>
      </c>
      <c r="B33" s="1" t="str">
        <f>HYPERLINK("https://www.oursportscentral.com/services/releases/blades-sweep-indy-and-win-fifth-straight/n-6191667")</f>
        <v>https://www.oursportscentral.com/services/releases/blades-sweep-indy-and-win-fifth-straight/n-6191667</v>
      </c>
      <c r="C33" s="1"/>
      <c r="D33" s="1" t="s">
        <v>14</v>
      </c>
      <c r="E33" s="2">
        <v>45703.806250000001</v>
      </c>
      <c r="F33" s="1" t="s">
        <v>85</v>
      </c>
      <c r="G33" s="1">
        <f t="shared" si="0"/>
        <v>353.51749999999998</v>
      </c>
      <c r="H33" s="1">
        <v>40402</v>
      </c>
      <c r="I33" s="1">
        <v>0</v>
      </c>
      <c r="J33" s="1">
        <v>0</v>
      </c>
      <c r="K33" s="1">
        <v>0</v>
      </c>
      <c r="L33" s="1" t="s">
        <v>4</v>
      </c>
      <c r="M33" s="1"/>
      <c r="N33" t="s">
        <v>173</v>
      </c>
    </row>
    <row r="34" spans="1:14" ht="92.4" x14ac:dyDescent="0.3">
      <c r="A34" s="1" t="s">
        <v>86</v>
      </c>
      <c r="B34" s="1" t="str">
        <f>HYPERLINK("https://www.larryinfishers.com/2025/02/14/fuel-fall-to-florida-7-3/")</f>
        <v>https://www.larryinfishers.com/2025/02/14/fuel-fall-to-florida-7-3/</v>
      </c>
      <c r="C34" s="1"/>
      <c r="D34" s="1" t="s">
        <v>28</v>
      </c>
      <c r="E34" s="2">
        <v>45702.912187499998</v>
      </c>
      <c r="F34" s="1" t="s">
        <v>87</v>
      </c>
      <c r="G34" s="1">
        <f t="shared" si="0"/>
        <v>30.703749999999999</v>
      </c>
      <c r="H34" s="1">
        <v>3509</v>
      </c>
      <c r="I34" s="1">
        <v>0</v>
      </c>
      <c r="J34" s="1">
        <v>0</v>
      </c>
      <c r="K34" s="1">
        <v>2</v>
      </c>
      <c r="L34" s="1" t="s">
        <v>8</v>
      </c>
      <c r="M34" s="1"/>
      <c r="N34" t="s">
        <v>172</v>
      </c>
    </row>
    <row r="35" spans="1:14" ht="105.6" x14ac:dyDescent="0.3">
      <c r="A35" s="1" t="s">
        <v>88</v>
      </c>
      <c r="B35" s="1" t="str">
        <f>HYPERLINK("https://www.oursportscentral.com/services/releases/fuel-fall-to-florida-on-valentines-day/n-6191310")</f>
        <v>https://www.oursportscentral.com/services/releases/fuel-fall-to-florida-on-valentines-day/n-6191310</v>
      </c>
      <c r="C35" s="1"/>
      <c r="D35" s="1" t="s">
        <v>14</v>
      </c>
      <c r="E35" s="2">
        <v>45702.793055555558</v>
      </c>
      <c r="F35" s="1" t="s">
        <v>89</v>
      </c>
      <c r="G35" s="1">
        <f t="shared" si="0"/>
        <v>353.51749999999998</v>
      </c>
      <c r="H35" s="1">
        <v>40402</v>
      </c>
      <c r="I35" s="1">
        <v>0</v>
      </c>
      <c r="J35" s="1">
        <v>0</v>
      </c>
      <c r="K35" s="1">
        <v>0</v>
      </c>
      <c r="L35" s="1" t="s">
        <v>15</v>
      </c>
      <c r="M35" s="1"/>
      <c r="N35" t="s">
        <v>173</v>
      </c>
    </row>
    <row r="36" spans="1:14" ht="92.4" x14ac:dyDescent="0.3">
      <c r="A36" s="1" t="s">
        <v>90</v>
      </c>
      <c r="B36" s="1" t="str">
        <f>HYPERLINK("https://www.oursportscentral.com/services/releases/valentines-day-massacre-in-indy/n-6191309")</f>
        <v>https://www.oursportscentral.com/services/releases/valentines-day-massacre-in-indy/n-6191309</v>
      </c>
      <c r="C36" s="1"/>
      <c r="D36" s="1" t="s">
        <v>14</v>
      </c>
      <c r="E36" s="2">
        <v>45702.792361111111</v>
      </c>
      <c r="F36" s="1" t="s">
        <v>91</v>
      </c>
      <c r="G36" s="1">
        <f t="shared" si="0"/>
        <v>353.51749999999998</v>
      </c>
      <c r="H36" s="1">
        <v>40402</v>
      </c>
      <c r="I36" s="1">
        <v>0</v>
      </c>
      <c r="J36" s="1">
        <v>0</v>
      </c>
      <c r="K36" s="1">
        <v>0</v>
      </c>
      <c r="L36" s="1" t="s">
        <v>8</v>
      </c>
      <c r="M36" s="1"/>
      <c r="N36" t="s">
        <v>173</v>
      </c>
    </row>
    <row r="37" spans="1:14" ht="79.2" x14ac:dyDescent="0.3">
      <c r="A37" s="1" t="s">
        <v>92</v>
      </c>
      <c r="B37" s="1" t="str">
        <f>HYPERLINK("https://www.axios.com/local/indianapolis/2025/02/13/indianapolis-weekend-events-indy-ignite-winter-beer-fest")</f>
        <v>https://www.axios.com/local/indianapolis/2025/02/13/indianapolis-weekend-events-indy-ignite-winter-beer-fest</v>
      </c>
      <c r="C37" s="1" t="s">
        <v>93</v>
      </c>
      <c r="D37" s="1" t="s">
        <v>26</v>
      </c>
      <c r="E37" s="2">
        <v>45701.265648148154</v>
      </c>
      <c r="F37" s="1" t="s">
        <v>94</v>
      </c>
      <c r="G37" s="1">
        <f t="shared" si="0"/>
        <v>126441.72624999999</v>
      </c>
      <c r="H37" s="1">
        <v>14450483</v>
      </c>
      <c r="I37" s="1">
        <v>0</v>
      </c>
      <c r="J37" s="1">
        <v>0</v>
      </c>
      <c r="K37" s="1">
        <v>0</v>
      </c>
      <c r="L37" s="1" t="s">
        <v>4</v>
      </c>
      <c r="M37" s="1"/>
      <c r="N37" t="s">
        <v>172</v>
      </c>
    </row>
    <row r="38" spans="1:14" ht="92.4" x14ac:dyDescent="0.3">
      <c r="A38" s="1" t="s">
        <v>95</v>
      </c>
      <c r="B38" s="1" t="str">
        <f>HYPERLINK("https://sports.yahoo.com/butler-student-indy-fuels-first-091523575.html")</f>
        <v>https://sports.yahoo.com/butler-student-indy-fuels-first-091523575.html</v>
      </c>
      <c r="C38" s="1" t="s">
        <v>96</v>
      </c>
      <c r="D38" s="1" t="s">
        <v>23</v>
      </c>
      <c r="E38" s="2">
        <v>45701.177349537043</v>
      </c>
      <c r="F38" s="1" t="s">
        <v>97</v>
      </c>
      <c r="G38" s="1">
        <f t="shared" si="0"/>
        <v>202758.57874999999</v>
      </c>
      <c r="H38" s="1">
        <v>23172409</v>
      </c>
      <c r="I38" s="1">
        <v>0</v>
      </c>
      <c r="J38" s="1">
        <v>0</v>
      </c>
      <c r="K38" s="1">
        <v>0</v>
      </c>
      <c r="L38" s="1" t="s">
        <v>8</v>
      </c>
      <c r="M38" s="1"/>
      <c r="N38" t="s">
        <v>173</v>
      </c>
    </row>
    <row r="39" spans="1:14" ht="184.8" x14ac:dyDescent="0.3">
      <c r="A39" s="1" t="s">
        <v>95</v>
      </c>
      <c r="B39" s="1" t="str">
        <f>HYPERLINK("https://www.indystar.com/story/sports/2025/02/13/how-butler-student-became-indy-fuel-hockey-first-woman-broadcaster-eva-hallman/77076262007/")</f>
        <v>https://www.indystar.com/story/sports/2025/02/13/how-butler-student-became-indy-fuel-hockey-first-woman-broadcaster-eva-hallman/77076262007/</v>
      </c>
      <c r="C39" s="1"/>
      <c r="D39" s="1" t="s">
        <v>37</v>
      </c>
      <c r="E39" s="2">
        <v>45701.177349537043</v>
      </c>
      <c r="F39" s="1" t="s">
        <v>98</v>
      </c>
      <c r="G39" s="1">
        <f t="shared" si="0"/>
        <v>26788.702500000003</v>
      </c>
      <c r="H39" s="1">
        <v>3061566</v>
      </c>
      <c r="I39" s="1">
        <v>0</v>
      </c>
      <c r="J39" s="1">
        <v>0</v>
      </c>
      <c r="K39" s="1">
        <v>130</v>
      </c>
      <c r="L39" s="1" t="s">
        <v>8</v>
      </c>
      <c r="M39" s="1"/>
      <c r="N39" t="s">
        <v>172</v>
      </c>
    </row>
    <row r="40" spans="1:14" ht="79.2" x14ac:dyDescent="0.3">
      <c r="A40" s="1" t="s">
        <v>95</v>
      </c>
      <c r="B40" s="1" t="str">
        <f>HYPERLINK("https://article.wn.com/view/2025/02/13/This_Butler_student_is_Indy_Fuels_first_woman_broadcaster_He/")</f>
        <v>https://article.wn.com/view/2025/02/13/This_Butler_student_is_Indy_Fuels_first_woman_broadcaster_He/</v>
      </c>
      <c r="C40" s="1"/>
      <c r="D40" s="1" t="s">
        <v>99</v>
      </c>
      <c r="E40" s="2">
        <v>45701</v>
      </c>
      <c r="F40" s="1"/>
      <c r="G40" s="1">
        <f t="shared" si="0"/>
        <v>1626.7824999999998</v>
      </c>
      <c r="H40" s="1">
        <v>185918</v>
      </c>
      <c r="I40" s="1">
        <v>0</v>
      </c>
      <c r="J40" s="1">
        <v>0</v>
      </c>
      <c r="K40" s="1">
        <v>0</v>
      </c>
      <c r="L40" s="1"/>
      <c r="M40" s="1"/>
      <c r="N40" t="s">
        <v>174</v>
      </c>
    </row>
    <row r="41" spans="1:14" ht="92.4" x14ac:dyDescent="0.3">
      <c r="A41" s="1" t="s">
        <v>100</v>
      </c>
      <c r="B41" s="1" t="str">
        <f>HYPERLINK("https://www.larryinfishers.com/2025/02/12/everblades-outpace-fuel-in-6-3-victory/")</f>
        <v>https://www.larryinfishers.com/2025/02/12/everblades-outpace-fuel-in-6-3-victory/</v>
      </c>
      <c r="C41" s="1"/>
      <c r="D41" s="1" t="s">
        <v>28</v>
      </c>
      <c r="E41" s="2">
        <v>45700.932326388887</v>
      </c>
      <c r="F41" s="1" t="s">
        <v>101</v>
      </c>
      <c r="G41" s="1">
        <f t="shared" si="0"/>
        <v>30.703749999999999</v>
      </c>
      <c r="H41" s="1">
        <v>3509</v>
      </c>
      <c r="I41" s="1">
        <v>0</v>
      </c>
      <c r="J41" s="1">
        <v>0</v>
      </c>
      <c r="K41" s="1">
        <v>2</v>
      </c>
      <c r="L41" s="1" t="s">
        <v>15</v>
      </c>
      <c r="M41" s="1"/>
      <c r="N41" t="s">
        <v>172</v>
      </c>
    </row>
    <row r="42" spans="1:14" ht="105.6" x14ac:dyDescent="0.3">
      <c r="A42" s="1" t="s">
        <v>102</v>
      </c>
      <c r="B42" s="1" t="str">
        <f>HYPERLINK("https://www.oursportscentral.com/services/releases/everblades-light-up-indy-in-6-3-victory/n-6190764")</f>
        <v>https://www.oursportscentral.com/services/releases/everblades-light-up-indy-in-6-3-victory/n-6190764</v>
      </c>
      <c r="C42" s="1"/>
      <c r="D42" s="1" t="s">
        <v>14</v>
      </c>
      <c r="E42" s="2">
        <v>45700.851388888892</v>
      </c>
      <c r="F42" s="1" t="s">
        <v>103</v>
      </c>
      <c r="G42" s="1">
        <f t="shared" si="0"/>
        <v>353.51749999999998</v>
      </c>
      <c r="H42" s="1">
        <v>40402</v>
      </c>
      <c r="I42" s="1">
        <v>0</v>
      </c>
      <c r="J42" s="1">
        <v>0</v>
      </c>
      <c r="K42" s="1">
        <v>0</v>
      </c>
      <c r="L42" s="1" t="s">
        <v>8</v>
      </c>
      <c r="M42" s="1"/>
      <c r="N42" t="s">
        <v>173</v>
      </c>
    </row>
    <row r="43" spans="1:14" ht="105.6" x14ac:dyDescent="0.3">
      <c r="A43" s="1" t="s">
        <v>104</v>
      </c>
      <c r="B43" s="1" t="str">
        <f>HYPERLINK("https://www.oursportscentral.com/services/releases/fuel-fall-to-everblades-in-first-of-three-games/n-6190693")</f>
        <v>https://www.oursportscentral.com/services/releases/fuel-fall-to-everblades-in-first-of-three-games/n-6190693</v>
      </c>
      <c r="C43" s="1"/>
      <c r="D43" s="1" t="s">
        <v>14</v>
      </c>
      <c r="E43" s="2">
        <v>45700.78125</v>
      </c>
      <c r="F43" s="1" t="s">
        <v>105</v>
      </c>
      <c r="G43" s="1">
        <f t="shared" si="0"/>
        <v>353.51749999999998</v>
      </c>
      <c r="H43" s="1">
        <v>40402</v>
      </c>
      <c r="I43" s="1">
        <v>0</v>
      </c>
      <c r="J43" s="1">
        <v>0</v>
      </c>
      <c r="K43" s="1">
        <v>0</v>
      </c>
      <c r="L43" s="1" t="s">
        <v>8</v>
      </c>
      <c r="M43" s="1"/>
      <c r="N43" t="s">
        <v>173</v>
      </c>
    </row>
    <row r="44" spans="1:14" ht="66" x14ac:dyDescent="0.3">
      <c r="A44" s="1" t="s">
        <v>106</v>
      </c>
      <c r="B44" s="1" t="str">
        <f>HYPERLINK("https://ca.sports.yahoo.com/news/fuel-host-everblades-first-meeting-171633057.html")</f>
        <v>https://ca.sports.yahoo.com/news/fuel-host-everblades-first-meeting-171633057.html</v>
      </c>
      <c r="C44" s="1" t="s">
        <v>22</v>
      </c>
      <c r="D44" s="1" t="s">
        <v>24</v>
      </c>
      <c r="E44" s="2">
        <v>45700.511493055557</v>
      </c>
      <c r="F44" s="1" t="s">
        <v>107</v>
      </c>
      <c r="G44" s="1">
        <f t="shared" si="0"/>
        <v>5428.6137499999995</v>
      </c>
      <c r="H44" s="1">
        <v>620413</v>
      </c>
      <c r="I44" s="1">
        <v>0</v>
      </c>
      <c r="J44" s="1">
        <v>0</v>
      </c>
      <c r="K44" s="1">
        <v>0</v>
      </c>
      <c r="L44" s="1" t="s">
        <v>8</v>
      </c>
      <c r="M44" s="1"/>
      <c r="N44" t="s">
        <v>174</v>
      </c>
    </row>
    <row r="45" spans="1:14" ht="66" x14ac:dyDescent="0.3">
      <c r="A45" s="1" t="s">
        <v>106</v>
      </c>
      <c r="B45" s="1" t="str">
        <f>HYPERLINK("https://sports.yahoo.com/fuel-host-everblades-first-meeting-171633057.html")</f>
        <v>https://sports.yahoo.com/fuel-host-everblades-first-meeting-171633057.html</v>
      </c>
      <c r="C45" s="1" t="s">
        <v>22</v>
      </c>
      <c r="D45" s="1" t="s">
        <v>23</v>
      </c>
      <c r="E45" s="2">
        <v>45700.511493055557</v>
      </c>
      <c r="F45" s="1" t="s">
        <v>107</v>
      </c>
      <c r="G45" s="1">
        <f t="shared" si="0"/>
        <v>202758.57874999999</v>
      </c>
      <c r="H45" s="1">
        <v>23172409</v>
      </c>
      <c r="I45" s="1">
        <v>0</v>
      </c>
      <c r="J45" s="1">
        <v>0</v>
      </c>
      <c r="K45" s="1">
        <v>0</v>
      </c>
      <c r="L45" s="1" t="s">
        <v>8</v>
      </c>
      <c r="M45" s="1"/>
      <c r="N45" t="s">
        <v>173</v>
      </c>
    </row>
    <row r="46" spans="1:14" ht="132" x14ac:dyDescent="0.3">
      <c r="A46" s="1" t="s">
        <v>108</v>
      </c>
      <c r="B46" s="1" t="str">
        <f>HYPERLINK("https://www.flohockey.tv/events/12621311-2025-florida-everblades-vs-indy-fuel")</f>
        <v>https://www.flohockey.tv/events/12621311-2025-florida-everblades-vs-indy-fuel</v>
      </c>
      <c r="C46" s="1"/>
      <c r="D46" s="1" t="s">
        <v>27</v>
      </c>
      <c r="E46" s="2">
        <v>45700</v>
      </c>
      <c r="F46" s="1" t="s">
        <v>109</v>
      </c>
      <c r="G46" s="1">
        <f t="shared" si="0"/>
        <v>2807.7787499999999</v>
      </c>
      <c r="H46" s="1">
        <v>320889</v>
      </c>
      <c r="I46" s="1">
        <v>0</v>
      </c>
      <c r="J46" s="1">
        <v>0</v>
      </c>
      <c r="K46" s="1">
        <v>0</v>
      </c>
      <c r="L46" s="1" t="s">
        <v>15</v>
      </c>
      <c r="M46" s="1"/>
      <c r="N46" t="s">
        <v>173</v>
      </c>
    </row>
    <row r="47" spans="1:14" ht="158.4" x14ac:dyDescent="0.3">
      <c r="A47" s="1" t="s">
        <v>110</v>
      </c>
      <c r="B47" s="1" t="str">
        <f>HYPERLINK("https://www.keepingupincarmel.com/post/the-in-list-2025-2-10-2-16")</f>
        <v>https://www.keepingupincarmel.com/post/the-in-list-2025-2-10-2-16</v>
      </c>
      <c r="C47" s="1" t="s">
        <v>43</v>
      </c>
      <c r="D47" s="1" t="s">
        <v>44</v>
      </c>
      <c r="E47" s="2">
        <v>45697.642627314817</v>
      </c>
      <c r="F47" s="1" t="s">
        <v>111</v>
      </c>
      <c r="G47" s="1">
        <f t="shared" si="0"/>
        <v>6.0025000000000004</v>
      </c>
      <c r="H47" s="1">
        <v>686</v>
      </c>
      <c r="I47" s="1">
        <v>0</v>
      </c>
      <c r="J47" s="1">
        <v>0</v>
      </c>
      <c r="K47" s="1">
        <v>0</v>
      </c>
      <c r="L47" s="1" t="s">
        <v>8</v>
      </c>
      <c r="M47" s="1"/>
      <c r="N47" t="s">
        <v>172</v>
      </c>
    </row>
    <row r="48" spans="1:14" ht="132" x14ac:dyDescent="0.3">
      <c r="A48" s="1" t="s">
        <v>112</v>
      </c>
      <c r="B48" s="1" t="str">
        <f>HYPERLINK("https://sports.yahoo.com/fuel-snap-mavericks-win-streak-160000151.html")</f>
        <v>https://sports.yahoo.com/fuel-snap-mavericks-win-streak-160000151.html</v>
      </c>
      <c r="C48" s="1" t="s">
        <v>22</v>
      </c>
      <c r="D48" s="1" t="s">
        <v>23</v>
      </c>
      <c r="E48" s="2">
        <v>45697.458333333343</v>
      </c>
      <c r="F48" s="1" t="s">
        <v>113</v>
      </c>
      <c r="G48" s="1">
        <f t="shared" si="0"/>
        <v>202758.57874999999</v>
      </c>
      <c r="H48" s="1">
        <v>23172409</v>
      </c>
      <c r="I48" s="1">
        <v>0</v>
      </c>
      <c r="J48" s="1">
        <v>0</v>
      </c>
      <c r="K48" s="1">
        <v>0</v>
      </c>
      <c r="L48" s="1" t="s">
        <v>4</v>
      </c>
      <c r="M48" s="1"/>
      <c r="N48" t="s">
        <v>173</v>
      </c>
    </row>
    <row r="49" spans="1:14" ht="132" x14ac:dyDescent="0.3">
      <c r="A49" s="1" t="s">
        <v>112</v>
      </c>
      <c r="B49" s="1" t="str">
        <f>HYPERLINK("https://ca.sports.yahoo.com/news/fuel-snap-mavericks-win-streak-160000151.html")</f>
        <v>https://ca.sports.yahoo.com/news/fuel-snap-mavericks-win-streak-160000151.html</v>
      </c>
      <c r="C49" s="1" t="s">
        <v>22</v>
      </c>
      <c r="D49" s="1" t="s">
        <v>24</v>
      </c>
      <c r="E49" s="2">
        <v>45697.458333333343</v>
      </c>
      <c r="F49" s="1" t="s">
        <v>113</v>
      </c>
      <c r="G49" s="1">
        <f t="shared" si="0"/>
        <v>5428.6137499999995</v>
      </c>
      <c r="H49" s="1">
        <v>620413</v>
      </c>
      <c r="I49" s="1">
        <v>0</v>
      </c>
      <c r="J49" s="1">
        <v>0</v>
      </c>
      <c r="K49" s="1">
        <v>0</v>
      </c>
      <c r="L49" s="1" t="s">
        <v>4</v>
      </c>
      <c r="M49" s="1"/>
      <c r="N49" t="s">
        <v>174</v>
      </c>
    </row>
    <row r="50" spans="1:14" ht="92.4" x14ac:dyDescent="0.3">
      <c r="A50" s="1" t="s">
        <v>114</v>
      </c>
      <c r="B50" s="1" t="str">
        <f>HYPERLINK("https://www.larryinfishers.com/2025/02/08/fuel-get-ot-victory-3-2-over-kansas-city/")</f>
        <v>https://www.larryinfishers.com/2025/02/08/fuel-get-ot-victory-3-2-over-kansas-city/</v>
      </c>
      <c r="C50" s="1"/>
      <c r="D50" s="1" t="s">
        <v>28</v>
      </c>
      <c r="E50" s="2">
        <v>45696.924675925933</v>
      </c>
      <c r="F50" s="1" t="s">
        <v>115</v>
      </c>
      <c r="G50" s="1">
        <f t="shared" si="0"/>
        <v>30.703749999999999</v>
      </c>
      <c r="H50" s="1">
        <v>3509</v>
      </c>
      <c r="I50" s="1">
        <v>0</v>
      </c>
      <c r="J50" s="1">
        <v>0</v>
      </c>
      <c r="K50" s="1">
        <v>13</v>
      </c>
      <c r="L50" s="1" t="s">
        <v>4</v>
      </c>
      <c r="M50" s="1"/>
      <c r="N50" t="s">
        <v>172</v>
      </c>
    </row>
    <row r="51" spans="1:14" ht="132" x14ac:dyDescent="0.3">
      <c r="A51" s="1" t="s">
        <v>116</v>
      </c>
      <c r="B51" s="1" t="str">
        <f>HYPERLINK("https://www.oursportscentral.com/services/releases/fuel-let-socks-fly-in-overtime-win-against-kansas-city/n-6189489")</f>
        <v>https://www.oursportscentral.com/services/releases/fuel-let-socks-fly-in-overtime-win-against-kansas-city/n-6189489</v>
      </c>
      <c r="C51" s="1"/>
      <c r="D51" s="1" t="s">
        <v>14</v>
      </c>
      <c r="E51" s="2">
        <v>45696.814583333333</v>
      </c>
      <c r="F51" s="1" t="s">
        <v>117</v>
      </c>
      <c r="G51" s="1">
        <f t="shared" si="0"/>
        <v>353.51749999999998</v>
      </c>
      <c r="H51" s="1">
        <v>40402</v>
      </c>
      <c r="I51" s="1">
        <v>0</v>
      </c>
      <c r="J51" s="1">
        <v>0</v>
      </c>
      <c r="K51" s="1">
        <v>0</v>
      </c>
      <c r="L51" s="1" t="s">
        <v>4</v>
      </c>
      <c r="M51" s="1"/>
      <c r="N51" t="s">
        <v>173</v>
      </c>
    </row>
    <row r="52" spans="1:14" ht="118.8" x14ac:dyDescent="0.3">
      <c r="A52" s="1" t="s">
        <v>118</v>
      </c>
      <c r="B52" s="1" t="str">
        <f>HYPERLINK("https://www.oursportscentral.com/services/releases/mavericks-six-game-win-streak-snapped-in-overtime-loss-to-fuel/n-6189477")</f>
        <v>https://www.oursportscentral.com/services/releases/mavericks-six-game-win-streak-snapped-in-overtime-loss-to-fuel/n-6189477</v>
      </c>
      <c r="C52" s="1"/>
      <c r="D52" s="1" t="s">
        <v>14</v>
      </c>
      <c r="E52" s="2">
        <v>45696.806250000001</v>
      </c>
      <c r="F52" s="1" t="s">
        <v>119</v>
      </c>
      <c r="G52" s="1">
        <f t="shared" si="0"/>
        <v>353.51749999999998</v>
      </c>
      <c r="H52" s="1">
        <v>40402</v>
      </c>
      <c r="I52" s="1">
        <v>0</v>
      </c>
      <c r="J52" s="1">
        <v>0</v>
      </c>
      <c r="K52" s="1">
        <v>0</v>
      </c>
      <c r="L52" s="1" t="s">
        <v>4</v>
      </c>
      <c r="M52" s="1"/>
      <c r="N52" t="s">
        <v>173</v>
      </c>
    </row>
    <row r="53" spans="1:14" ht="211.2" x14ac:dyDescent="0.3">
      <c r="A53" s="1" t="s">
        <v>120</v>
      </c>
      <c r="B53" s="1" t="str">
        <f>HYPERLINK("https://www.fanthatracks.com/news/conventions-events/star-wars-night-at-indy-fuel-ice-hockey/")</f>
        <v>https://www.fanthatracks.com/news/conventions-events/star-wars-night-at-indy-fuel-ice-hockey/</v>
      </c>
      <c r="C53" s="1" t="s">
        <v>121</v>
      </c>
      <c r="D53" s="1" t="s">
        <v>122</v>
      </c>
      <c r="E53" s="2">
        <v>45696.63175925926</v>
      </c>
      <c r="F53" s="1" t="s">
        <v>123</v>
      </c>
      <c r="G53" s="1">
        <f t="shared" si="0"/>
        <v>337.13749999999999</v>
      </c>
      <c r="H53" s="1">
        <v>38530</v>
      </c>
      <c r="I53" s="1">
        <v>0</v>
      </c>
      <c r="J53" s="1">
        <v>0</v>
      </c>
      <c r="K53" s="1">
        <v>25</v>
      </c>
      <c r="L53" s="1" t="s">
        <v>15</v>
      </c>
      <c r="M53" s="1"/>
      <c r="N53" t="s">
        <v>174</v>
      </c>
    </row>
    <row r="54" spans="1:14" ht="171.6" x14ac:dyDescent="0.3">
      <c r="A54" s="1" t="s">
        <v>124</v>
      </c>
      <c r="B54" s="1" t="str">
        <f>HYPERLINK("https://www.larryinfishers.com/2025/02/07/indy-fuel-fall-to-wheeling-nailers-6-3/")</f>
        <v>https://www.larryinfishers.com/2025/02/07/indy-fuel-fall-to-wheeling-nailers-6-3/</v>
      </c>
      <c r="C54" s="1"/>
      <c r="D54" s="1" t="s">
        <v>28</v>
      </c>
      <c r="E54" s="2">
        <v>45695.927685185183</v>
      </c>
      <c r="F54" s="1" t="s">
        <v>125</v>
      </c>
      <c r="G54" s="1">
        <f t="shared" si="0"/>
        <v>30.703749999999999</v>
      </c>
      <c r="H54" s="1">
        <v>3509</v>
      </c>
      <c r="I54" s="1">
        <v>0</v>
      </c>
      <c r="J54" s="1">
        <v>0</v>
      </c>
      <c r="K54" s="1">
        <v>1</v>
      </c>
      <c r="L54" s="1" t="s">
        <v>15</v>
      </c>
      <c r="M54" s="1"/>
      <c r="N54" t="s">
        <v>172</v>
      </c>
    </row>
    <row r="55" spans="1:14" ht="79.2" x14ac:dyDescent="0.3">
      <c r="A55" s="1" t="s">
        <v>126</v>
      </c>
      <c r="B55" s="1" t="str">
        <f>HYPERLINK("https://www.oursportscentral.com/services/releases/fuel-fall-to-nailers-on-friday-night/n-6189116")</f>
        <v>https://www.oursportscentral.com/services/releases/fuel-fall-to-nailers-on-friday-night/n-6189116</v>
      </c>
      <c r="C55" s="1"/>
      <c r="D55" s="1" t="s">
        <v>14</v>
      </c>
      <c r="E55" s="2">
        <v>45695.79583333333</v>
      </c>
      <c r="F55" s="1" t="s">
        <v>127</v>
      </c>
      <c r="G55" s="1">
        <f t="shared" si="0"/>
        <v>353.51749999999998</v>
      </c>
      <c r="H55" s="1">
        <v>40402</v>
      </c>
      <c r="I55" s="1">
        <v>0</v>
      </c>
      <c r="J55" s="1">
        <v>0</v>
      </c>
      <c r="K55" s="1">
        <v>0</v>
      </c>
      <c r="L55" s="1" t="s">
        <v>15</v>
      </c>
      <c r="M55" s="1"/>
      <c r="N55" t="s">
        <v>173</v>
      </c>
    </row>
    <row r="56" spans="1:14" ht="118.8" x14ac:dyDescent="0.3">
      <c r="A56" s="1" t="s">
        <v>128</v>
      </c>
      <c r="B56" s="1" t="str">
        <f>HYPERLINK("https://www.wishtv.com/news/local-news/indy-fuel-hockey-is-for-everyone/")</f>
        <v>https://www.wishtv.com/news/local-news/indy-fuel-hockey-is-for-everyone/</v>
      </c>
      <c r="C56" s="1" t="s">
        <v>129</v>
      </c>
      <c r="D56" s="1" t="s">
        <v>130</v>
      </c>
      <c r="E56" s="2">
        <v>45695.521365740737</v>
      </c>
      <c r="F56" s="1" t="s">
        <v>131</v>
      </c>
      <c r="G56" s="1">
        <f t="shared" si="0"/>
        <v>4971.0150000000003</v>
      </c>
      <c r="H56" s="1">
        <v>568116</v>
      </c>
      <c r="I56" s="1">
        <v>0</v>
      </c>
      <c r="J56" s="1">
        <v>0</v>
      </c>
      <c r="K56" s="1">
        <v>33</v>
      </c>
      <c r="L56" s="1" t="s">
        <v>4</v>
      </c>
      <c r="M56" s="1"/>
      <c r="N56" t="s">
        <v>172</v>
      </c>
    </row>
    <row r="57" spans="1:14" ht="145.19999999999999" x14ac:dyDescent="0.3">
      <c r="A57" s="1" t="s">
        <v>132</v>
      </c>
      <c r="B57" s="1" t="str">
        <f>HYPERLINK("https://www.axios.com/local/indianapolis/2025/02/07/indianapolis-weekend-events-polar-plunge-winterfest-billy-joel-sting")</f>
        <v>https://www.axios.com/local/indianapolis/2025/02/07/indianapolis-weekend-events-polar-plunge-winterfest-billy-joel-sting</v>
      </c>
      <c r="C57" s="1" t="s">
        <v>93</v>
      </c>
      <c r="D57" s="1" t="s">
        <v>26</v>
      </c>
      <c r="E57" s="2">
        <v>45695.270752314813</v>
      </c>
      <c r="F57" s="1" t="s">
        <v>133</v>
      </c>
      <c r="G57" s="1">
        <f t="shared" si="0"/>
        <v>126441.72624999999</v>
      </c>
      <c r="H57" s="1">
        <v>14450483</v>
      </c>
      <c r="I57" s="1">
        <v>0</v>
      </c>
      <c r="J57" s="1">
        <v>0</v>
      </c>
      <c r="K57" s="1">
        <v>0</v>
      </c>
      <c r="L57" s="1" t="s">
        <v>8</v>
      </c>
      <c r="M57" s="1"/>
      <c r="N57" t="s">
        <v>172</v>
      </c>
    </row>
    <row r="58" spans="1:14" ht="132" x14ac:dyDescent="0.3">
      <c r="A58" s="1" t="s">
        <v>134</v>
      </c>
      <c r="B58" s="1" t="str">
        <f>HYPERLINK("https://www.journalgazette.net/sports/professional/komets/three-komets-suspended-for-a-total-of-five-games-after-fight-with-fuel/article_ec9e161c-e34a-11ef-9227-630310097354.html")</f>
        <v>https://www.journalgazette.net/sports/professional/komets/three-komets-suspended-for-a-total-of-five-games-after-fight-with-fuel/article_ec9e161c-e34a-11ef-9227-630310097354.html</v>
      </c>
      <c r="C58" s="1" t="s">
        <v>34</v>
      </c>
      <c r="D58" s="1" t="s">
        <v>2</v>
      </c>
      <c r="E58" s="2">
        <v>45692.77239583333</v>
      </c>
      <c r="F58" s="1" t="s">
        <v>135</v>
      </c>
      <c r="G58" s="1">
        <f t="shared" si="0"/>
        <v>426.58</v>
      </c>
      <c r="H58" s="1">
        <v>48752</v>
      </c>
      <c r="I58" s="1">
        <v>1</v>
      </c>
      <c r="J58" s="1">
        <v>769</v>
      </c>
      <c r="K58" s="1">
        <v>4</v>
      </c>
      <c r="L58" s="1" t="s">
        <v>15</v>
      </c>
      <c r="M58" s="1"/>
      <c r="N58" t="s">
        <v>172</v>
      </c>
    </row>
    <row r="59" spans="1:14" ht="92.4" x14ac:dyDescent="0.3">
      <c r="A59" s="1" t="s">
        <v>136</v>
      </c>
      <c r="B59" s="1" t="str">
        <f>HYPERLINK("https://indymaven.com/articles/your-guide-to-fun-in-fishers/")</f>
        <v>https://indymaven.com/articles/your-guide-to-fun-in-fishers/</v>
      </c>
      <c r="C59" s="1" t="s">
        <v>137</v>
      </c>
      <c r="D59" s="1" t="s">
        <v>138</v>
      </c>
      <c r="E59" s="2">
        <v>45692.612569444442</v>
      </c>
      <c r="F59" s="1" t="s">
        <v>139</v>
      </c>
      <c r="G59" s="1">
        <f t="shared" si="0"/>
        <v>51.651250000000005</v>
      </c>
      <c r="H59" s="1">
        <v>5903</v>
      </c>
      <c r="I59" s="1">
        <v>0</v>
      </c>
      <c r="J59" s="1">
        <v>0</v>
      </c>
      <c r="K59" s="1">
        <v>12</v>
      </c>
      <c r="L59" s="1" t="s">
        <v>4</v>
      </c>
      <c r="M59" s="1"/>
      <c r="N59" t="s">
        <v>172</v>
      </c>
    </row>
    <row r="60" spans="1:14" ht="158.4" x14ac:dyDescent="0.3">
      <c r="A60" s="1" t="s">
        <v>140</v>
      </c>
      <c r="B60" s="1" t="str">
        <f>HYPERLINK("https://www.journalgazette.net/sports/professional/komets/fuel-fell-fort-wayne-in-fight-filled-final-moments-teams-combine-for-144-penalty-minutes/article_47a9e0aa-e1e2-11ef-8109-7744f07e01a1.html")</f>
        <v>https://www.journalgazette.net/sports/professional/komets/fuel-fell-fort-wayne-in-fight-filled-final-moments-teams-combine-for-144-penalty-minutes/article_47a9e0aa-e1e2-11ef-8109-7744f07e01a1.html</v>
      </c>
      <c r="C60" s="1" t="s">
        <v>25</v>
      </c>
      <c r="D60" s="1" t="s">
        <v>2</v>
      </c>
      <c r="E60" s="2">
        <v>45690.963263888887</v>
      </c>
      <c r="F60" s="1" t="s">
        <v>141</v>
      </c>
      <c r="G60" s="1">
        <f t="shared" si="0"/>
        <v>426.58</v>
      </c>
      <c r="H60" s="1">
        <v>48752</v>
      </c>
      <c r="I60" s="1">
        <v>1</v>
      </c>
      <c r="J60" s="1">
        <v>777</v>
      </c>
      <c r="K60" s="1">
        <v>2</v>
      </c>
      <c r="L60" s="1" t="s">
        <v>15</v>
      </c>
      <c r="M60" s="1"/>
      <c r="N60" t="s">
        <v>172</v>
      </c>
    </row>
    <row r="61" spans="1:14" ht="79.2" x14ac:dyDescent="0.3">
      <c r="A61" s="1" t="s">
        <v>142</v>
      </c>
      <c r="B61" s="1" t="str">
        <f>HYPERLINK("https://www.journalgazette.net/komets-vs-indy-fuel/image_34807e54-e1d7-11ef-a072-d3a8f39ac94c.html")</f>
        <v>https://www.journalgazette.net/komets-vs-indy-fuel/image_34807e54-e1d7-11ef-a072-d3a8f39ac94c.html</v>
      </c>
      <c r="C61" s="1" t="s">
        <v>143</v>
      </c>
      <c r="D61" s="1" t="s">
        <v>2</v>
      </c>
      <c r="E61" s="2">
        <v>45690.903634259259</v>
      </c>
      <c r="F61" s="1" t="s">
        <v>144</v>
      </c>
      <c r="G61" s="1">
        <f t="shared" si="0"/>
        <v>426.58</v>
      </c>
      <c r="H61" s="1">
        <v>48752</v>
      </c>
      <c r="I61" s="1">
        <v>0</v>
      </c>
      <c r="J61" s="1">
        <v>0</v>
      </c>
      <c r="K61" s="1">
        <v>0</v>
      </c>
      <c r="L61" s="1" t="s">
        <v>8</v>
      </c>
      <c r="M61" s="1"/>
      <c r="N61" t="s">
        <v>172</v>
      </c>
    </row>
    <row r="62" spans="1:14" ht="79.2" x14ac:dyDescent="0.3">
      <c r="A62" s="1" t="s">
        <v>145</v>
      </c>
      <c r="B62" s="1" t="str">
        <f>HYPERLINK("https://www.larryinfishers.com/2025/02/02/indy-fuel-secure-3-1-victory-over-fort-wayne-komets-in-sunday-showdown/")</f>
        <v>https://www.larryinfishers.com/2025/02/02/indy-fuel-secure-3-1-victory-over-fort-wayne-komets-in-sunday-showdown/</v>
      </c>
      <c r="C62" s="1"/>
      <c r="D62" s="1" t="s">
        <v>28</v>
      </c>
      <c r="E62" s="2">
        <v>45690.878993055558</v>
      </c>
      <c r="F62" s="1" t="s">
        <v>146</v>
      </c>
      <c r="G62" s="1">
        <f t="shared" si="0"/>
        <v>30.703749999999999</v>
      </c>
      <c r="H62" s="1">
        <v>3509</v>
      </c>
      <c r="I62" s="1">
        <v>0</v>
      </c>
      <c r="J62" s="1">
        <v>0</v>
      </c>
      <c r="K62" s="1">
        <v>50</v>
      </c>
      <c r="L62" s="1" t="s">
        <v>4</v>
      </c>
      <c r="M62" s="1"/>
      <c r="N62" t="s">
        <v>172</v>
      </c>
    </row>
    <row r="63" spans="1:14" ht="105.6" x14ac:dyDescent="0.3">
      <c r="A63" s="1" t="s">
        <v>147</v>
      </c>
      <c r="B63" s="1" t="str">
        <f>HYPERLINK("https://komets.com/news/2025/02/komets-fight-until-the-end-but-fall-short-3-1-to-indy")</f>
        <v>https://komets.com/news/2025/02/komets-fight-until-the-end-but-fall-short-3-1-to-indy</v>
      </c>
      <c r="C63" s="1"/>
      <c r="D63" s="1" t="s">
        <v>12</v>
      </c>
      <c r="E63" s="2">
        <v>45690.878472222219</v>
      </c>
      <c r="F63" s="1" t="s">
        <v>148</v>
      </c>
      <c r="G63" s="1">
        <f t="shared" si="0"/>
        <v>0</v>
      </c>
      <c r="H63" s="1"/>
      <c r="I63" s="1">
        <v>0</v>
      </c>
      <c r="J63" s="1">
        <v>0</v>
      </c>
      <c r="K63" s="1">
        <v>0</v>
      </c>
      <c r="L63" s="1" t="s">
        <v>15</v>
      </c>
      <c r="M63" s="1"/>
      <c r="N63" t="s">
        <v>173</v>
      </c>
    </row>
    <row r="64" spans="1:14" ht="92.4" x14ac:dyDescent="0.3">
      <c r="A64" s="1" t="s">
        <v>149</v>
      </c>
      <c r="B64" s="1" t="str">
        <f>HYPERLINK("https://www.oursportscentral.com/services/releases/komets-fight-until-the-end-but-fall-short-3-1-to-indy/n-6187574")</f>
        <v>https://www.oursportscentral.com/services/releases/komets-fight-until-the-end-but-fall-short-3-1-to-indy/n-6187574</v>
      </c>
      <c r="C64" s="1"/>
      <c r="D64" s="1" t="s">
        <v>14</v>
      </c>
      <c r="E64" s="2">
        <v>45690.789583333331</v>
      </c>
      <c r="F64" s="1" t="s">
        <v>150</v>
      </c>
      <c r="G64" s="1">
        <f t="shared" si="0"/>
        <v>353.51749999999998</v>
      </c>
      <c r="H64" s="1">
        <v>40402</v>
      </c>
      <c r="I64" s="1">
        <v>0</v>
      </c>
      <c r="J64" s="1">
        <v>0</v>
      </c>
      <c r="K64" s="1">
        <v>0</v>
      </c>
      <c r="L64" s="1" t="s">
        <v>15</v>
      </c>
      <c r="M64" s="1"/>
      <c r="N64" t="s">
        <v>173</v>
      </c>
    </row>
    <row r="65" spans="1:14" ht="105.6" x14ac:dyDescent="0.3">
      <c r="A65" s="1" t="s">
        <v>151</v>
      </c>
      <c r="B65" s="1" t="str">
        <f>HYPERLINK("https://www.oursportscentral.com/services/releases/fuel-finish-weekend-with-win-in-fort-wayne/n-6187557")</f>
        <v>https://www.oursportscentral.com/services/releases/fuel-finish-weekend-with-win-in-fort-wayne/n-6187557</v>
      </c>
      <c r="C65" s="1"/>
      <c r="D65" s="1" t="s">
        <v>14</v>
      </c>
      <c r="E65" s="2">
        <v>45690.713888888888</v>
      </c>
      <c r="F65" s="1" t="s">
        <v>152</v>
      </c>
      <c r="G65" s="1">
        <f t="shared" si="0"/>
        <v>353.51749999999998</v>
      </c>
      <c r="H65" s="1">
        <v>40402</v>
      </c>
      <c r="I65" s="1">
        <v>0</v>
      </c>
      <c r="J65" s="1">
        <v>0</v>
      </c>
      <c r="K65" s="1">
        <v>0</v>
      </c>
      <c r="L65" s="1" t="s">
        <v>4</v>
      </c>
      <c r="M65" s="1"/>
      <c r="N65" t="s">
        <v>173</v>
      </c>
    </row>
    <row r="66" spans="1:14" ht="171.6" x14ac:dyDescent="0.3">
      <c r="A66" s="1" t="s">
        <v>153</v>
      </c>
      <c r="B66" s="1" t="str">
        <f>HYPERLINK("https://www.keepingupincarmel.com/post/the-in-list-2024-2-3-2-9")</f>
        <v>https://www.keepingupincarmel.com/post/the-in-list-2024-2-3-2-9</v>
      </c>
      <c r="C66" s="1" t="s">
        <v>43</v>
      </c>
      <c r="D66" s="1" t="s">
        <v>44</v>
      </c>
      <c r="E66" s="2">
        <v>45690.285729166673</v>
      </c>
      <c r="F66" s="1" t="s">
        <v>154</v>
      </c>
      <c r="G66" s="1">
        <f t="shared" si="0"/>
        <v>6.0025000000000004</v>
      </c>
      <c r="H66" s="1">
        <v>686</v>
      </c>
      <c r="I66" s="1">
        <v>0</v>
      </c>
      <c r="J66" s="1">
        <v>0</v>
      </c>
      <c r="K66" s="1">
        <v>0</v>
      </c>
      <c r="L66" s="1" t="s">
        <v>8</v>
      </c>
      <c r="M66" s="1"/>
      <c r="N66" t="s">
        <v>172</v>
      </c>
    </row>
    <row r="67" spans="1:14" ht="92.4" x14ac:dyDescent="0.3">
      <c r="A67" s="1" t="s">
        <v>155</v>
      </c>
      <c r="B67" s="1" t="str">
        <f>HYPERLINK("https://www.larryinfishers.com/2025/02/01/tough-night-for-the-fuel-losing-for-the-second-straight-night-to-greenville-5-2/")</f>
        <v>https://www.larryinfishers.com/2025/02/01/tough-night-for-the-fuel-losing-for-the-second-straight-night-to-greenville-5-2/</v>
      </c>
      <c r="C67" s="1"/>
      <c r="D67" s="1" t="s">
        <v>28</v>
      </c>
      <c r="E67" s="2">
        <v>45689.963958333326</v>
      </c>
      <c r="F67" s="1" t="s">
        <v>156</v>
      </c>
      <c r="G67" s="1">
        <f t="shared" ref="G67:G68" si="1">H67*0.025*0.35</f>
        <v>30.703749999999999</v>
      </c>
      <c r="H67" s="1">
        <v>3509</v>
      </c>
      <c r="I67" s="1">
        <v>0</v>
      </c>
      <c r="J67" s="1">
        <v>0</v>
      </c>
      <c r="K67" s="1">
        <v>5</v>
      </c>
      <c r="L67" s="1" t="s">
        <v>15</v>
      </c>
      <c r="M67" s="1"/>
      <c r="N67" t="s">
        <v>172</v>
      </c>
    </row>
    <row r="68" spans="1:14" ht="92.4" x14ac:dyDescent="0.3">
      <c r="A68" s="1" t="s">
        <v>157</v>
      </c>
      <c r="B68" s="1" t="str">
        <f>HYPERLINK("https://www.oursportscentral.com/services/releases/fuel-fall-to-greenville-5-2-on-saturday/n-6187284")</f>
        <v>https://www.oursportscentral.com/services/releases/fuel-fall-to-greenville-5-2-on-saturday/n-6187284</v>
      </c>
      <c r="C68" s="1"/>
      <c r="D68" s="1" t="s">
        <v>14</v>
      </c>
      <c r="E68" s="2">
        <v>45689.811111111107</v>
      </c>
      <c r="F68" s="1" t="s">
        <v>158</v>
      </c>
      <c r="G68" s="1">
        <f t="shared" si="1"/>
        <v>353.51749999999998</v>
      </c>
      <c r="H68" s="1">
        <v>40402</v>
      </c>
      <c r="I68" s="1">
        <v>0</v>
      </c>
      <c r="J68" s="1">
        <v>0</v>
      </c>
      <c r="K68" s="1">
        <v>0</v>
      </c>
      <c r="L68" s="1" t="s">
        <v>15</v>
      </c>
      <c r="M68" s="1"/>
      <c r="N68"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Brianna Stopher</dc:creator>
  <cp:lastModifiedBy>Brianna Stopher</cp:lastModifiedBy>
  <dcterms:created xsi:type="dcterms:W3CDTF">2025-06-30T14:18:28Z</dcterms:created>
  <dcterms:modified xsi:type="dcterms:W3CDTF">2025-07-21T17:29:59Z</dcterms:modified>
</cp:coreProperties>
</file>