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rian\OneDrive\Documents\Indy Ignite Summer Project\"/>
    </mc:Choice>
  </mc:AlternateContent>
  <xr:revisionPtr revIDLastSave="0" documentId="13_ncr:1_{2B6F0693-33CE-409E-88BD-A7251FF5A89E}" xr6:coauthVersionLast="47" xr6:coauthVersionMax="47" xr10:uidLastSave="{00000000-0000-0000-0000-000000000000}"/>
  <bookViews>
    <workbookView xWindow="2304" yWindow="1152" windowWidth="11112" windowHeight="11808" activeTab="1"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3" l="1"/>
  <c r="N10" i="3"/>
  <c r="F10" i="3"/>
  <c r="E10" i="3"/>
  <c r="O9" i="3"/>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<sst xmlns="http://schemas.openxmlformats.org/spreadsheetml/2006/main" count="559" uniqueCount="278">
  <si>
    <t>Report</t>
  </si>
  <si>
    <t>Indy Ignite April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</si>
  <si>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</si>
  <si>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</si>
  <si>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</si>
  <si>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</si>
  <si>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</si>
  <si>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</si>
  <si>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</si>
  <si>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</si>
  <si>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</si>
  <si>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</si>
  <si>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</si>
  <si>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</si>
  <si>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</si>
  <si>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</si>
  <si>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</si>
  <si>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</si>
  <si>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</si>
  <si>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</si>
  <si>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</si>
  <si>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</si>
  <si>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</si>
  <si>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</si>
  <si>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Our Sports Central</t>
  </si>
  <si>
    <t>Positive</t>
  </si>
  <si>
    <t>Indy Host Red-Hot Atlanta Thursday in Final Home Match Before PVF Championships</t>
  </si>
  <si>
    <t>April 30, 2025 - Pro Volleyball Federation (PVF)
Indy Ignite News Release
FISHERS, Ind. - Indy Ignite fans have one final opportunity to see their favorite team play at Fishers Event Center this season before the Ignite head to the Pro Volleyball Federation Championship next week in Vegas.</t>
  </si>
  <si>
    <t>Yorktown's Murr enjoying Hoosier Homecoming - Woof Boom Radio News</t>
  </si>
  <si>
    <t>Woof Boom Radio News</t>
  </si>
  <si>
    <t>It’s a chance for Murr’s first season with the Indy Ignite to have a storybook finish. But the campaign already has lived up to most of her hopes and dreams.
As soon as Murr got confirmation Indiana was receiving a PVF franchise, she began working on ways to get on the roster.</t>
  </si>
  <si>
    <t>Vibe on the Road against Indy Ignite</t>
  </si>
  <si>
    <t>. - The Atlanta Vibe (18-8) are on the road on Thursday, May 1st, to compete against the Indy Ignite (13-13) at Fishers Event Center. First serve is set for 7:00 p.m. ET, airing on Roku Channel.</t>
  </si>
  <si>
    <t>Neutral</t>
  </si>
  <si>
    <t>Volleyball World</t>
  </si>
  <si>
    <t>Last Week around the Leagues</t>
  </si>
  <si>
    <t>Fran Stuchbury</t>
  </si>
  <si>
    <t>OTHER SPORTS
Pro Volleyball Federation
The Indy Ignite are playoff bound! With their victory over the visiting San Diego Mojo, the Ignite clinched a spot in the Pro Volleyball Federation postseason in the franchise's first season.</t>
  </si>
  <si>
    <t>Indy Ignite Clinches Playoff Spot in Inaugural PVF Season With Triumph</t>
  </si>
  <si>
    <t>Kimberly Clark</t>
  </si>
  <si>
    <t>Hoodline</t>
  </si>
  <si>
    <t>Source: Unsplash/Çağlar Oskay
The Indy Ignite have officially secured their spot in the Pro Volleyball Federation (PVF) playoffs, marking a significant milestone in their debut season.</t>
  </si>
  <si>
    <t>Sportskeeda</t>
  </si>
  <si>
    <t>Indy Ignite clinch PVF playoff spot in inaugural season</t>
  </si>
  <si>
    <t>WTHR-TV (Indianapolis, IN)</t>
  </si>
  <si>
    <t>INDIANAPOLIS - The Indy Ignite are officially playoff-bound in their inaugural season of the PVF!
After a five-game skid, the team came back fired up for a match at home against the San Diego Mojo Sunday - knowing a playoff spot was up for grabs.</t>
  </si>
  <si>
    <t>Slideshow: Indy Ignite Are Play Off Bound</t>
  </si>
  <si>
    <t>Matt Edwards</t>
  </si>
  <si>
    <t>Nuvo</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</si>
  <si>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</si>
  <si>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Ignite secure the last spot in the playoffs</t>
  </si>
  <si>
    <t>The Indy Ignite claimed the fourth and last spot in the 2025 Pro Volleyball Federation playoffs and will be in contention for the title of the American League in the club’s first season of existence.</t>
  </si>
  <si>
    <t>Ignite Clinch PVF Playoff Bid with Victory over San Diego</t>
  </si>
  <si>
    <t>April 27, 2025 - Pro Volleyball Federation (PVF)
Indy Ignite News Release
FISHERS, Ind. - The Indy Ignite are playoff bound! With their victory today over the visiting San Diego Mojo, the Ignite clinched a spot in the Pro Volleyball Federation postseason in the franchise's first season.</t>
  </si>
  <si>
    <t>Mojo Rally Falls Short in Four-Set Loss at Indy Ignite</t>
  </si>
  <si>
    <t>. - The San Diego Mojo fought to the end at the Fishers Event Center before falling in four sets to the Indy Ignite, 25-22, 25-19, 20-25, 25-23, on Sunday afternoon.</t>
  </si>
  <si>
    <t>The IN List 2024: 4/28 - 5/4</t>
  </si>
  <si>
    <t>Chelsea Kopelman</t>
  </si>
  <si>
    <t>Keeping Up in Carmel</t>
  </si>
  <si>
    <t>Indy Ignite vs Atlanta Vibe: 7:00pm. Fishers Event Center, Fishers, IN. 
Marty Stuart: 7:30pm. Payne and Mencias Palladium at the Allied Solutions Center for the Performing Arts, Carmel, IN. Tickets required.
Friday, May 2
Carmel Main Library Events: 425 E Main St, Carmel, IN.</t>
  </si>
  <si>
    <t>Game Preview: San Diego Mojo at Indy Ignite: April 27, 2025</t>
  </si>
  <si>
    <t>Game 26: San Diego Mojo (9-16) at Indy Ignite (12-13)
San Diego and Indy meet for the third time this season and second time in Indiana. The teams split the two previous contests, each claiming a win at home.</t>
  </si>
  <si>
    <t>Orlando Rallies to Top Indy in Four Sets</t>
  </si>
  <si>
    <t>April 25, 2025 - Pro Volleyball Federation (PVF)
Indy Ignite News Release
FISHERS, Ind. - The Indy Ignite keep battling tooth-and-nail but they haven't been able to find their way back to a victory.</t>
  </si>
  <si>
    <t>Season High 14 Blocks Powers Valkyries Past Ignite</t>
  </si>
  <si>
    <t>. - In a match led by their pristine blocking, the Orlando Valkyries (15-10) were able to hold the Indy Ignite (12-13) to a .171 hitting efficiency, ultimately stealing a win on the road in four sets by set scores of 22-25, 25-16, 26-24, 28-26.</t>
  </si>
  <si>
    <t>Indy Ignite prepare for final stint of season hoping for playoff berth</t>
  </si>
  <si>
    <t>INDIANAPOLIS - It's coming down to the wire for a couple of Pro Volleyball Federation teams as they hope to clinch a playoff berth these next few weeks - and the Indy Ignite are no exception.</t>
  </si>
  <si>
    <t>Anna DeBeer reacts as Indy Ignite steps up for a good cause and visit cancer patients</t>
  </si>
  <si>
    <t>Nancy Singh</t>
  </si>
  <si>
    <t>Anna DeBeer recently made her feelings known about her team, the Indy Ignite, being invited to visit cancer patients. The volleyball player turned pro and joined Ignited in 2023.</t>
  </si>
  <si>
    <t>Pitt Panthers Volleyball 2026 Commit Reclassifies to 2025</t>
  </si>
  <si>
    <t>Dominic Campbell</t>
  </si>
  <si>
    <t>Sports Illustrated</t>
  </si>
  <si>
    <t>Former Pitt Second Team All-American Leketor Member-Meneh, currently with the Indy Ignite in the Pro Volleyball Federation, also stands just 5-foot-8.</t>
  </si>
  <si>
    <t>Ignite Ready to Host Pair of Action-Packed, Important Matches this Weekend</t>
  </si>
  <si>
    <t>April 24, 2025 - Pro Volleyball Federation (PVF)
Indy Ignite News Release
FISHERS, Ind. - Anticipation is at an all-time high as the Indy Ignite prepare to host a pair of important Pro Volleyball Federation matches this weekend that could well determine the team's postseason fate.</t>
  </si>
  <si>
    <t>Indianapolis weekend events: Broad Ripple Art Walk, Symphony on the Circle, Indy Ignite and more</t>
  </si>
  <si>
    <t>Justin L. Mack</t>
  </si>
  <si>
    <t>Axios Indianapolis</t>
  </si>
  <si>
    <t>🏐 Heat it up in HamCo when the Indy Ignite play two games at the Fishers Event Center.
🎭 See the beloved reimagining of the biblical story of Joseph when "Joseph and the Amazing Technicolor Dreamcoat" plays at The Tarkington, 7pm Friday and Saturday and 2pm Sunday.</t>
  </si>
  <si>
    <t>Ignite looking to clinch playoff spot this week</t>
  </si>
  <si>
    <t>Despite going through a four-match winless streak, the Indy Ignite continue very much alive in the race for the fourth and last spot in the playoffs of the 2025 Pro Volleyball Federation league, and they will have a good opportunity to confirm their presence in the postseason this week.</t>
  </si>
  <si>
    <t>Ignite ready for stretch run</t>
  </si>
  <si>
    <t>Mark Ambrogi</t>
  </si>
  <si>
    <t>Current Publishing</t>
  </si>
  <si>
    <t>Indy Ignite outside hitter Carly Skjodt is making the most of her increased playing time in the second half of the Pro Volleyball Federation season.</t>
  </si>
  <si>
    <t>Indy Ignite and Indians offer Teacher Appreciation Nights - Indianapolis News</t>
  </si>
  <si>
    <t>Ashley Fowler</t>
  </si>
  <si>
    <t>WISH-TV (Indianapolis, IN)</t>
  </si>
  <si>
    <t>Teachers can support Central Indiana’s new Indy Ignite professional women’s volleyball team at 7 p.m. April 25. This teacher appreciation event offers discounted tickets of $20 or $30 based on seating selection. … Teachers can visit the Indy Ignite’s website to secure their tickets.
Educators can also take in an evening at the ballpark during the Indianapolis Indians’ Teacher Appreciation Night on May 17.
The Indians will take on the Louisville Bats at 6:35 p.m.</t>
  </si>
  <si>
    <t>Teachers can support Central Indiana’s new Indy Ignite professional women’s volleyball team at 7 p.m. Friday. This teacher appreciation event offers discounted tickets of $20 or $30 based on seating selection. … Teachers can visit the Indy Ignite’s website to secure their tickets.
Educators can also take in an evening at the ballpark during the Indianapolis Indians’ Teacher Appreciation Night on May 17. The Indians will take on the Louisville Bats at 6:35 p.m.</t>
  </si>
  <si>
    <t>BoilerBall Podcast</t>
  </si>
  <si>
    <t>Indy Ignite two wins away from Playoff Tournament</t>
  </si>
  <si>
    <t>Indiana Statesman</t>
  </si>
  <si>
    <t>Indiana’s first-year pro-volleyball team, the Indy Ignite, is looking to remain in the top four Pro Volleyball Federation ranking in order to book their ticket to Las Vegas, Nevada for the Championship Tournament on May 9th.The team is currently ranked fourth overall with a record of 12-12. … Indy Ignite’s remaining schedule includes matchups against sixth-ranked San Diego Mojo on April 27 and May 3, as well as the number two-ranked Atlanta Vibe on May 1. If the Ignite wins at least two out of the four remaining matches, they will secure a playoff berth in their inaugural season. </t>
  </si>
  <si>
    <t>Ignite Light It up at Indianapolis Motor Speedway</t>
  </si>
  <si>
    <t>April 22, 2025 - Pro Volleyball Federation (PVF)
Indy Ignite News Release
INDIANAPOLIS - The Indy Ignite are very familiar with the lightning-quick pace of women's professional volleyball.</t>
  </si>
  <si>
    <t>Mark Monroe</t>
  </si>
  <si>
    <t>The Toledo Blade</t>
  </si>
  <si>
    <t>How teachers can get Indianapolis Indians, Indy Ignite discounts</t>
  </si>
  <si>
    <t>Carley Lanich</t>
  </si>
  <si>
    <t>Mirror Indy (US)</t>
  </si>
  <si>
    <t>Teachers can support Central Indiana’s new Indy Ignite professional women’s volleyball team at 7 p.m. April 25. This teacher appreciation event offers discounted tickets of $20 or $30 based on seating selection. … Teachers can visit the Indy Ignite’s website to secure their tickets.
Educators can also take in an evening at the ballpark during the Indianapolis Indians’ Teacher Appreciation Night on May 17.
The Indians will take on the Louisville Bats at 6:35 p.m.</t>
  </si>
  <si>
    <t>Circle City Spotlight: Meet Mary Kay Huse, the President and GM for the Indy Ignite</t>
  </si>
  <si>
    <t>WRTV-TV (Indianapolis, IN)</t>
  </si>
  <si>
    <t>To learn more about the Indy Ignite and their upcoming games, visit their pro-volleyball page here.</t>
  </si>
  <si>
    <t>Top 8 things to do in Indy this weekend: Tree seedling giveaway, 'Joseph and the Amazing Technicolor Dreamcoat,' Indy Ignite and more</t>
  </si>
  <si>
    <t>Emily Reuben</t>
  </si>
  <si>
    <t>INDIANAPOLIS (WISH) — Each week, WISH-TV highlights eight events and activities happening over the weekend around Indianapolis. Below are eight great events you should check out from Friday, April 25 through Sunday, April 27, 2025. Monday, April 21-Saturday, April 26, 2025International Marketplace, Crown Hill Cemetery 700 38th St, Indianapolis, IN 46208Hour(s):8:00 a.m.-6:00 p.m.For more information about the tree seedling giveaway, click here. Friday, April 25, 2025Old National Centre502 N.</t>
  </si>
  <si>
    <t>Indy Ignite Welcomes Hoosier Native Caitie Baird To Its Roster</t>
  </si>
  <si>
    <t>Mike Botkin</t>
  </si>
  <si>
    <t>Indianapolis Monthly</t>
  </si>
  <si>
    <t>FOR THE FIRST TIME since her high school days at Perry Meridian, Caitie Baird, newly signed outside hitter for the Indy Ignite, is playing at home in front of her family and friends.</t>
  </si>
  <si>
    <t>IndyStar</t>
  </si>
  <si>
    <t>The IN List 2024: 4/21 - 4/27</t>
  </si>
  <si>
    <t>Indy Ignite vs. Orlando Valkyries: 7pm. Fishers Event Center - Fishers, IN. Tickets required. 
Arbor Day: 4:00pm-6:00pm. Fishers AgriPark, Fishers, IN. 
: 4:00pm-6:00pm. West Park, Carmel, IN. Sign up required.
Fairyville Fairy Friday: 12:00pm-9:00pm.</t>
  </si>
  <si>
    <t>Indy Falls at Grand Rapids in Four Sets; Playoff Bid Remains Two Wins Away</t>
  </si>
  <si>
    <t>April 19, 2025 - Pro Volleyball Federation (PVF)
Indy Ignite News Release
GRAND RAPIDS, Mich. - As the matches grow in significance, the margin for error gets narrower and narrower.</t>
  </si>
  <si>
    <t>Rise Rally Past Indy to Stay in Playoff Hunt</t>
  </si>
  <si>
    <t>. - In a must-win situation to keep their playoff hopes alive, the Grand Rapids Rise rose to the occasion Saturday afternoon with a 3-1 victory inside Van Andel Arena over the Indy Ignite by set scores of 25-27, 25-21, 25-18, 25-22.</t>
  </si>
  <si>
    <t>Awful Announcing</t>
  </si>
  <si>
    <t>Vegas Thrill Edges Out Indy Ignite in Five-Set Battle in Fishers</t>
  </si>
  <si>
    <t>Tony Vasquez</t>
  </si>
  <si>
    <t>The Vegas Thrill Snapped Their Five-Match Losing Streak With A Five-Set Thriller Against The Indy Ignite</t>
  </si>
  <si>
    <t>. - The Vegas Thrill (9-14) snapped their five-match losing streak with a five-set thriller (16-25, 27-25, 25-16, 29-31, 15-12) against the Indy Ignite (12-11) on Thursday night at the Fishers Event Center.</t>
  </si>
  <si>
    <t>Join JMV at the Indy Ignite Game!</t>
  </si>
  <si>
    <t>Sarah Lautner</t>
  </si>
  <si>
    <t>WFNI-AM (Indianapolis, IN)</t>
  </si>
  <si>
    <t>Watch the Indy Ignite take on the Orlando Valkyries in a match you won’t want to miss! π
Join JMV as he broadcasts LIVE before the game with special guest Jake Query joining him during his broadcast!</t>
  </si>
  <si>
    <t>WOOD-TV (Grand Rapids, MI)</t>
  </si>
  <si>
    <t>Ignite Nearly Complete Comeback for Win But Fall Shy in Five Sets</t>
  </si>
  <si>
    <t>April 17, 2025 - Pro Volleyball Federation (PVF)
Indy Ignite News Release
FISHERS, Ind. - They came tantalizingly close once again, but the Indy Ignite couldn't quite complete a comeback victory in tonight's Pro Volleyball Federation match with visiting Vegas at Fishers Event Center.</t>
  </si>
  <si>
    <t>Indy Ignite fall just short in 5-set battle vs Vegas</t>
  </si>
  <si>
    <t>FISHERS, Indiana - The Indy Ignite fell just short Thursday in their home match with the Vegas Thrill. It came down to the final set. 
Vegas held off the Ignite 16-25, 27-25, 25-16, 29-31, 15-12.
Despite suffering its third straight defeat, Indy (12-11) remains fourth in the standings.</t>
  </si>
  <si>
    <t>Circle City Spotlight: Meet Leketor Member-Meneh, Outside Hitter for the Indy Ignite</t>
  </si>
  <si>
    <t>Circle City Spotlight: Meet Leketor Member-Meneh, Outside Hitter for the Indy Ignite In this Circle City Spotlight by WRTV, Leketor Member-Meneh shares what it's like as an outside hitter for the Indy Ignite.</t>
  </si>
  <si>
    <t>'The pro league started and we said hey let’s take a run at it' Meet the Indy Ignite co-founders</t>
  </si>
  <si>
    <t>Ground News</t>
  </si>
  <si>
    <t>'The pro league started and we said hey let’s take a run at it' Meet the Indy Ignite co-founders
Co-founders of the Indy Ignite Don Hutchinson and Jim Schumacher talk about operations, their backgrounds in volleyball and starting the franchise.</t>
  </si>
  <si>
    <t>Two hardcore volleyball dads came up with a crazy idea: Launch a pro women's team in Indy</t>
  </si>
  <si>
    <t>Dana Hunsinger Benbow</t>
  </si>
  <si>
    <t>Here's why the bought the Indy Ignite
There are 5,000 juniors playing club volleyball and 10,000 high school players in central Indiana according to Hutchinson
The Indy Ignite are fourth in the league standings and second in attendance
FISHERS -- It was long, long ago, Jim Schumacher jokes, "the decade</t>
  </si>
  <si>
    <t>Rise Travel to Omaha Thursday, Return Home Saturday for Ignite Showdown</t>
  </si>
  <si>
    <t>Indy Ignite (12-10) // Sat., April 19 // Noon // Van Andel Arena
Listen: 96.1 The Game at 11:45 a.m.
Watch: CBS Sports Network at Noon
Season Series: 1-2 Overall, 0-1 Home.</t>
  </si>
  <si>
    <t>Insider Guide: This is May in Indianapolis</t>
  </si>
  <si>
    <t>Alli Donovan</t>
  </si>
  <si>
    <t>lifeinindy.com</t>
  </si>
  <si>
    <t>April 27 | Indy 500 Match at the Indy Ignite Game
Rev up your Sunday plans with Indy’s first pro volleyball team—Indy Ignite! Their Indy 500 Match presented by Meyer Najem will offer fun race-themed activities, while Indy Ignite takes on the San Diego Mojo.</t>
  </si>
  <si>
    <t>Grand Rapids rallies past Ignite in five-set thriller; Purdue sweeps Vanderbilt in Spring action</t>
  </si>
  <si>
    <t>FISHERS — The Indy Ignite dropped a hard-fought five-set match to the Grand Rapids Rise on Saturday night at the Fishers Event Center.</t>
  </si>
  <si>
    <t>Ignite fall in five-set thriller</t>
  </si>
  <si>
    <t>Abby Hooven</t>
  </si>
  <si>
    <t>pmg-ky1.com</t>
  </si>
  <si>
    <t>FISHERS—The Grand Rapids Rise overcame a 2-1 deficit to take down the Indy Ignite in five sets (25-17, 22-25, 21-25, 25-18, 15-11) on Saturday, April 12.</t>
  </si>
  <si>
    <t>The IN List 2025: 4/14 - 4/20</t>
  </si>
  <si>
    <t>Indy Ignite vs. Las Vegas Thrill: 7pm. Fishers Event Center - Fishers, IN. tickets required.
Summer Nights - The Music of Grease: 7:30pm. Feinstein's - Hotel Carmicheal, Carmel IN. Tickets required.
Indy Indians vs. Toledo Mud Hens: 6:35pm. Victory Field, Indianapolis, IN. Thirsty Thursday.</t>
  </si>
  <si>
    <t>'They're a good team; we expected a battle'</t>
  </si>
  <si>
    <t>INDIANAPOLIS - The Indy Ignite fell to the Grand Rapids Rise Saturday night in a battle of a game.
The visiting Rise captured the final two sets, after trailing two sets to one, and ended up taking home the Pro Volleyball Federation win.</t>
  </si>
  <si>
    <t>Ignite Fall to Rise in Front of Sellout Crowd</t>
  </si>
  <si>
    <t>April 12, 2025 - Pro Volleyball Federation (PVF)
Indy Ignite News Release
FISHERS, Ind. - An enthusiastic sellout crowd did everything it could to urge the Indy Ignite on to victory tonight at Fishers Event Center, but the home team fell just short in its quest against Grand Rapids.</t>
  </si>
  <si>
    <t>Rise Tie PVF Block Record in Resilient Five-Set Road Win Over Indy</t>
  </si>
  <si>
    <t>April 12, 2025 - Pro Volleyball Federation (PVF)
Grand Rapids Rise News Release
INDIANAPOLIS - With their playoff hopes on the line, the Grand Rapids Rise delivered their most dominant defensive performance in franchise history Saturday night against the Indy Ignite.</t>
  </si>
  <si>
    <t>Fan base grows as Indy Ignite continue inaugural season</t>
  </si>
  <si>
    <t>. - As the Indy Ignite continue through their inaugural season, the fans continue to show out.
Saturday's match against the Grand Rapid Rise is a sell-out crowd, the second one this season.</t>
  </si>
  <si>
    <t>Tickets on Sale for 2025 PVF Championship</t>
  </si>
  <si>
    <t>The Orlando Valkyries and Indy Ignite have the inside track as of today, sitting at third and fourth in the current standings.
Tickets will range in price from $49 to $149 - which encompasses access to all three high-level volleyball matches.</t>
  </si>
  <si>
    <t>Don't Miss Out: Fan Fest with the Indy Ignite this Saturday</t>
  </si>
  <si>
    <t>Don't miss the action on April 12 as Indy Ignite faces the Grand Rapids Rise! Catch the free Purdue/Vanderbilt scrimmage at 3 PM and Fan Fest featuring lawn courts, food trucks, giveaways, and more at 5 PM.</t>
  </si>
  <si>
    <t>Bluey Day Ahead as Rise Face Indy Ignite on April 19</t>
  </si>
  <si>
    <t>Indy Ignite
Bluey Day presented by LMCU
Time: Noon at Van Andel Arena (doors open at 11 a.m. for the general public, 10:45 a.m. for season-ticket members)
Bluey Day: Bluey and Bingo will be on hand to take photos on the concourse, interact with fans, and take part in match-day promotions.</t>
  </si>
  <si>
    <t>Indianapolis weekend events: MOkAO fest, Peter Frampton, Pacers and more</t>
  </si>
  <si>
    <t>ğ Feel the heat as the Indy Ignite play the Grand Rapids Rise at Fishers Event Center, 7pm Saturday.
ğ¥ Get your roll on with the entire family at the annual Presidential Egg Roll at the Benjamin Harrison Presidential Site, 9am Saturday.</t>
  </si>
  <si>
    <t>Volleyball competes Saturday; Purdue Sports Update</t>
  </si>
  <si>
    <t>Jordan Jones</t>
  </si>
  <si>
    <t>On3</t>
  </si>
  <si>
    <t>Purdue volleyball will face off against Vanderbilt in a first-of-its-kind spring match at the Fishers Event Center, home of the Indy Ignite pro team, on Saturday at 3 p.m. ET. The clash will precede the pro match between the Indy Ignite and Grand Rapids Rise scheduled for 7 p.m.</t>
  </si>
  <si>
    <t>Full Day of Volleyball Action Available on Ignite Firestorm Appreciation Night</t>
  </si>
  <si>
    <t>April 10, 2025 - Pro Volleyball Federation (PVF)
Indy Ignite News Release
FISHERS, Ind. - The Indy Ignite are hosting much more than a typical Pro Volleyball Federation match Saturday when they take on the Grand Rapids Rise at Fishers Event Center.</t>
  </si>
  <si>
    <t>Indy Ignite aim for Pro Volleyball Championship Tournament</t>
  </si>
  <si>
    <t>Indiana’s own professional volleyball team, the Indy Ignite, began their inaugural season debut in the Pro Volleyball Federation league in January of this year. They currently have a record of 12-9 and are ranked third out of the eight competing teams. … The Indy Ignite is led by head coach George Padjen from Mellen, Wisconsin. Padjen is credited with nine NCAA Championships after turning Concordia University in St. Paul, Minnesota into a volleyball dynasty. Per Indy Ignite’s official website, Padjen says “Volleyball is the ultimate team sport.</t>
  </si>
  <si>
    <t>Purdue Volleyball to play in Fishers Event Center this weekend</t>
  </si>
  <si>
    <t>WLFI-TV (West Lafayette, IN)</t>
  </si>
  <si>
    <t>(PURDUE SPORTS) — Purdue volleyball will face off against Vanderbilt in a first-of-its-kind spring match at the Fishers Event Center, home of the Indy Ignite pro team, on Saturday at 2 p.m. ET.</t>
  </si>
  <si>
    <t>Indy Ignite faces Grand Rapids Rise on Saturday in key game heading up to playoffs</t>
  </si>
  <si>
    <t>Fans can watch the Ignite take on the Rise on April 12 at 7 p.m. on WTHR+. FISHERS, Ind. - When the Grand Rapids Rise comes to Indy to face the Ignite, they'll be playing for a shot at making the playoffs. Fans not able to make it to the game can watch it on WTHR+. The Ignite have dispatched the Rise at home on Jan. 16 (3-0) and then on the road March 15 (3-1). The Ignite had won four straight matches before losing 3-1 to the Columbus Fury in their last outing on Saturday, April 5.</t>
  </si>
  <si>
    <t>Emily Ehman talks path from Bloomington South to network volleyball commentator and analyst</t>
  </si>
  <si>
    <t>Cricket Shelton</t>
  </si>
  <si>
    <t>Times-Mail</t>
  </si>
  <si>
    <t>As a TV analyst and digital host with the PVF’s Indy Ignite, she’s helping shape the future of professional volleyball in her home state. She emphasizes the impact of increased visibility on young girls and women, who now have a tangible path to professional success in volleyball.</t>
  </si>
  <si>
    <t>Volleyball vs. Vanderbilt to Precede Pro Match in Fishers</t>
  </si>
  <si>
    <t>Rachel Coe</t>
  </si>
  <si>
    <t>. – Purdue volleyball will face off against Vanderbilt in a first-of-its-kind spring match at the Fishers Event Center, home of the Indy Ignite pro team, on Saturday at 2 p.m. ET.</t>
  </si>
  <si>
    <t>Rise Gear up for Crucial Road Matches against Valkyries and Ignite</t>
  </si>
  <si>
    <t>RISE (9-12) at Indy Ignite (12-9) // Sat., April 12 // 7 p.m. // Fishers Event Center
Watch: YouTube at 7 p.m.
Season Series: 0-2 Overall, 0-1 Away.</t>
  </si>
  <si>
    <t>Team Spotlight Series: The Indy Ignite. Get to know the players, coaches and staff that make every Indy Ignite match exhilarating for fans.
League One Volleyball
Top 6 Plays of Week 12!</t>
  </si>
  <si>
    <t>Columbus Fury top Indy Ignite in 4 sets</t>
  </si>
  <si>
    <t>The Columbus Dispatch</t>
  </si>
  <si>
    <t>The Fury defeated the Indy Ignite in four sets at Nationwide Arena on Saturday.
Columbus (6-15) won 25-21, 25-20, 21-25, 25-23, breaking a franchise record with 16 blocks.
The Fury hit .203 with 57 kills while Indy hit .200 with 58 kills. Columbus out-dug Indy 76-63.</t>
  </si>
  <si>
    <t>The IN List 2024: 4/7 - 4/13</t>
  </si>
  <si>
    <t>Indy Ignite vs. Grand Rapids Rise: 7pm. Fishers Event Center - Fishers, IN. tickets required.
Sunday, Apr 13
Fishers Library Events: 5 Municipal Dr, Fishers, IN.
Sunday Stories: 2-2:45pm.
Princess Tea: 1pm. Feinstien’s at Hotel Carmicheal. Carmel, IN. Tickets required.</t>
  </si>
  <si>
    <t>Fury Register Franchise Best 16 Blocks in Ignite Win</t>
  </si>
  <si>
    <t>April 5, 2025 - Pro Volleyball Federation (PVF)
Columbus Fury News Release
Columbus Fury on game night
(Columbus Fury)
COLUMBUS, Ohio - The Columbus Fury (6-15) defeated the Indy Ignite (12-9) in four sets (25-21, 25-20, 21-25, 25-23) at Nationwide Arena on Saturday night.</t>
  </si>
  <si>
    <t>Ignite Run into Buzzsaw at Columbus</t>
  </si>
  <si>
    <t>April 5, 2025 - Pro Volleyball Federation (PVF)
Indy Ignite News Release
COLUMBUS, Ohio - Competition in Pro Volleyball Federation is top-notch, top to bottom. That was evident tonight when the Columbus Fury defeated the Indy Ignite in four sets.</t>
  </si>
  <si>
    <t>Fury Return Home to Face Ignite for Teacher Appreciation Night</t>
  </si>
  <si>
    <t>April 4, 2025 - Pro Volleyball Federation (PVF)
Columbus Fury News Release
COLUMBUS, Ohio-- The Columbus Fury (5-15) return home to Nationwide Arena on Saturday, April 5th to take on the Indy Ignite (12-8). The Fury will be celebrating Teacher Appreciation Night during their 7 p.m match.</t>
  </si>
  <si>
    <t>The Indianapolis native and two-time All-American at Stanford has been signed by the Indy Ignite for the remainder of the 2025 Pro Volleyball Federation season.</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</si>
  <si>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</si>
  <si>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</si>
  <si>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</si>
  <si>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</si>
  <si>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</si>
  <si>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</si>
  <si>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</si>
  <si>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</si>
  <si>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</si>
  <si>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</si>
  <si>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</si>
  <si>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</si>
  <si>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</si>
  <si>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</si>
  <si>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</si>
  <si>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Sports Writer</t>
  </si>
  <si>
    <t>mmonroe@theblade.com</t>
  </si>
  <si>
    <t>MonroeBlade</t>
  </si>
  <si>
    <t>Toledo</t>
  </si>
  <si>
    <t>Toledo Blade sports writer, covering high school sports in northwest Ohio and the ECHL's Toledo Walleye. Email: mmonroe@theblade.com</t>
  </si>
  <si>
    <t>Sports,U.S. Regional</t>
  </si>
  <si>
    <t>The 7,500-seat Fishers Event Center, which cost $170 million to build, is a half hour north of Indianapolis. It is home to 3 pro sports teams: the Indy Fuel, Indy Ignite (Professional Volleyball Federation), &amp; Fishers Freight (Indoor Football League):
https://t.co/1E1udIWYMk</t>
  </si>
  <si>
    <t>A final farewell from Fishers Events Center. Really nice new arena. Spacious. Good site lines. Very good food selection. Good people.
https://t.co/o9wFYo42qh https://t.co/yjSQhPf0c6</t>
  </si>
  <si>
    <t>Ken Fang</t>
  </si>
  <si>
    <t>Associate Editor</t>
  </si>
  <si>
    <t>fangsbites</t>
  </si>
  <si>
    <t>RI, USA</t>
  </si>
  <si>
    <t>Taiwanese-American. #VeryAsian. @aaja, Fang's Bites, Associate Editor @awfulannouncing, contributor to @thecomeback. IG: fangsbites. he/him RIP, Sampson</t>
  </si>
  <si>
    <t>Sports</t>
  </si>
  <si>
    <t>RT @awfulannouncing: TV and Streaming Viewing Picks for April 19, 2025, Part II: how to watch WrestleMania https://t.co/lCbVCDSslm</t>
  </si>
  <si>
    <t>Josh Sanchez</t>
  </si>
  <si>
    <t>Kalamazoo Reporter</t>
  </si>
  <si>
    <t>josh.sanchez@woodtv.com</t>
  </si>
  <si>
    <t>JoshSanTV</t>
  </si>
  <si>
    <t>Kalamazoo, MI</t>
  </si>
  <si>
    <t>Kalamazoo reporter for @WOODTV @WesternMichU ‘19, WLNS ’24 • MVJ top 10 vets in journalism ‘24 • silly goose</t>
  </si>
  <si>
    <t>U.S. Regional</t>
  </si>
  <si>
    <t>Up for some pinball? The classic game is filling the Kalamazoo County Expo Center this weekend. Check out what else is going on this weekend on the WOOD TV8 planner:
https://t.co/S7TPuzBPt7</t>
  </si>
  <si>
    <t>5. Easter weekend is kicking off around Kalamazoo with pinball! There's also several chances to find a good Easter egg hunt around West Michigan. All of that fun in the links below: 
https://t.co/S7TPuzBPt7
https://t.co/VIiG9x7ljJ</t>
  </si>
  <si>
    <t>Kevin Lee</t>
  </si>
  <si>
    <t>Co-Host, Reporter and Announcer</t>
  </si>
  <si>
    <t>kevin@indy.emmis.com</t>
  </si>
  <si>
    <t>KevinLee23</t>
  </si>
  <si>
    <t>Indianapolis</t>
  </si>
  <si>
    <t>Fox Sports &amp; NBC Sports - INDYCAR/IMSA SportsCars/College basketball + “Trackside” on 107.5 The Fan Indy</t>
  </si>
  <si>
    <t>Freelance,Trackside Podcast</t>
  </si>
  <si>
    <t>Thank you to #LifeInIndy for including the Burger Bash delivered by ⁦@clustertruck in their event guide! ⁩ Insider Guide: This is May in Indianapolis - Life In Indy ⁦@IUCancerCenter⁩  https://t.co/pu4q4xN0hb</t>
  </si>
  <si>
    <t>Ronni Hunter</t>
  </si>
  <si>
    <t>Assistant Program/Music Director and Afternoon Drive Personality</t>
  </si>
  <si>
    <t>rhunter@theblitz.com</t>
  </si>
  <si>
    <t>RonniHunter997</t>
  </si>
  <si>
    <t>Columbus, Ohio</t>
  </si>
  <si>
    <t>Rock Radio is fun M-F 3p-7p &amp; Sat 10a-2p on 99.7 The Blitz. Adventurist, 3 mutt Mom, a motorcycle, mustang, microphone, music &amp; a Squirrel! 📻🎙️🐾🏍🎧🐿🤘🏼🎼</t>
  </si>
  <si>
    <t>Arts and Entertainment,U.S. Regional</t>
  </si>
  <si>
    <t>WRKZ-FM (Columbus, OH)</t>
  </si>
  <si>
    <t>RT @ColumbusFury: 📰 𝐏𝐑𝐄𝐕𝐈𝐄𝐖 | Fury Finish Home Season This Week https://t.co/wO9l2sq2kg</t>
  </si>
  <si>
    <t>The @ToledoWalleye have faced the Indy Fuel twice in the postseason. In 2022-23, Toledo defeated Indy in the Central Division semifinals (4 games to 0). In 2017-18, Toledo defeated Indy in the Central Division semifinals (4 games to 0).
https://t.co/BnSvgxI02w via @toledonews</t>
  </si>
  <si>
    <t>Get primed here. @ToledoWalleye  look to get rolling vs @IndyFuel:
https://t.co/vYHPLUjMPr
3 keys:
https://t.co/rfHMgxXSez
Series to follow 2-2-1-1-1 format:
https://t.co/A9MHJcJSKb
24-man roster:
https://t.co/FqfNOdM97K
5 things to know about the Fuel:
https://t.co/rrextvgLh3 https://t.co/BpURlt3KrE</t>
  </si>
  <si>
    <t>USA</t>
  </si>
  <si>
    <t>Indianapolis, IN</t>
  </si>
  <si>
    <t>Carmel, IN</t>
  </si>
  <si>
    <t>West Lafayette, IN</t>
  </si>
  <si>
    <t>Columbus, OH</t>
  </si>
  <si>
    <t>Bedford, IN</t>
  </si>
  <si>
    <t>Shelbyville, KY</t>
  </si>
  <si>
    <t>Global</t>
  </si>
  <si>
    <t>Muncie, IN</t>
  </si>
  <si>
    <t>Location Category</t>
  </si>
  <si>
    <t>Local</t>
  </si>
  <si>
    <t>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</si>
</sst>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amily val="2"/>
    </font>
    <font>
      <sz val="10"/>
      <name val="Arial"/>
      <family val="2"/>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0" fontId="3" fillId="0" borderId="0" xfId="0" applyFont="1"/>
    <xf numFmtId="165" fontId="0" fillId="0" borderId="0" xfId="0" applyNumberFormat="1"/>
    <xf numFmtId="0" fontId="0" fillId="2" borderId="0" xfId="0" applyFill="1"/>
    <xf numFmtId="8" fontId="0" fillId="2" borderId="0" xfId="0" applyNumberFormat="1" applyFill="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opLeftCell="A14" workbookViewId="0">
      <selection activeCell="E14" sqref="E14"/>
    </sheetView>
  </sheetViews>
  <sheetFormatPr defaultRowHeight="14.4" x14ac:dyDescent="0.3"/>
  <cols>
    <col min="1" max="1" width="34" customWidth="1"/>
    <col min="2" max="2" width="32" customWidth="1"/>
    <col min="3" max="3" width="13.109375" bestFit="1" customWidth="1"/>
  </cols>
  <sheetData>
    <row r="1" spans="1:3" x14ac:dyDescent="0.3">
      <c r="A1" s="1" t="s">
        <v>0</v>
      </c>
      <c r="B1" s="2" t="s">
        <v>1</v>
      </c>
    </row>
    <row r="2" spans="1:3" x14ac:dyDescent="0.3">
      <c r="A2" s="1" t="s">
        <v>2</v>
      </c>
      <c r="B2" s="2" t="str">
        <f>HYPERLINK("https://indy-ignite-pro-volleyball.muckrack.com/coverage-reports/glNR/edit/")</f>
        <v>https://indy-ignite-pro-volleyball.muckrack.com/coverage-reports/glNR/edit/</v>
      </c>
    </row>
    <row r="3" spans="1:3" x14ac:dyDescent="0.3">
      <c r="A3" s="1" t="s">
        <v>3</v>
      </c>
      <c r="B3" s="3">
        <v>45818</v>
      </c>
    </row>
    <row r="4" spans="1:3" x14ac:dyDescent="0.3">
      <c r="A4" s="1" t="s">
        <v>4</v>
      </c>
      <c r="B4" s="2" t="s">
        <v>5</v>
      </c>
    </row>
    <row r="6" spans="1:3" x14ac:dyDescent="0.3">
      <c r="A6" s="1" t="s">
        <v>6</v>
      </c>
      <c r="B6" s="2">
        <v>139</v>
      </c>
      <c r="C6" s="8">
        <v>68</v>
      </c>
    </row>
    <row r="7" spans="1:3" x14ac:dyDescent="0.3">
      <c r="A7" s="1" t="s">
        <v>7</v>
      </c>
      <c r="B7" s="2">
        <v>929</v>
      </c>
      <c r="C7" s="8">
        <v>624</v>
      </c>
    </row>
    <row r="8" spans="1:3" x14ac:dyDescent="0.3">
      <c r="A8" s="1" t="s">
        <v>8</v>
      </c>
      <c r="B8" s="2">
        <v>6</v>
      </c>
      <c r="C8" s="8">
        <v>9.1999999999999993</v>
      </c>
    </row>
    <row r="9" spans="1:3" x14ac:dyDescent="0.3">
      <c r="A9" s="1" t="s">
        <v>9</v>
      </c>
      <c r="B9" s="2">
        <v>961331381</v>
      </c>
      <c r="C9" s="8">
        <v>111125823</v>
      </c>
    </row>
    <row r="10" spans="1:3" x14ac:dyDescent="0.3">
      <c r="A10" s="1" t="s">
        <v>10</v>
      </c>
      <c r="B10" s="4">
        <v>8892315.4199999999</v>
      </c>
      <c r="C10" s="9">
        <v>1027913.86</v>
      </c>
    </row>
    <row r="11" spans="1:3" x14ac:dyDescent="0.3">
      <c r="A11" s="1" t="s">
        <v>11</v>
      </c>
      <c r="B11" s="2">
        <v>6</v>
      </c>
      <c r="C11" s="8">
        <v>1</v>
      </c>
    </row>
    <row r="12" spans="1:3" x14ac:dyDescent="0.3">
      <c r="A12" s="1" t="s">
        <v>12</v>
      </c>
      <c r="B12" s="2">
        <v>38618</v>
      </c>
      <c r="C12" s="8">
        <v>16253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0"/>
  <sheetViews>
    <sheetView tabSelected="1" topLeftCell="G67" workbookViewId="0">
      <selection activeCell="G70" sqref="G70"/>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16.3320312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6" t="s">
        <v>215</v>
      </c>
      <c r="O1" s="1" t="s">
        <v>275</v>
      </c>
    </row>
    <row r="2" spans="1:15" ht="118.8" x14ac:dyDescent="0.3">
      <c r="A2" s="2" t="s">
        <v>26</v>
      </c>
      <c r="B2" s="2" t="str">
        <f>HYPERLINK("https://www.oursportscentral.com/services/releases/indy-host-red-hot-atlanta-thursday-in-final-home-match-before-pvf-championships/n-6221331")</f>
        <v>https://www.oursportscentral.com/services/releases/indy-host-red-hot-atlanta-thursday-in-final-home-match-before-pvf-championships/n-6221331</v>
      </c>
      <c r="C2" s="2"/>
      <c r="D2" s="2" t="s">
        <v>24</v>
      </c>
      <c r="E2" s="5">
        <v>45777.754930555559</v>
      </c>
      <c r="F2" s="2" t="s">
        <v>27</v>
      </c>
      <c r="G2" s="2">
        <v>40402</v>
      </c>
      <c r="H2" s="2">
        <v>0</v>
      </c>
      <c r="I2" s="2">
        <v>0</v>
      </c>
      <c r="J2" s="2">
        <v>0</v>
      </c>
      <c r="K2" s="2" t="s">
        <v>25</v>
      </c>
      <c r="L2" s="4">
        <v>373.72</v>
      </c>
      <c r="M2" s="2"/>
      <c r="N2" t="s">
        <v>266</v>
      </c>
      <c r="O2" t="s">
        <v>266</v>
      </c>
    </row>
    <row r="3" spans="1:15" ht="92.4" x14ac:dyDescent="0.3">
      <c r="A3" s="2" t="s">
        <v>28</v>
      </c>
      <c r="B3" s="2" t="str">
        <f>HYPERLINK("https://www.woofboomnews.com/2025/04/yorktowns-murr-enjoying-hoosier-homecoming/")</f>
        <v>https://www.woofboomnews.com/2025/04/yorktowns-murr-enjoying-hoosier-homecoming/</v>
      </c>
      <c r="C3" s="2"/>
      <c r="D3" s="2" t="s">
        <v>29</v>
      </c>
      <c r="E3" s="5">
        <v>45777.577534722222</v>
      </c>
      <c r="F3" s="2" t="s">
        <v>30</v>
      </c>
      <c r="G3" s="2">
        <v>1754</v>
      </c>
      <c r="H3" s="2">
        <v>0</v>
      </c>
      <c r="I3" s="2">
        <v>0</v>
      </c>
      <c r="J3" s="2">
        <v>0</v>
      </c>
      <c r="K3" s="2" t="s">
        <v>25</v>
      </c>
      <c r="L3" s="4">
        <v>16.22</v>
      </c>
      <c r="M3" s="2"/>
      <c r="N3" t="s">
        <v>274</v>
      </c>
      <c r="O3" t="s">
        <v>276</v>
      </c>
    </row>
    <row r="4" spans="1:15" ht="52.8" x14ac:dyDescent="0.3">
      <c r="A4" s="2" t="s">
        <v>31</v>
      </c>
      <c r="B4" s="2" t="str">
        <f>HYPERLINK("https://www.oursportscentral.com/services/releases/vibe-on-the-road-against-indy-ignite/n-6221299")</f>
        <v>https://www.oursportscentral.com/services/releases/vibe-on-the-road-against-indy-ignite/n-6221299</v>
      </c>
      <c r="C4" s="2"/>
      <c r="D4" s="2" t="s">
        <v>24</v>
      </c>
      <c r="E4" s="5">
        <v>45777</v>
      </c>
      <c r="F4" s="2" t="s">
        <v>32</v>
      </c>
      <c r="G4" s="2">
        <v>40402</v>
      </c>
      <c r="H4" s="2">
        <v>0</v>
      </c>
      <c r="I4" s="2">
        <v>0</v>
      </c>
      <c r="J4" s="2">
        <v>0</v>
      </c>
      <c r="K4" s="2" t="s">
        <v>33</v>
      </c>
      <c r="L4" s="4">
        <v>373.72</v>
      </c>
      <c r="M4" s="2"/>
      <c r="N4" t="s">
        <v>266</v>
      </c>
      <c r="O4" t="s">
        <v>266</v>
      </c>
    </row>
    <row r="5" spans="1:15" ht="105.6" x14ac:dyDescent="0.3">
      <c r="A5" s="2" t="s">
        <v>35</v>
      </c>
      <c r="B5" s="2" t="str">
        <f>HYPERLINK("https://www.oursportscentral.com/services/releases/last-week-around-the-leagues/n-6220604")</f>
        <v>https://www.oursportscentral.com/services/releases/last-week-around-the-leagues/n-6220604</v>
      </c>
      <c r="C5" s="2" t="s">
        <v>36</v>
      </c>
      <c r="D5" s="2" t="s">
        <v>24</v>
      </c>
      <c r="E5" s="5">
        <v>45775.933217592603</v>
      </c>
      <c r="F5" s="2" t="s">
        <v>37</v>
      </c>
      <c r="G5" s="2">
        <v>40402</v>
      </c>
      <c r="H5" s="2">
        <v>0</v>
      </c>
      <c r="I5" s="2">
        <v>0</v>
      </c>
      <c r="J5" s="2">
        <v>19</v>
      </c>
      <c r="K5" s="2" t="s">
        <v>25</v>
      </c>
      <c r="L5" s="4">
        <v>373.72</v>
      </c>
      <c r="M5" s="2"/>
      <c r="N5" t="s">
        <v>266</v>
      </c>
      <c r="O5" t="s">
        <v>266</v>
      </c>
    </row>
    <row r="6" spans="1:15" ht="66" x14ac:dyDescent="0.3">
      <c r="A6" s="2" t="s">
        <v>38</v>
      </c>
      <c r="B6" s="2" t="str">
        <f>HYPERLINK("https://hoodline.com/2025/04/indy-ignite-clinches-playoff-spot-in-inaugural-pvf-season-with-triumph-over-san-diego-mojo/")</f>
        <v>https://hoodline.com/2025/04/indy-ignite-clinches-playoff-spot-in-inaugural-pvf-season-with-triumph-over-san-diego-mojo/</v>
      </c>
      <c r="C6" s="2" t="s">
        <v>39</v>
      </c>
      <c r="D6" s="2" t="s">
        <v>40</v>
      </c>
      <c r="E6" s="5">
        <v>45775.465833333343</v>
      </c>
      <c r="F6" s="2" t="s">
        <v>41</v>
      </c>
      <c r="G6" s="2">
        <v>669609</v>
      </c>
      <c r="H6" s="2">
        <v>0</v>
      </c>
      <c r="I6" s="2">
        <v>0</v>
      </c>
      <c r="J6" s="2">
        <v>0</v>
      </c>
      <c r="K6" s="2" t="s">
        <v>25</v>
      </c>
      <c r="L6" s="4">
        <v>6193.88</v>
      </c>
      <c r="M6" s="2"/>
      <c r="N6" t="s">
        <v>266</v>
      </c>
      <c r="O6" t="s">
        <v>266</v>
      </c>
    </row>
    <row r="7" spans="1:15" ht="79.2" x14ac:dyDescent="0.3">
      <c r="A7" s="2" t="s">
        <v>43</v>
      </c>
      <c r="B7" s="2" t="str">
        <f>HYPERLINK("https://www.wthr.com/article/sports/local-sports/indy-ignite-clinch-pvf-playoff-spot-inaugural-season-2025-pro-volleyball-federation/531-b63bca58-6e14-4416-a62a-cf76a7379bc8")</f>
        <v>https://www.wthr.com/article/sports/local-sports/indy-ignite-clinch-pvf-playoff-spot-inaugural-season-2025-pro-volleyball-federation/531-b63bca58-6e14-4416-a62a-cf76a7379bc8</v>
      </c>
      <c r="C7" s="2"/>
      <c r="D7" s="2" t="s">
        <v>44</v>
      </c>
      <c r="E7" s="5">
        <v>45775.211226851847</v>
      </c>
      <c r="F7" s="2" t="s">
        <v>45</v>
      </c>
      <c r="G7" s="2">
        <v>1222012</v>
      </c>
      <c r="H7" s="2">
        <v>0</v>
      </c>
      <c r="I7" s="2">
        <v>0</v>
      </c>
      <c r="J7" s="2">
        <v>0</v>
      </c>
      <c r="K7" s="2" t="s">
        <v>33</v>
      </c>
      <c r="L7" s="4">
        <v>11303.61</v>
      </c>
      <c r="M7" s="2"/>
      <c r="N7" t="s">
        <v>267</v>
      </c>
      <c r="O7" t="s">
        <v>276</v>
      </c>
    </row>
    <row r="8" spans="1:15" ht="171.6" x14ac:dyDescent="0.3">
      <c r="A8" s="2" t="s">
        <v>46</v>
      </c>
      <c r="B8" s="2" t="str">
        <f>HYPERLINK("https://www.nuvo.net/sports/slideshow-indy-ignite-are-play-off-bound/collection_23ae11af-0a02-41f3-87bb-03081b9b6288.html")</f>
        <v>https://www.nuvo.net/sports/slideshow-indy-ignite-are-play-off-bound/collection_23ae11af-0a02-41f3-87bb-03081b9b6288.html</v>
      </c>
      <c r="C8" s="2" t="s">
        <v>47</v>
      </c>
      <c r="D8" s="2" t="s">
        <v>48</v>
      </c>
      <c r="E8" s="5">
        <v>45774.944085648152</v>
      </c>
      <c r="F8" s="2" t="s">
        <v>49</v>
      </c>
      <c r="G8" s="2">
        <v>8756</v>
      </c>
      <c r="H8" s="2">
        <v>0</v>
      </c>
      <c r="I8" s="2">
        <v>0</v>
      </c>
      <c r="J8" s="2">
        <v>0</v>
      </c>
      <c r="K8" s="2" t="s">
        <v>25</v>
      </c>
      <c r="L8" s="4">
        <v>80.989999999999995</v>
      </c>
      <c r="M8" s="2"/>
      <c r="N8" t="s">
        <v>267</v>
      </c>
      <c r="O8" t="s">
        <v>276</v>
      </c>
    </row>
    <row r="9" spans="1:15" ht="52.8" x14ac:dyDescent="0.3">
      <c r="A9" s="2" t="s">
        <v>50</v>
      </c>
      <c r="B9" s="2" t="str">
        <f>HYPERLINK("https://en.volleyballworld.com/news/ignite-secure-last-spot-playoffs")</f>
        <v>https://en.volleyballworld.com/news/ignite-secure-last-spot-playoffs</v>
      </c>
      <c r="C9" s="2"/>
      <c r="D9" s="2" t="s">
        <v>34</v>
      </c>
      <c r="E9" s="5">
        <v>45774.936550925922</v>
      </c>
      <c r="F9" s="2" t="s">
        <v>51</v>
      </c>
      <c r="G9" s="2">
        <v>224858</v>
      </c>
      <c r="H9" s="2">
        <v>0</v>
      </c>
      <c r="I9" s="2">
        <v>0</v>
      </c>
      <c r="J9" s="2">
        <v>1</v>
      </c>
      <c r="K9" s="2" t="s">
        <v>25</v>
      </c>
      <c r="L9" s="4">
        <v>2079.94</v>
      </c>
      <c r="M9" s="2"/>
      <c r="N9" t="s">
        <v>266</v>
      </c>
      <c r="O9" t="s">
        <v>266</v>
      </c>
    </row>
    <row r="10" spans="1:15" ht="105.6" x14ac:dyDescent="0.3">
      <c r="A10" s="2" t="s">
        <v>52</v>
      </c>
      <c r="B10" s="2" t="str">
        <f>HYPERLINK("https://www.oursportscentral.com/services/releases/ignite-clinch-pvf-playoff-bid-with-victory-over-san-diego/n-6220194")</f>
        <v>https://www.oursportscentral.com/services/releases/ignite-clinch-pvf-playoff-bid-with-victory-over-san-diego/n-6220194</v>
      </c>
      <c r="C10" s="2"/>
      <c r="D10" s="2" t="s">
        <v>24</v>
      </c>
      <c r="E10" s="5">
        <v>45774.852453703701</v>
      </c>
      <c r="F10" s="2" t="s">
        <v>53</v>
      </c>
      <c r="G10" s="2">
        <v>40402</v>
      </c>
      <c r="H10" s="2">
        <v>0</v>
      </c>
      <c r="I10" s="2">
        <v>0</v>
      </c>
      <c r="J10" s="2">
        <v>0</v>
      </c>
      <c r="K10" s="2" t="s">
        <v>33</v>
      </c>
      <c r="L10" s="4">
        <v>373.72</v>
      </c>
      <c r="M10" s="2"/>
      <c r="N10" t="s">
        <v>266</v>
      </c>
      <c r="O10" t="s">
        <v>266</v>
      </c>
    </row>
    <row r="11" spans="1:15" ht="52.8" x14ac:dyDescent="0.3">
      <c r="A11" s="2" t="s">
        <v>54</v>
      </c>
      <c r="B11" s="2" t="str">
        <f>HYPERLINK("https://www.oursportscentral.com/services/releases/mojo-rally-falls-short-in-four-set-loss-at-indy-ignite/n-6220124")</f>
        <v>https://www.oursportscentral.com/services/releases/mojo-rally-falls-short-in-four-set-loss-at-indy-ignite/n-6220124</v>
      </c>
      <c r="C11" s="2"/>
      <c r="D11" s="2" t="s">
        <v>24</v>
      </c>
      <c r="E11" s="5">
        <v>45774.762986111113</v>
      </c>
      <c r="F11" s="2" t="s">
        <v>55</v>
      </c>
      <c r="G11" s="2">
        <v>40402</v>
      </c>
      <c r="H11" s="2">
        <v>0</v>
      </c>
      <c r="I11" s="2">
        <v>0</v>
      </c>
      <c r="J11" s="2">
        <v>0</v>
      </c>
      <c r="K11" s="2" t="s">
        <v>33</v>
      </c>
      <c r="L11" s="4">
        <v>373.72</v>
      </c>
      <c r="M11" s="2"/>
      <c r="N11" t="s">
        <v>266</v>
      </c>
      <c r="O11" t="s">
        <v>266</v>
      </c>
    </row>
    <row r="12" spans="1:15" ht="132" x14ac:dyDescent="0.3">
      <c r="A12" s="2" t="s">
        <v>56</v>
      </c>
      <c r="B12" s="2" t="str">
        <f>HYPERLINK("https://www.keepingupincarmel.com/post/the-in-list-2024-4-28-5-4")</f>
        <v>https://www.keepingupincarmel.com/post/the-in-list-2024-4-28-5-4</v>
      </c>
      <c r="C12" s="2" t="s">
        <v>57</v>
      </c>
      <c r="D12" s="2" t="s">
        <v>58</v>
      </c>
      <c r="E12" s="5">
        <v>45774.647326388891</v>
      </c>
      <c r="F12" s="2" t="s">
        <v>59</v>
      </c>
      <c r="G12" s="2">
        <v>686</v>
      </c>
      <c r="H12" s="2">
        <v>0</v>
      </c>
      <c r="I12" s="2">
        <v>0</v>
      </c>
      <c r="J12" s="2">
        <v>0</v>
      </c>
      <c r="K12" s="2" t="s">
        <v>33</v>
      </c>
      <c r="L12" s="4">
        <v>6.35</v>
      </c>
      <c r="M12" s="2"/>
      <c r="N12" t="s">
        <v>268</v>
      </c>
      <c r="O12" t="s">
        <v>276</v>
      </c>
    </row>
    <row r="13" spans="1:15" ht="66" x14ac:dyDescent="0.3">
      <c r="A13" s="2" t="s">
        <v>60</v>
      </c>
      <c r="B13" s="2" t="str">
        <f>HYPERLINK("https://www.oursportscentral.com/services/releases/game-preview-san-diego-mojo-at-indy-ignite-april-27-2025/n-6219528")</f>
        <v>https://www.oursportscentral.com/services/releases/game-preview-san-diego-mojo-at-indy-ignite-april-27-2025/n-6219528</v>
      </c>
      <c r="C13" s="2"/>
      <c r="D13" s="2" t="s">
        <v>24</v>
      </c>
      <c r="E13" s="5">
        <v>45773.622511574067</v>
      </c>
      <c r="F13" s="2" t="s">
        <v>61</v>
      </c>
      <c r="G13" s="2">
        <v>40402</v>
      </c>
      <c r="H13" s="2">
        <v>0</v>
      </c>
      <c r="I13" s="2">
        <v>0</v>
      </c>
      <c r="J13" s="2">
        <v>0</v>
      </c>
      <c r="K13" s="2" t="s">
        <v>33</v>
      </c>
      <c r="L13" s="4">
        <v>373.72</v>
      </c>
      <c r="M13" s="2"/>
      <c r="N13" t="s">
        <v>266</v>
      </c>
      <c r="O13" t="s">
        <v>266</v>
      </c>
    </row>
    <row r="14" spans="1:15" ht="92.4" x14ac:dyDescent="0.3">
      <c r="A14" s="2" t="s">
        <v>62</v>
      </c>
      <c r="B14" s="2" t="str">
        <f>HYPERLINK("https://www.oursportscentral.com/services/releases/orlando-rallies-to-top-indy-in-four-sets/n-6219396")</f>
        <v>https://www.oursportscentral.com/services/releases/orlando-rallies-to-top-indy-in-four-sets/n-6219396</v>
      </c>
      <c r="C14" s="2"/>
      <c r="D14" s="2" t="s">
        <v>24</v>
      </c>
      <c r="E14" s="5">
        <v>45773.061215277783</v>
      </c>
      <c r="F14" s="2" t="s">
        <v>63</v>
      </c>
      <c r="G14" s="2">
        <v>40402</v>
      </c>
      <c r="H14" s="2">
        <v>0</v>
      </c>
      <c r="I14" s="2">
        <v>0</v>
      </c>
      <c r="J14" s="2">
        <v>0</v>
      </c>
      <c r="K14" s="2" t="s">
        <v>33</v>
      </c>
      <c r="L14" s="4">
        <v>373.72</v>
      </c>
      <c r="M14" s="2"/>
      <c r="N14" t="s">
        <v>266</v>
      </c>
      <c r="O14" t="s">
        <v>266</v>
      </c>
    </row>
    <row r="15" spans="1:15" ht="66" x14ac:dyDescent="0.3">
      <c r="A15" s="2" t="s">
        <v>64</v>
      </c>
      <c r="B15" s="2" t="str">
        <f>HYPERLINK("https://www.oursportscentral.com/services/releases/season-high-14-blocks-powers-valkyries-past-ignite/n-6219393")</f>
        <v>https://www.oursportscentral.com/services/releases/season-high-14-blocks-powers-valkyries-past-ignite/n-6219393</v>
      </c>
      <c r="C15" s="2"/>
      <c r="D15" s="2" t="s">
        <v>24</v>
      </c>
      <c r="E15" s="5">
        <v>45773.037719907406</v>
      </c>
      <c r="F15" s="2" t="s">
        <v>65</v>
      </c>
      <c r="G15" s="2">
        <v>40402</v>
      </c>
      <c r="H15" s="2">
        <v>0</v>
      </c>
      <c r="I15" s="2">
        <v>0</v>
      </c>
      <c r="J15" s="2">
        <v>0</v>
      </c>
      <c r="K15" s="2" t="s">
        <v>33</v>
      </c>
      <c r="L15" s="4">
        <v>373.72</v>
      </c>
      <c r="M15" s="2"/>
      <c r="N15" t="s">
        <v>266</v>
      </c>
      <c r="O15" t="s">
        <v>266</v>
      </c>
    </row>
    <row r="16" spans="1:15" ht="79.2" x14ac:dyDescent="0.3">
      <c r="A16" s="2" t="s">
        <v>66</v>
      </c>
      <c r="B16" s="2" t="str">
        <f>HYPERLINK("https://www.wthr.com/article/sports/local-sports/indy-ignite-prepare-final-stint-season-hoping-playoff-berth-fishers-event-pro-volleyball-federation/531-1c7f804e-c44f-41f3-b0d4-ef6689f396bc")</f>
        <v>https://www.wthr.com/article/sports/local-sports/indy-ignite-prepare-final-stint-season-hoping-playoff-berth-fishers-event-pro-volleyball-federation/531-1c7f804e-c44f-41f3-b0d4-ef6689f396bc</v>
      </c>
      <c r="C16" s="2"/>
      <c r="D16" s="2" t="s">
        <v>44</v>
      </c>
      <c r="E16" s="5">
        <v>45772.494375000002</v>
      </c>
      <c r="F16" s="2" t="s">
        <v>67</v>
      </c>
      <c r="G16" s="2">
        <v>1222012</v>
      </c>
      <c r="H16" s="2">
        <v>0</v>
      </c>
      <c r="I16" s="2">
        <v>0</v>
      </c>
      <c r="J16" s="2">
        <v>25</v>
      </c>
      <c r="K16" s="2" t="s">
        <v>25</v>
      </c>
      <c r="L16" s="4">
        <v>11303.61</v>
      </c>
      <c r="M16" s="2"/>
      <c r="N16" t="s">
        <v>267</v>
      </c>
      <c r="O16" t="s">
        <v>276</v>
      </c>
    </row>
    <row r="17" spans="1:15" ht="52.8" x14ac:dyDescent="0.3">
      <c r="A17" s="2" t="s">
        <v>68</v>
      </c>
      <c r="B17" s="2" t="str">
        <f>HYPERLINK("https://www.sportskeeda.com/us/olympics/news-anna-debeer-reacts-indy-ignite-steps-good-cause-visit-cancer-patients")</f>
        <v>https://www.sportskeeda.com/us/olympics/news-anna-debeer-reacts-indy-ignite-steps-good-cause-visit-cancer-patients</v>
      </c>
      <c r="C17" s="2" t="s">
        <v>69</v>
      </c>
      <c r="D17" s="2" t="s">
        <v>42</v>
      </c>
      <c r="E17" s="5">
        <v>45772.434907407413</v>
      </c>
      <c r="F17" s="2" t="s">
        <v>70</v>
      </c>
      <c r="G17" s="2">
        <v>22242243</v>
      </c>
      <c r="H17" s="2">
        <v>0</v>
      </c>
      <c r="I17" s="2">
        <v>0</v>
      </c>
      <c r="J17" s="2">
        <v>0</v>
      </c>
      <c r="K17" s="2" t="s">
        <v>33</v>
      </c>
      <c r="L17" s="4">
        <v>205740.75</v>
      </c>
      <c r="M17" s="2"/>
      <c r="N17" t="s">
        <v>273</v>
      </c>
      <c r="O17" t="s">
        <v>277</v>
      </c>
    </row>
    <row r="18" spans="1:15" ht="39.6" x14ac:dyDescent="0.3">
      <c r="A18" s="2" t="s">
        <v>71</v>
      </c>
      <c r="B18" s="2" t="str">
        <f>HYPERLINK("https://www.si.com/college/pittsburgh/recruiting/pitt-panthers-volleyball-izzy-masten-reclassifies-2025")</f>
        <v>https://www.si.com/college/pittsburgh/recruiting/pitt-panthers-volleyball-izzy-masten-reclassifies-2025</v>
      </c>
      <c r="C18" s="2" t="s">
        <v>72</v>
      </c>
      <c r="D18" s="2" t="s">
        <v>73</v>
      </c>
      <c r="E18" s="5">
        <v>45772.375034722223</v>
      </c>
      <c r="F18" s="2" t="s">
        <v>74</v>
      </c>
      <c r="G18" s="2">
        <v>26040270</v>
      </c>
      <c r="H18" s="2">
        <v>0</v>
      </c>
      <c r="I18" s="2">
        <v>0</v>
      </c>
      <c r="J18" s="2">
        <v>75</v>
      </c>
      <c r="K18" s="2" t="s">
        <v>25</v>
      </c>
      <c r="L18" s="4">
        <v>240872.5</v>
      </c>
      <c r="M18" s="2"/>
      <c r="N18" t="s">
        <v>266</v>
      </c>
      <c r="O18" t="s">
        <v>266</v>
      </c>
    </row>
    <row r="19" spans="1:15" ht="105.6" x14ac:dyDescent="0.3">
      <c r="A19" s="2" t="s">
        <v>75</v>
      </c>
      <c r="B19" s="2" t="str">
        <f>HYPERLINK("https://www.oursportscentral.com/services/releases/ignite-ready-to-host-pair-of-action-packed-important-matches-this-weekend/n-6218686")</f>
        <v>https://www.oursportscentral.com/services/releases/ignite-ready-to-host-pair-of-action-packed-important-matches-this-weekend/n-6218686</v>
      </c>
      <c r="C19" s="2"/>
      <c r="D19" s="2" t="s">
        <v>24</v>
      </c>
      <c r="E19" s="5">
        <v>45771.662534722222</v>
      </c>
      <c r="F19" s="2" t="s">
        <v>76</v>
      </c>
      <c r="G19" s="2">
        <v>40402</v>
      </c>
      <c r="H19" s="2">
        <v>0</v>
      </c>
      <c r="I19" s="2">
        <v>0</v>
      </c>
      <c r="J19" s="2">
        <v>0</v>
      </c>
      <c r="K19" s="2" t="s">
        <v>25</v>
      </c>
      <c r="L19" s="4">
        <v>373.72</v>
      </c>
      <c r="M19" s="2"/>
      <c r="N19" t="s">
        <v>266</v>
      </c>
      <c r="O19" t="s">
        <v>266</v>
      </c>
    </row>
    <row r="20" spans="1:15" ht="92.4" x14ac:dyDescent="0.3">
      <c r="A20" s="2" t="s">
        <v>77</v>
      </c>
      <c r="B20" s="2" t="str">
        <f>HYPERLINK("https://www.axios.com/local/indianapolis/2025/04/24/indianapolis-weekend-events-broad-ripple-art-walk-symphony-on-the-circle-indy-ignite")</f>
        <v>https://www.axios.com/local/indianapolis/2025/04/24/indianapolis-weekend-events-broad-ripple-art-walk-symphony-on-the-circle-indy-ignite</v>
      </c>
      <c r="C20" s="2" t="s">
        <v>78</v>
      </c>
      <c r="D20" s="2" t="s">
        <v>79</v>
      </c>
      <c r="E20" s="5">
        <v>45771.553518518522</v>
      </c>
      <c r="F20" s="2" t="s">
        <v>80</v>
      </c>
      <c r="G20" s="2">
        <v>17894268</v>
      </c>
      <c r="H20" s="2">
        <v>0</v>
      </c>
      <c r="I20" s="2">
        <v>0</v>
      </c>
      <c r="J20" s="2">
        <v>0</v>
      </c>
      <c r="K20" s="2" t="s">
        <v>25</v>
      </c>
      <c r="L20" s="4">
        <v>165521.98000000001</v>
      </c>
      <c r="M20" s="2"/>
      <c r="N20" t="s">
        <v>267</v>
      </c>
      <c r="O20" t="s">
        <v>276</v>
      </c>
    </row>
    <row r="21" spans="1:15" ht="79.2" x14ac:dyDescent="0.3">
      <c r="A21" s="2" t="s">
        <v>81</v>
      </c>
      <c r="B21" s="2" t="str">
        <f>HYPERLINK("https://en.volleyballworld.com/news/ignite-looking-clinch-playoff-spot-this-week")</f>
        <v>https://en.volleyballworld.com/news/ignite-looking-clinch-playoff-spot-this-week</v>
      </c>
      <c r="C21" s="2"/>
      <c r="D21" s="2" t="s">
        <v>34</v>
      </c>
      <c r="E21" s="5">
        <v>45771.553043981483</v>
      </c>
      <c r="F21" s="2" t="s">
        <v>82</v>
      </c>
      <c r="G21" s="2">
        <v>224858</v>
      </c>
      <c r="H21" s="2">
        <v>0</v>
      </c>
      <c r="I21" s="2">
        <v>0</v>
      </c>
      <c r="J21" s="2">
        <v>12</v>
      </c>
      <c r="K21" s="2" t="s">
        <v>33</v>
      </c>
      <c r="L21" s="4">
        <v>2079.94</v>
      </c>
      <c r="M21" s="2"/>
      <c r="N21" t="s">
        <v>266</v>
      </c>
      <c r="O21" t="s">
        <v>266</v>
      </c>
    </row>
    <row r="22" spans="1:15" ht="39.6" x14ac:dyDescent="0.3">
      <c r="A22" s="2" t="s">
        <v>83</v>
      </c>
      <c r="B22" s="2" t="str">
        <f>HYPERLINK("https://www.youarecurrent.com/2025/04/23/ignite-ready-for-stretch-run/")</f>
        <v>https://www.youarecurrent.com/2025/04/23/ignite-ready-for-stretch-run/</v>
      </c>
      <c r="C22" s="2" t="s">
        <v>84</v>
      </c>
      <c r="D22" s="2" t="s">
        <v>85</v>
      </c>
      <c r="E22" s="5">
        <v>45770.44940972222</v>
      </c>
      <c r="F22" s="2" t="s">
        <v>86</v>
      </c>
      <c r="G22" s="2">
        <v>42558</v>
      </c>
      <c r="H22" s="2">
        <v>0</v>
      </c>
      <c r="I22" s="2">
        <v>0</v>
      </c>
      <c r="J22" s="2">
        <v>1</v>
      </c>
      <c r="K22" s="2" t="s">
        <v>25</v>
      </c>
      <c r="L22" s="4">
        <v>393.66</v>
      </c>
      <c r="M22" s="2"/>
      <c r="N22" t="s">
        <v>267</v>
      </c>
      <c r="O22" t="s">
        <v>276</v>
      </c>
    </row>
    <row r="23" spans="1:15" ht="158.4" x14ac:dyDescent="0.3">
      <c r="A23" s="2" t="s">
        <v>87</v>
      </c>
      <c r="B23" s="2" t="str">
        <f>HYPERLINK("https://www.wishtv.com/news/teacher-appreciation-nights-indianapolis/")</f>
        <v>https://www.wishtv.com/news/teacher-appreciation-nights-indianapolis/</v>
      </c>
      <c r="C23" s="2" t="s">
        <v>88</v>
      </c>
      <c r="D23" s="2" t="s">
        <v>89</v>
      </c>
      <c r="E23" s="5">
        <v>45770.386782407397</v>
      </c>
      <c r="F23" s="2" t="s">
        <v>90</v>
      </c>
      <c r="G23" s="2">
        <v>702819</v>
      </c>
      <c r="H23" s="2">
        <v>0</v>
      </c>
      <c r="I23" s="2">
        <v>0</v>
      </c>
      <c r="J23" s="2">
        <v>32</v>
      </c>
      <c r="K23" s="2" t="s">
        <v>25</v>
      </c>
      <c r="L23" s="4">
        <v>6501.08</v>
      </c>
      <c r="M23" s="2"/>
      <c r="N23" t="s">
        <v>267</v>
      </c>
      <c r="O23" t="s">
        <v>276</v>
      </c>
    </row>
    <row r="24" spans="1:15" ht="145.19999999999999" x14ac:dyDescent="0.3">
      <c r="A24" s="2" t="s">
        <v>87</v>
      </c>
      <c r="B24" s="2" t="str">
        <f>HYPERLINK("https://www.wishtv.com/news/education/teacher-appreciation-nights-indianapolis/")</f>
        <v>https://www.wishtv.com/news/education/teacher-appreciation-nights-indianapolis/</v>
      </c>
      <c r="C24" s="2" t="s">
        <v>88</v>
      </c>
      <c r="D24" s="2" t="s">
        <v>89</v>
      </c>
      <c r="E24" s="5">
        <v>45770.386782407397</v>
      </c>
      <c r="F24" s="2" t="s">
        <v>91</v>
      </c>
      <c r="G24" s="2">
        <v>702819</v>
      </c>
      <c r="H24" s="2">
        <v>0</v>
      </c>
      <c r="I24" s="2">
        <v>0</v>
      </c>
      <c r="J24" s="2">
        <v>0</v>
      </c>
      <c r="K24" s="2" t="s">
        <v>25</v>
      </c>
      <c r="L24" s="4">
        <v>6501.08</v>
      </c>
      <c r="M24" s="2"/>
      <c r="N24" t="s">
        <v>267</v>
      </c>
      <c r="O24" t="s">
        <v>276</v>
      </c>
    </row>
    <row r="25" spans="1:15" ht="158.4" x14ac:dyDescent="0.3">
      <c r="A25" s="2" t="s">
        <v>93</v>
      </c>
      <c r="B25" s="2" t="str">
        <f>HYPERLINK("https://www.isustudentmedia.com/indianastatesman/sports/article_43df88e2-db8a-4bec-af8e-180cf49c50b0.html")</f>
        <v>https://www.isustudentmedia.com/indianastatesman/sports/article_43df88e2-db8a-4bec-af8e-180cf49c50b0.html</v>
      </c>
      <c r="C25" s="2"/>
      <c r="D25" s="2" t="s">
        <v>94</v>
      </c>
      <c r="E25" s="5">
        <v>45769.755891203713</v>
      </c>
      <c r="F25" s="2" t="s">
        <v>95</v>
      </c>
      <c r="G25" s="2">
        <v>2984</v>
      </c>
      <c r="H25" s="2">
        <v>0</v>
      </c>
      <c r="I25" s="2">
        <v>0</v>
      </c>
      <c r="J25" s="2">
        <v>0</v>
      </c>
      <c r="K25" s="2" t="s">
        <v>25</v>
      </c>
      <c r="L25" s="4">
        <v>27.6</v>
      </c>
      <c r="M25" s="2"/>
      <c r="N25" t="s">
        <v>267</v>
      </c>
      <c r="O25" t="s">
        <v>276</v>
      </c>
    </row>
    <row r="26" spans="1:15" ht="92.4" x14ac:dyDescent="0.3">
      <c r="A26" s="2" t="s">
        <v>96</v>
      </c>
      <c r="B26" s="2" t="str">
        <f>HYPERLINK("https://www.oursportscentral.com/services/releases/ignite-light-it-up-at-indianapolis-motor-speedway/n-6217763")</f>
        <v>https://www.oursportscentral.com/services/releases/ignite-light-it-up-at-indianapolis-motor-speedway/n-6217763</v>
      </c>
      <c r="C26" s="2"/>
      <c r="D26" s="2" t="s">
        <v>24</v>
      </c>
      <c r="E26" s="5">
        <v>45769.687719907408</v>
      </c>
      <c r="F26" s="2" t="s">
        <v>97</v>
      </c>
      <c r="G26" s="2">
        <v>40402</v>
      </c>
      <c r="H26" s="2">
        <v>0</v>
      </c>
      <c r="I26" s="2">
        <v>0</v>
      </c>
      <c r="J26" s="2">
        <v>0</v>
      </c>
      <c r="K26" s="2" t="s">
        <v>25</v>
      </c>
      <c r="L26" s="4">
        <v>373.72</v>
      </c>
      <c r="M26" s="2"/>
      <c r="N26" t="s">
        <v>266</v>
      </c>
      <c r="O26" t="s">
        <v>266</v>
      </c>
    </row>
    <row r="27" spans="1:15" ht="158.4" x14ac:dyDescent="0.3">
      <c r="A27" s="2" t="s">
        <v>100</v>
      </c>
      <c r="B27" s="2" t="str">
        <f>HYPERLINK("https://mirrorindy.org/indianapolis-indians-indy-ignite-teacher-appreciation-night-spring-2025/")</f>
        <v>https://mirrorindy.org/indianapolis-indians-indy-ignite-teacher-appreciation-night-spring-2025/</v>
      </c>
      <c r="C27" s="2" t="s">
        <v>101</v>
      </c>
      <c r="D27" s="2" t="s">
        <v>102</v>
      </c>
      <c r="E27" s="5">
        <v>45769.455671296288</v>
      </c>
      <c r="F27" s="2" t="s">
        <v>103</v>
      </c>
      <c r="G27" s="2">
        <v>29972</v>
      </c>
      <c r="H27" s="2">
        <v>0</v>
      </c>
      <c r="I27" s="2">
        <v>0</v>
      </c>
      <c r="J27" s="2">
        <v>2</v>
      </c>
      <c r="K27" s="2" t="s">
        <v>25</v>
      </c>
      <c r="L27" s="4">
        <v>277.24</v>
      </c>
      <c r="M27" s="2"/>
      <c r="N27" t="s">
        <v>266</v>
      </c>
      <c r="O27" t="s">
        <v>266</v>
      </c>
    </row>
    <row r="28" spans="1:15" ht="52.8" x14ac:dyDescent="0.3">
      <c r="A28" s="2" t="s">
        <v>104</v>
      </c>
      <c r="B28" s="2" t="str">
        <f>HYPERLINK("https://www.wrtv.com/marketplace/spotlight/circle-city-spotlight-meet-mary-kay-huse-the-president-and-gm-for-the-indy-ignite")</f>
        <v>https://www.wrtv.com/marketplace/spotlight/circle-city-spotlight-meet-mary-kay-huse-the-president-and-gm-for-the-indy-ignite</v>
      </c>
      <c r="C28" s="2"/>
      <c r="D28" s="2" t="s">
        <v>105</v>
      </c>
      <c r="E28" s="5">
        <v>45768.736793981479</v>
      </c>
      <c r="F28" s="2" t="s">
        <v>106</v>
      </c>
      <c r="G28" s="2">
        <v>290626</v>
      </c>
      <c r="H28" s="2">
        <v>0</v>
      </c>
      <c r="I28" s="2">
        <v>0</v>
      </c>
      <c r="J28" s="2">
        <v>0</v>
      </c>
      <c r="K28" s="2" t="s">
        <v>33</v>
      </c>
      <c r="L28" s="4">
        <v>2688.29</v>
      </c>
      <c r="M28" s="2"/>
      <c r="N28" t="s">
        <v>267</v>
      </c>
      <c r="O28" t="s">
        <v>276</v>
      </c>
    </row>
    <row r="29" spans="1:15" ht="132" x14ac:dyDescent="0.3">
      <c r="A29" s="2" t="s">
        <v>107</v>
      </c>
      <c r="B29" s="2" t="str">
        <f>HYPERLINK("https://wishtv.com/news/indy-weekend-events-4-21-25/")</f>
        <v>https://wishtv.com/news/indy-weekend-events-4-21-25/</v>
      </c>
      <c r="C29" s="2" t="s">
        <v>108</v>
      </c>
      <c r="D29" s="2" t="s">
        <v>89</v>
      </c>
      <c r="E29" s="5">
        <v>45768.593298611107</v>
      </c>
      <c r="F29" s="2" t="s">
        <v>109</v>
      </c>
      <c r="G29" s="2">
        <v>702819</v>
      </c>
      <c r="H29" s="2">
        <v>0</v>
      </c>
      <c r="I29" s="2">
        <v>0</v>
      </c>
      <c r="J29" s="2">
        <v>5</v>
      </c>
      <c r="K29" s="2" t="s">
        <v>25</v>
      </c>
      <c r="L29" s="4">
        <v>6501.08</v>
      </c>
      <c r="M29" s="2"/>
      <c r="N29" t="s">
        <v>267</v>
      </c>
      <c r="O29" t="s">
        <v>276</v>
      </c>
    </row>
    <row r="30" spans="1:15" ht="52.8" x14ac:dyDescent="0.3">
      <c r="A30" s="2" t="s">
        <v>110</v>
      </c>
      <c r="B30" s="2" t="str">
        <f>HYPERLINK("https://www.indianapolismonthly.com/arts-and-culture/sports/naysayer-1/indy-ignite-caitie-baird/")</f>
        <v>https://www.indianapolismonthly.com/arts-and-culture/sports/naysayer-1/indy-ignite-caitie-baird/</v>
      </c>
      <c r="C30" s="2" t="s">
        <v>111</v>
      </c>
      <c r="D30" s="2" t="s">
        <v>112</v>
      </c>
      <c r="E30" s="5">
        <v>45768.433576388888</v>
      </c>
      <c r="F30" s="2" t="s">
        <v>113</v>
      </c>
      <c r="G30" s="2">
        <v>18571</v>
      </c>
      <c r="H30" s="2">
        <v>0</v>
      </c>
      <c r="I30" s="2">
        <v>0</v>
      </c>
      <c r="J30" s="2">
        <v>45</v>
      </c>
      <c r="K30" s="2" t="s">
        <v>25</v>
      </c>
      <c r="L30" s="4">
        <v>171.78</v>
      </c>
      <c r="M30" s="2"/>
      <c r="N30" t="s">
        <v>267</v>
      </c>
      <c r="O30" t="s">
        <v>276</v>
      </c>
    </row>
    <row r="31" spans="1:15" ht="132" x14ac:dyDescent="0.3">
      <c r="A31" s="2" t="s">
        <v>115</v>
      </c>
      <c r="B31" s="2" t="str">
        <f>HYPERLINK("https://www.keepingupincarmel.com/post/the-in-list-2024-4-21-4-27")</f>
        <v>https://www.keepingupincarmel.com/post/the-in-list-2024-4-21-4-27</v>
      </c>
      <c r="C31" s="2" t="s">
        <v>57</v>
      </c>
      <c r="D31" s="2" t="s">
        <v>58</v>
      </c>
      <c r="E31" s="5">
        <v>45767.660694444443</v>
      </c>
      <c r="F31" s="2" t="s">
        <v>116</v>
      </c>
      <c r="G31" s="2">
        <v>686</v>
      </c>
      <c r="H31" s="2">
        <v>0</v>
      </c>
      <c r="I31" s="2">
        <v>0</v>
      </c>
      <c r="J31" s="2">
        <v>0</v>
      </c>
      <c r="K31" s="2" t="s">
        <v>33</v>
      </c>
      <c r="L31" s="4">
        <v>6.35</v>
      </c>
      <c r="M31" s="2"/>
      <c r="N31" t="s">
        <v>268</v>
      </c>
      <c r="O31" t="s">
        <v>276</v>
      </c>
    </row>
    <row r="32" spans="1:15" ht="92.4" x14ac:dyDescent="0.3">
      <c r="A32" s="2" t="s">
        <v>117</v>
      </c>
      <c r="B32" s="2" t="str">
        <f>HYPERLINK("https://www.oursportscentral.com/services/releases/indy-falls-at-grand-rapids-in-four-sets-playoff-bid-remains-two-wins-away/n-6216477")</f>
        <v>https://www.oursportscentral.com/services/releases/indy-falls-at-grand-rapids-in-four-sets-playoff-bid-remains-two-wins-away/n-6216477</v>
      </c>
      <c r="C32" s="2"/>
      <c r="D32" s="2" t="s">
        <v>24</v>
      </c>
      <c r="E32" s="5">
        <v>45766.774872685193</v>
      </c>
      <c r="F32" s="2" t="s">
        <v>118</v>
      </c>
      <c r="G32" s="2">
        <v>40402</v>
      </c>
      <c r="H32" s="2">
        <v>0</v>
      </c>
      <c r="I32" s="2">
        <v>0</v>
      </c>
      <c r="J32" s="2">
        <v>0</v>
      </c>
      <c r="K32" s="2" t="s">
        <v>25</v>
      </c>
      <c r="L32" s="4">
        <v>373.72</v>
      </c>
      <c r="M32" s="2"/>
      <c r="N32" t="s">
        <v>266</v>
      </c>
      <c r="O32" t="s">
        <v>266</v>
      </c>
    </row>
    <row r="33" spans="1:15" ht="66" x14ac:dyDescent="0.3">
      <c r="A33" s="2" t="s">
        <v>119</v>
      </c>
      <c r="B33" s="2" t="str">
        <f>HYPERLINK("https://www.oursportscentral.com/services/releases/rise-rally-past-indy-to-stay-in-playoff-hunt/n-6216464")</f>
        <v>https://www.oursportscentral.com/services/releases/rise-rally-past-indy-to-stay-in-playoff-hunt/n-6216464</v>
      </c>
      <c r="C33" s="2"/>
      <c r="D33" s="2" t="s">
        <v>24</v>
      </c>
      <c r="E33" s="5">
        <v>45766.769259259258</v>
      </c>
      <c r="F33" s="2" t="s">
        <v>120</v>
      </c>
      <c r="G33" s="2">
        <v>40402</v>
      </c>
      <c r="H33" s="2">
        <v>0</v>
      </c>
      <c r="I33" s="2">
        <v>0</v>
      </c>
      <c r="J33" s="2">
        <v>0</v>
      </c>
      <c r="K33" s="2" t="s">
        <v>33</v>
      </c>
      <c r="L33" s="4">
        <v>373.72</v>
      </c>
      <c r="M33" s="2"/>
      <c r="N33" t="s">
        <v>266</v>
      </c>
      <c r="O33" t="s">
        <v>266</v>
      </c>
    </row>
    <row r="34" spans="1:15" ht="171.6" x14ac:dyDescent="0.3">
      <c r="A34" s="2" t="s">
        <v>122</v>
      </c>
      <c r="B34" s="2" t="str">
        <f>HYPERLINK("https://www.nuvo.net/sports/vegas-thrill-edges-out-indy-ignite-in-five-set-battle-in-fishers/collection_04527769-3590-4ea1-b177-2d53c640894b.html")</f>
        <v>https://www.nuvo.net/sports/vegas-thrill-edges-out-indy-ignite-in-five-set-battle-in-fishers/collection_04527769-3590-4ea1-b177-2d53c640894b.html</v>
      </c>
      <c r="C34" s="2" t="s">
        <v>123</v>
      </c>
      <c r="D34" s="2" t="s">
        <v>48</v>
      </c>
      <c r="E34" s="5">
        <v>45766</v>
      </c>
      <c r="F34" s="2" t="s">
        <v>49</v>
      </c>
      <c r="G34" s="2">
        <v>8756</v>
      </c>
      <c r="H34" s="2">
        <v>0</v>
      </c>
      <c r="I34" s="2">
        <v>0</v>
      </c>
      <c r="J34" s="2">
        <v>0</v>
      </c>
      <c r="K34" s="2" t="s">
        <v>25</v>
      </c>
      <c r="L34" s="4">
        <v>80.989999999999995</v>
      </c>
      <c r="M34" s="2"/>
      <c r="N34" t="s">
        <v>267</v>
      </c>
      <c r="O34" t="s">
        <v>276</v>
      </c>
    </row>
    <row r="35" spans="1:15" ht="66" x14ac:dyDescent="0.3">
      <c r="A35" s="2" t="s">
        <v>124</v>
      </c>
      <c r="B35" s="2" t="str">
        <f>HYPERLINK("https://www.oursportscentral.com/services/releases/the-vegas-thrill-snapped-their-five-match-losing-streak-with-a-five-set-thriller-against-the-indy-ignite/n-6216218")</f>
        <v>https://www.oursportscentral.com/services/releases/the-vegas-thrill-snapped-their-five-match-losing-streak-with-a-five-set-thriller-against-the-indy-ignite/n-6216218</v>
      </c>
      <c r="C35" s="2"/>
      <c r="D35" s="2" t="s">
        <v>24</v>
      </c>
      <c r="E35" s="5">
        <v>45765.994826388887</v>
      </c>
      <c r="F35" s="2" t="s">
        <v>125</v>
      </c>
      <c r="G35" s="2">
        <v>40402</v>
      </c>
      <c r="H35" s="2">
        <v>0</v>
      </c>
      <c r="I35" s="2">
        <v>0</v>
      </c>
      <c r="J35" s="2">
        <v>0</v>
      </c>
      <c r="K35" s="2" t="s">
        <v>33</v>
      </c>
      <c r="L35" s="4">
        <v>373.72</v>
      </c>
      <c r="M35" s="2"/>
      <c r="N35" t="s">
        <v>266</v>
      </c>
      <c r="O35" t="s">
        <v>266</v>
      </c>
    </row>
    <row r="36" spans="1:15" ht="79.2" x14ac:dyDescent="0.3">
      <c r="A36" s="2" t="s">
        <v>126</v>
      </c>
      <c r="B36" s="2" t="str">
        <f>HYPERLINK("https://1075thefan.com/events/join-jmv-at-the-indy-ignite-game/")</f>
        <v>https://1075thefan.com/events/join-jmv-at-the-indy-ignite-game/</v>
      </c>
      <c r="C36" s="2" t="s">
        <v>127</v>
      </c>
      <c r="D36" s="2" t="s">
        <v>128</v>
      </c>
      <c r="E36" s="5">
        <v>45765.66064814815</v>
      </c>
      <c r="F36" s="2" t="s">
        <v>129</v>
      </c>
      <c r="G36" s="2">
        <v>118455</v>
      </c>
      <c r="H36" s="2">
        <v>0</v>
      </c>
      <c r="I36" s="2">
        <v>0</v>
      </c>
      <c r="J36" s="2">
        <v>0</v>
      </c>
      <c r="K36" s="2" t="s">
        <v>25</v>
      </c>
      <c r="L36" s="4">
        <v>1095.71</v>
      </c>
      <c r="M36" s="2"/>
      <c r="N36" t="s">
        <v>267</v>
      </c>
      <c r="O36" t="s">
        <v>276</v>
      </c>
    </row>
    <row r="37" spans="1:15" ht="105.6" x14ac:dyDescent="0.3">
      <c r="A37" s="2" t="s">
        <v>131</v>
      </c>
      <c r="B37" s="2" t="str">
        <f>HYPERLINK("https://www.oursportscentral.com/services/releases/ignite-nearly-complete-comeback-for-win-but-fall-shy-in-five-sets/n-6215738")</f>
        <v>https://www.oursportscentral.com/services/releases/ignite-nearly-complete-comeback-for-win-but-fall-shy-in-five-sets/n-6215738</v>
      </c>
      <c r="C37" s="2"/>
      <c r="D37" s="2" t="s">
        <v>24</v>
      </c>
      <c r="E37" s="5">
        <v>45764.983749999999</v>
      </c>
      <c r="F37" s="2" t="s">
        <v>132</v>
      </c>
      <c r="G37" s="2">
        <v>40402</v>
      </c>
      <c r="H37" s="2">
        <v>0</v>
      </c>
      <c r="I37" s="2">
        <v>0</v>
      </c>
      <c r="J37" s="2">
        <v>0</v>
      </c>
      <c r="K37" s="2" t="s">
        <v>33</v>
      </c>
      <c r="L37" s="4">
        <v>373.72</v>
      </c>
      <c r="M37" s="2"/>
      <c r="N37" t="s">
        <v>266</v>
      </c>
      <c r="O37" t="s">
        <v>266</v>
      </c>
    </row>
    <row r="38" spans="1:15" ht="118.8" x14ac:dyDescent="0.3">
      <c r="A38" s="2" t="s">
        <v>133</v>
      </c>
      <c r="B38" s="2" t="str">
        <f>HYPERLINK("https://www.wthr.com/article/sports/local-sports/indy-ignite-fall-just-short-in-five-set-battle-vs-vegas-pro-volleyball-federation/531-6dba75f8-a0e2-43bd-8e56-2de7adb013d1")</f>
        <v>https://www.wthr.com/article/sports/local-sports/indy-ignite-fall-just-short-in-five-set-battle-vs-vegas-pro-volleyball-federation/531-6dba75f8-a0e2-43bd-8e56-2de7adb013d1</v>
      </c>
      <c r="C38" s="2"/>
      <c r="D38" s="2" t="s">
        <v>44</v>
      </c>
      <c r="E38" s="5">
        <v>45764.892638888887</v>
      </c>
      <c r="F38" s="2" t="s">
        <v>134</v>
      </c>
      <c r="G38" s="2">
        <v>1222012</v>
      </c>
      <c r="H38" s="2">
        <v>0</v>
      </c>
      <c r="I38" s="2">
        <v>0</v>
      </c>
      <c r="J38" s="2">
        <v>0</v>
      </c>
      <c r="K38" s="2" t="s">
        <v>33</v>
      </c>
      <c r="L38" s="4">
        <v>11303.61</v>
      </c>
      <c r="M38" s="2"/>
      <c r="N38" t="s">
        <v>267</v>
      </c>
      <c r="O38" t="s">
        <v>276</v>
      </c>
    </row>
    <row r="39" spans="1:15" ht="52.8" x14ac:dyDescent="0.3">
      <c r="A39" s="2" t="s">
        <v>135</v>
      </c>
      <c r="B39" s="2" t="str">
        <f>HYPERLINK("https://www.wrtv.com/marketplace/spotlight/circle-city-spotlight-meet-leketor-member-meneh-outside-hitter-for-the-indy-ignite")</f>
        <v>https://www.wrtv.com/marketplace/spotlight/circle-city-spotlight-meet-leketor-member-meneh-outside-hitter-for-the-indy-ignite</v>
      </c>
      <c r="C39" s="2"/>
      <c r="D39" s="2" t="s">
        <v>105</v>
      </c>
      <c r="E39" s="5">
        <v>45764.730127314811</v>
      </c>
      <c r="F39" s="2" t="s">
        <v>136</v>
      </c>
      <c r="G39" s="2">
        <v>290626</v>
      </c>
      <c r="H39" s="2">
        <v>0</v>
      </c>
      <c r="I39" s="2">
        <v>0</v>
      </c>
      <c r="J39" s="2">
        <v>0</v>
      </c>
      <c r="K39" s="2" t="s">
        <v>33</v>
      </c>
      <c r="L39" s="4">
        <v>2688.29</v>
      </c>
      <c r="M39" s="2"/>
      <c r="N39" t="s">
        <v>267</v>
      </c>
      <c r="O39" t="s">
        <v>276</v>
      </c>
    </row>
    <row r="40" spans="1:15" ht="79.2" x14ac:dyDescent="0.3">
      <c r="A40" s="2" t="s">
        <v>137</v>
      </c>
      <c r="B40" s="2" t="str">
        <f>HYPERLINK("https://ground.news/article/the-pro-league-started-and-we-said-hey-lets-take-a-run-at-it-meet-the-indy-ignite-co-founders")</f>
        <v>https://ground.news/article/the-pro-league-started-and-we-said-hey-lets-take-a-run-at-it-meet-the-indy-ignite-co-founders</v>
      </c>
      <c r="C40" s="2"/>
      <c r="D40" s="2" t="s">
        <v>138</v>
      </c>
      <c r="E40" s="5">
        <v>45763.211284722223</v>
      </c>
      <c r="F40" s="2" t="s">
        <v>139</v>
      </c>
      <c r="G40" s="2">
        <v>3265823</v>
      </c>
      <c r="H40" s="2">
        <v>0</v>
      </c>
      <c r="I40" s="2">
        <v>0</v>
      </c>
      <c r="J40" s="2">
        <v>0</v>
      </c>
      <c r="K40" s="2" t="s">
        <v>33</v>
      </c>
      <c r="L40" s="4">
        <v>30208.86</v>
      </c>
      <c r="M40" s="2"/>
      <c r="N40" t="s">
        <v>266</v>
      </c>
      <c r="O40" t="s">
        <v>266</v>
      </c>
    </row>
    <row r="41" spans="1:15" ht="145.19999999999999" x14ac:dyDescent="0.3">
      <c r="A41" s="2" t="s">
        <v>140</v>
      </c>
      <c r="B41" s="2" t="str">
        <f>HYPERLINK("https://www.indystar.com/story/sports/2025/04/16/indy-ignite-owners-volleyball-dads-pro-womens-volleyball-indianapolis-jim-schumacher-don-hutchinson/81704828007/")</f>
        <v>https://www.indystar.com/story/sports/2025/04/16/indy-ignite-owners-volleyball-dads-pro-womens-volleyball-indianapolis-jim-schumacher-don-hutchinson/81704828007/</v>
      </c>
      <c r="C41" s="2" t="s">
        <v>141</v>
      </c>
      <c r="D41" s="2" t="s">
        <v>114</v>
      </c>
      <c r="E41" s="5">
        <v>45763.04283564815</v>
      </c>
      <c r="F41" s="2" t="s">
        <v>142</v>
      </c>
      <c r="G41" s="2">
        <v>3061566</v>
      </c>
      <c r="H41" s="2">
        <v>0</v>
      </c>
      <c r="I41" s="2">
        <v>0</v>
      </c>
      <c r="J41" s="2">
        <v>276</v>
      </c>
      <c r="K41" s="2" t="s">
        <v>33</v>
      </c>
      <c r="L41" s="4">
        <v>28319.49</v>
      </c>
      <c r="M41" s="2"/>
      <c r="N41" t="s">
        <v>267</v>
      </c>
      <c r="O41" t="s">
        <v>276</v>
      </c>
    </row>
    <row r="42" spans="1:15" ht="105.6" x14ac:dyDescent="0.3">
      <c r="A42" s="2" t="s">
        <v>143</v>
      </c>
      <c r="B42" s="2" t="str">
        <f>HYPERLINK("https://www.oursportscentral.com/services/releases/rise-travel-to-omaha-thursday-return-home-saturday-for-ignite-showdown/n-6214476")</f>
        <v>https://www.oursportscentral.com/services/releases/rise-travel-to-omaha-thursday-return-home-saturday-for-ignite-showdown/n-6214476</v>
      </c>
      <c r="C42" s="2"/>
      <c r="D42" s="2" t="s">
        <v>24</v>
      </c>
      <c r="E42" s="5">
        <v>45762.6719212963</v>
      </c>
      <c r="F42" s="2" t="s">
        <v>144</v>
      </c>
      <c r="G42" s="2">
        <v>40402</v>
      </c>
      <c r="H42" s="2">
        <v>0</v>
      </c>
      <c r="I42" s="2">
        <v>0</v>
      </c>
      <c r="J42" s="2">
        <v>0</v>
      </c>
      <c r="K42" s="2" t="s">
        <v>33</v>
      </c>
      <c r="L42" s="4">
        <v>373.72</v>
      </c>
      <c r="M42" s="2"/>
      <c r="N42" t="s">
        <v>266</v>
      </c>
      <c r="O42" t="s">
        <v>266</v>
      </c>
    </row>
    <row r="43" spans="1:15" ht="79.2" x14ac:dyDescent="0.3">
      <c r="A43" s="2" t="s">
        <v>145</v>
      </c>
      <c r="B43" s="2" t="str">
        <f>HYPERLINK("https://lifeinindy.com/things-to-do/guide-to-the-month-of-may-in-indianapolis/")</f>
        <v>https://lifeinindy.com/things-to-do/guide-to-the-month-of-may-in-indianapolis/</v>
      </c>
      <c r="C43" s="2" t="s">
        <v>146</v>
      </c>
      <c r="D43" s="2" t="s">
        <v>147</v>
      </c>
      <c r="E43" s="5">
        <v>45762.536296296297</v>
      </c>
      <c r="F43" s="2" t="s">
        <v>148</v>
      </c>
      <c r="G43" s="2"/>
      <c r="H43" s="2">
        <v>1</v>
      </c>
      <c r="I43" s="2">
        <v>16253</v>
      </c>
      <c r="J43" s="2">
        <v>31</v>
      </c>
      <c r="K43" s="2" t="s">
        <v>25</v>
      </c>
      <c r="L43" s="2"/>
      <c r="M43" s="2"/>
      <c r="N43" t="s">
        <v>267</v>
      </c>
      <c r="O43" t="s">
        <v>276</v>
      </c>
    </row>
    <row r="44" spans="1:15" ht="66" x14ac:dyDescent="0.3">
      <c r="A44" s="2" t="s">
        <v>149</v>
      </c>
      <c r="B44" s="2" t="str">
        <f>HYPERLINK("https://www.nuvo.net/sports/grand-rapids-rallies-past-ignite-in-five-set-thriller-purdue-sweeps-vanderbilt-in-spring-action/collection_3b9c15dc-1761-4e2b-ac98-82dc5a9dbd42.html")</f>
        <v>https://www.nuvo.net/sports/grand-rapids-rallies-past-ignite-in-five-set-thriller-purdue-sweeps-vanderbilt-in-spring-action/collection_3b9c15dc-1761-4e2b-ac98-82dc5a9dbd42.html</v>
      </c>
      <c r="C44" s="2" t="s">
        <v>123</v>
      </c>
      <c r="D44" s="2" t="s">
        <v>48</v>
      </c>
      <c r="E44" s="5">
        <v>45760.833333333343</v>
      </c>
      <c r="F44" s="2" t="s">
        <v>150</v>
      </c>
      <c r="G44" s="2">
        <v>8756</v>
      </c>
      <c r="H44" s="2">
        <v>0</v>
      </c>
      <c r="I44" s="2">
        <v>0</v>
      </c>
      <c r="J44" s="2">
        <v>0</v>
      </c>
      <c r="K44" s="2" t="s">
        <v>25</v>
      </c>
      <c r="L44" s="4">
        <v>80.989999999999995</v>
      </c>
      <c r="M44" s="2"/>
      <c r="N44" t="s">
        <v>267</v>
      </c>
      <c r="O44" t="s">
        <v>276</v>
      </c>
    </row>
    <row r="45" spans="1:15" ht="66" x14ac:dyDescent="0.3">
      <c r="A45" s="2" t="s">
        <v>151</v>
      </c>
      <c r="B45" s="2" t="str">
        <f>HYPERLINK("https://www.pmg-ky1.com/henry_county_local/sports/ignite-fall-in-five-set-thriller/article_27434e93-9851-5900-9663-cc47ef872eb5.html")</f>
        <v>https://www.pmg-ky1.com/henry_county_local/sports/ignite-fall-in-five-set-thriller/article_27434e93-9851-5900-9663-cc47ef872eb5.html</v>
      </c>
      <c r="C45" s="2" t="s">
        <v>152</v>
      </c>
      <c r="D45" s="2" t="s">
        <v>153</v>
      </c>
      <c r="E45" s="5">
        <v>45760.833333333343</v>
      </c>
      <c r="F45" s="2" t="s">
        <v>154</v>
      </c>
      <c r="G45" s="2"/>
      <c r="H45" s="2">
        <v>0</v>
      </c>
      <c r="I45" s="2">
        <v>0</v>
      </c>
      <c r="J45" s="2">
        <v>0</v>
      </c>
      <c r="K45" s="2" t="s">
        <v>33</v>
      </c>
      <c r="L45" s="2"/>
      <c r="M45" s="2"/>
      <c r="N45" t="s">
        <v>272</v>
      </c>
      <c r="O45" t="s">
        <v>266</v>
      </c>
    </row>
    <row r="46" spans="1:15" ht="118.8" x14ac:dyDescent="0.3">
      <c r="A46" s="2" t="s">
        <v>155</v>
      </c>
      <c r="B46" s="2" t="str">
        <f>HYPERLINK("https://www.keepingupincarmel.com/post/the-in-list-2025-4-14-4-20")</f>
        <v>https://www.keepingupincarmel.com/post/the-in-list-2025-4-14-4-20</v>
      </c>
      <c r="C46" s="2" t="s">
        <v>57</v>
      </c>
      <c r="D46" s="2" t="s">
        <v>58</v>
      </c>
      <c r="E46" s="5">
        <v>45760.667488425926</v>
      </c>
      <c r="F46" s="2" t="s">
        <v>156</v>
      </c>
      <c r="G46" s="2">
        <v>686</v>
      </c>
      <c r="H46" s="2">
        <v>0</v>
      </c>
      <c r="I46" s="2">
        <v>0</v>
      </c>
      <c r="J46" s="2">
        <v>0</v>
      </c>
      <c r="K46" s="2" t="s">
        <v>33</v>
      </c>
      <c r="L46" s="4">
        <v>6.35</v>
      </c>
      <c r="M46" s="2"/>
      <c r="N46" t="s">
        <v>268</v>
      </c>
      <c r="O46" t="s">
        <v>276</v>
      </c>
    </row>
    <row r="47" spans="1:15" ht="79.2" x14ac:dyDescent="0.3">
      <c r="A47" s="2" t="s">
        <v>157</v>
      </c>
      <c r="B47" s="2" t="str">
        <f>HYPERLINK("https://www.wthr.com/article/sports/local-sports/indy-ignite-fall-to-grand-rapids-rise-pro-volleyball-federation-sports-indianapolis-indiana/531-e27e8f2a-0c07-4aa1-9c28-7e4ed7422693")</f>
        <v>https://www.wthr.com/article/sports/local-sports/indy-ignite-fall-to-grand-rapids-rise-pro-volleyball-federation-sports-indianapolis-indiana/531-e27e8f2a-0c07-4aa1-9c28-7e4ed7422693</v>
      </c>
      <c r="C47" s="2"/>
      <c r="D47" s="2" t="s">
        <v>44</v>
      </c>
      <c r="E47" s="5">
        <v>45760.258946759262</v>
      </c>
      <c r="F47" s="2" t="s">
        <v>158</v>
      </c>
      <c r="G47" s="2">
        <v>1222012</v>
      </c>
      <c r="H47" s="2">
        <v>0</v>
      </c>
      <c r="I47" s="2">
        <v>0</v>
      </c>
      <c r="J47" s="2">
        <v>1</v>
      </c>
      <c r="K47" s="2" t="s">
        <v>25</v>
      </c>
      <c r="L47" s="4">
        <v>11303.61</v>
      </c>
      <c r="M47" s="2"/>
      <c r="N47" t="s">
        <v>267</v>
      </c>
      <c r="O47" t="s">
        <v>276</v>
      </c>
    </row>
    <row r="48" spans="1:15" ht="105.6" x14ac:dyDescent="0.3">
      <c r="A48" s="2" t="s">
        <v>159</v>
      </c>
      <c r="B48" s="2" t="str">
        <f>HYPERLINK("https://www.oursportscentral.com/services/releases/ignite-fall-to-rise-in-front-of-sellout-crowd/n-6213134")</f>
        <v>https://www.oursportscentral.com/services/releases/ignite-fall-to-rise-in-front-of-sellout-crowd/n-6213134</v>
      </c>
      <c r="C48" s="2"/>
      <c r="D48" s="2" t="s">
        <v>24</v>
      </c>
      <c r="E48" s="5">
        <v>45759.982129629629</v>
      </c>
      <c r="F48" s="2" t="s">
        <v>160</v>
      </c>
      <c r="G48" s="2">
        <v>40402</v>
      </c>
      <c r="H48" s="2">
        <v>0</v>
      </c>
      <c r="I48" s="2">
        <v>0</v>
      </c>
      <c r="J48" s="2">
        <v>0</v>
      </c>
      <c r="K48" s="2" t="s">
        <v>33</v>
      </c>
      <c r="L48" s="4">
        <v>373.72</v>
      </c>
      <c r="M48" s="2"/>
      <c r="N48" t="s">
        <v>266</v>
      </c>
      <c r="O48" t="s">
        <v>266</v>
      </c>
    </row>
    <row r="49" spans="1:15" ht="105.6" x14ac:dyDescent="0.3">
      <c r="A49" s="2" t="s">
        <v>161</v>
      </c>
      <c r="B49" s="2" t="str">
        <f>HYPERLINK("https://www.oursportscentral.com/services/releases/rise-tie-pvf-block-record-in-resilient-five-set-road-win-over-indy/n-6213082")</f>
        <v>https://www.oursportscentral.com/services/releases/rise-tie-pvf-block-record-in-resilient-five-set-road-win-over-indy/n-6213082</v>
      </c>
      <c r="C49" s="2"/>
      <c r="D49" s="2" t="s">
        <v>24</v>
      </c>
      <c r="E49" s="5">
        <v>45759.954004629632</v>
      </c>
      <c r="F49" s="2" t="s">
        <v>162</v>
      </c>
      <c r="G49" s="2">
        <v>40402</v>
      </c>
      <c r="H49" s="2">
        <v>0</v>
      </c>
      <c r="I49" s="2">
        <v>0</v>
      </c>
      <c r="J49" s="2">
        <v>0</v>
      </c>
      <c r="K49" s="2" t="s">
        <v>33</v>
      </c>
      <c r="L49" s="4">
        <v>373.72</v>
      </c>
      <c r="M49" s="2"/>
      <c r="N49" t="s">
        <v>266</v>
      </c>
      <c r="O49" t="s">
        <v>266</v>
      </c>
    </row>
    <row r="50" spans="1:15" ht="79.2" x14ac:dyDescent="0.3">
      <c r="A50" s="2" t="s">
        <v>163</v>
      </c>
      <c r="B50" s="2" t="str">
        <f>HYPERLINK("https://www.wthr.com/article/sports/local-sports/fan-base-grows-as-indy-ignite-continue-inaugural-season-pro-volleyball-federation-pvf/531-9cbb8063-898c-45e5-8e97-aed5a9a73fc3")</f>
        <v>https://www.wthr.com/article/sports/local-sports/fan-base-grows-as-indy-ignite-continue-inaugural-season-pro-volleyball-federation-pvf/531-9cbb8063-898c-45e5-8e97-aed5a9a73fc3</v>
      </c>
      <c r="C50" s="2"/>
      <c r="D50" s="2" t="s">
        <v>44</v>
      </c>
      <c r="E50" s="5">
        <v>45759.470347222217</v>
      </c>
      <c r="F50" s="2" t="s">
        <v>164</v>
      </c>
      <c r="G50" s="2">
        <v>1222012</v>
      </c>
      <c r="H50" s="2">
        <v>0</v>
      </c>
      <c r="I50" s="2">
        <v>0</v>
      </c>
      <c r="J50" s="2">
        <v>11</v>
      </c>
      <c r="K50" s="2" t="s">
        <v>25</v>
      </c>
      <c r="L50" s="4">
        <v>11303.61</v>
      </c>
      <c r="M50" s="2"/>
      <c r="N50" t="s">
        <v>267</v>
      </c>
      <c r="O50" t="s">
        <v>276</v>
      </c>
    </row>
    <row r="51" spans="1:15" ht="92.4" x14ac:dyDescent="0.3">
      <c r="A51" s="2" t="s">
        <v>165</v>
      </c>
      <c r="B51" s="2" t="str">
        <f>HYPERLINK("https://www.oursportscentral.com/services/releases/tickets-on-sale-for-2025-pvf-championship/n-6212731")</f>
        <v>https://www.oursportscentral.com/services/releases/tickets-on-sale-for-2025-pvf-championship/n-6212731</v>
      </c>
      <c r="C51" s="2"/>
      <c r="D51" s="2" t="s">
        <v>24</v>
      </c>
      <c r="E51" s="5">
        <v>45759.41741898148</v>
      </c>
      <c r="F51" s="2" t="s">
        <v>166</v>
      </c>
      <c r="G51" s="2">
        <v>40402</v>
      </c>
      <c r="H51" s="2">
        <v>0</v>
      </c>
      <c r="I51" s="2">
        <v>0</v>
      </c>
      <c r="J51" s="2">
        <v>0</v>
      </c>
      <c r="K51" s="2" t="s">
        <v>25</v>
      </c>
      <c r="L51" s="4">
        <v>373.72</v>
      </c>
      <c r="M51" s="2"/>
      <c r="N51" t="s">
        <v>266</v>
      </c>
      <c r="O51" t="s">
        <v>266</v>
      </c>
    </row>
    <row r="52" spans="1:15" ht="66" x14ac:dyDescent="0.3">
      <c r="A52" s="2" t="s">
        <v>167</v>
      </c>
      <c r="B52" s="2" t="str">
        <f>HYPERLINK("https://www.wrtv.com/marketplace/spotlight/dont-miss-out-fan-fest-with-the-indy-ignite-this-saturday")</f>
        <v>https://www.wrtv.com/marketplace/spotlight/dont-miss-out-fan-fest-with-the-indy-ignite-this-saturday</v>
      </c>
      <c r="C52" s="2"/>
      <c r="D52" s="2" t="s">
        <v>105</v>
      </c>
      <c r="E52" s="5">
        <v>45758.900023148148</v>
      </c>
      <c r="F52" s="2" t="s">
        <v>168</v>
      </c>
      <c r="G52" s="2">
        <v>290626</v>
      </c>
      <c r="H52" s="2">
        <v>0</v>
      </c>
      <c r="I52" s="2">
        <v>0</v>
      </c>
      <c r="J52" s="2">
        <v>0</v>
      </c>
      <c r="K52" s="2" t="s">
        <v>25</v>
      </c>
      <c r="L52" s="4">
        <v>2688.29</v>
      </c>
      <c r="M52" s="2"/>
      <c r="N52" t="s">
        <v>267</v>
      </c>
      <c r="O52" t="s">
        <v>276</v>
      </c>
    </row>
    <row r="53" spans="1:15" ht="145.19999999999999" x14ac:dyDescent="0.3">
      <c r="A53" s="2" t="s">
        <v>169</v>
      </c>
      <c r="B53" s="2" t="str">
        <f>HYPERLINK("https://www.oursportscentral.com/services/releases/bluey-day-ahead-as-rise-face-indy-ignite-on-april-19/n-6212215")</f>
        <v>https://www.oursportscentral.com/services/releases/bluey-day-ahead-as-rise-face-indy-ignite-on-april-19/n-6212215</v>
      </c>
      <c r="C53" s="2"/>
      <c r="D53" s="2" t="s">
        <v>24</v>
      </c>
      <c r="E53" s="5">
        <v>45758.599479166667</v>
      </c>
      <c r="F53" s="2" t="s">
        <v>170</v>
      </c>
      <c r="G53" s="2">
        <v>40402</v>
      </c>
      <c r="H53" s="2">
        <v>0</v>
      </c>
      <c r="I53" s="2">
        <v>0</v>
      </c>
      <c r="J53" s="2">
        <v>0</v>
      </c>
      <c r="K53" s="2" t="s">
        <v>25</v>
      </c>
      <c r="L53" s="4">
        <v>373.72</v>
      </c>
      <c r="M53" s="2"/>
      <c r="N53" t="s">
        <v>266</v>
      </c>
      <c r="O53" t="s">
        <v>266</v>
      </c>
    </row>
    <row r="54" spans="1:15" ht="79.2" x14ac:dyDescent="0.3">
      <c r="A54" s="2" t="s">
        <v>171</v>
      </c>
      <c r="B54" s="2" t="str">
        <f>HYPERLINK("https://www.axios.com/local/indianapolis/2025/04/11/indianapolis-weekend-events-mokao-fest-peter-frampton-pacers-and-more")</f>
        <v>https://www.axios.com/local/indianapolis/2025/04/11/indianapolis-weekend-events-mokao-fest-peter-frampton-pacers-and-more</v>
      </c>
      <c r="C54" s="2" t="s">
        <v>78</v>
      </c>
      <c r="D54" s="2" t="s">
        <v>79</v>
      </c>
      <c r="E54" s="5">
        <v>45758.265601851846</v>
      </c>
      <c r="F54" s="2" t="s">
        <v>172</v>
      </c>
      <c r="G54" s="2">
        <v>17894268</v>
      </c>
      <c r="H54" s="2">
        <v>0</v>
      </c>
      <c r="I54" s="2">
        <v>0</v>
      </c>
      <c r="J54" s="2">
        <v>0</v>
      </c>
      <c r="K54" s="2" t="s">
        <v>25</v>
      </c>
      <c r="L54" s="4">
        <v>165521.98000000001</v>
      </c>
      <c r="M54" s="2"/>
      <c r="N54" t="s">
        <v>267</v>
      </c>
      <c r="O54" t="s">
        <v>276</v>
      </c>
    </row>
    <row r="55" spans="1:15" ht="66" x14ac:dyDescent="0.3">
      <c r="A55" s="2" t="s">
        <v>173</v>
      </c>
      <c r="B55" s="2" t="str">
        <f>HYPERLINK("https://www.on3.com/teams/purdue-boilermakers/news/purdue-sports-update-april-10/")</f>
        <v>https://www.on3.com/teams/purdue-boilermakers/news/purdue-sports-update-april-10/</v>
      </c>
      <c r="C55" s="2" t="s">
        <v>174</v>
      </c>
      <c r="D55" s="2" t="s">
        <v>175</v>
      </c>
      <c r="E55" s="5">
        <v>45757.575729166667</v>
      </c>
      <c r="F55" s="2" t="s">
        <v>176</v>
      </c>
      <c r="G55" s="2">
        <v>4457248</v>
      </c>
      <c r="H55" s="2">
        <v>0</v>
      </c>
      <c r="I55" s="2">
        <v>0</v>
      </c>
      <c r="J55" s="2">
        <v>0</v>
      </c>
      <c r="K55" s="2" t="s">
        <v>33</v>
      </c>
      <c r="L55" s="4">
        <v>41229.54</v>
      </c>
      <c r="M55" s="2"/>
      <c r="N55" t="s">
        <v>266</v>
      </c>
      <c r="O55" t="s">
        <v>266</v>
      </c>
    </row>
    <row r="56" spans="1:15" ht="105.6" x14ac:dyDescent="0.3">
      <c r="A56" s="2" t="s">
        <v>177</v>
      </c>
      <c r="B56" s="2" t="str">
        <f>HYPERLINK("https://www.oursportscentral.com/services/releases/full-day-of-volleyball-action-available-on-ignite-firestorm-appreciation-night/n-6211609")</f>
        <v>https://www.oursportscentral.com/services/releases/full-day-of-volleyball-action-available-on-ignite-firestorm-appreciation-night/n-6211609</v>
      </c>
      <c r="C56" s="2"/>
      <c r="D56" s="2" t="s">
        <v>24</v>
      </c>
      <c r="E56" s="5">
        <v>45757.422337962962</v>
      </c>
      <c r="F56" s="2" t="s">
        <v>178</v>
      </c>
      <c r="G56" s="2">
        <v>40402</v>
      </c>
      <c r="H56" s="2">
        <v>0</v>
      </c>
      <c r="I56" s="2">
        <v>0</v>
      </c>
      <c r="J56" s="2">
        <v>0</v>
      </c>
      <c r="K56" s="2" t="s">
        <v>25</v>
      </c>
      <c r="L56" s="4">
        <v>373.72</v>
      </c>
      <c r="M56" s="2"/>
      <c r="N56" t="s">
        <v>266</v>
      </c>
      <c r="O56" t="s">
        <v>266</v>
      </c>
    </row>
    <row r="57" spans="1:15" ht="145.19999999999999" x14ac:dyDescent="0.3">
      <c r="A57" s="2" t="s">
        <v>179</v>
      </c>
      <c r="B57" s="2" t="str">
        <f>HYPERLINK("https://www.isustudentmedia.com/indianastatesman/sports/article_e793dfa1-bd8b-40f4-b34e-b08272362038.html")</f>
        <v>https://www.isustudentmedia.com/indianastatesman/sports/article_e793dfa1-bd8b-40f4-b34e-b08272362038.html</v>
      </c>
      <c r="C57" s="2"/>
      <c r="D57" s="2" t="s">
        <v>94</v>
      </c>
      <c r="E57" s="5">
        <v>45756.910844907397</v>
      </c>
      <c r="F57" s="2" t="s">
        <v>180</v>
      </c>
      <c r="G57" s="2">
        <v>2984</v>
      </c>
      <c r="H57" s="2">
        <v>0</v>
      </c>
      <c r="I57" s="2">
        <v>0</v>
      </c>
      <c r="J57" s="2">
        <v>0</v>
      </c>
      <c r="K57" s="2" t="s">
        <v>25</v>
      </c>
      <c r="L57" s="4">
        <v>27.6</v>
      </c>
      <c r="M57" s="2"/>
      <c r="N57" t="s">
        <v>267</v>
      </c>
      <c r="O57" t="s">
        <v>276</v>
      </c>
    </row>
    <row r="58" spans="1:15" ht="66" x14ac:dyDescent="0.3">
      <c r="A58" s="2" t="s">
        <v>181</v>
      </c>
      <c r="B58" s="2" t="str">
        <f>HYPERLINK("https://www.wlfi.com/news/top-stories/purdue-volleyball-to-play-in-fishers-event-center-this-weekend/article_1d652a76-508c-4db4-af2d-b66220c2bdac.html")</f>
        <v>https://www.wlfi.com/news/top-stories/purdue-volleyball-to-play-in-fishers-event-center-this-weekend/article_1d652a76-508c-4db4-af2d-b66220c2bdac.html</v>
      </c>
      <c r="C58" s="2"/>
      <c r="D58" s="2" t="s">
        <v>182</v>
      </c>
      <c r="E58" s="5">
        <v>45756.834016203713</v>
      </c>
      <c r="F58" s="2" t="s">
        <v>183</v>
      </c>
      <c r="G58" s="2">
        <v>137952</v>
      </c>
      <c r="H58" s="2">
        <v>0</v>
      </c>
      <c r="I58" s="2">
        <v>0</v>
      </c>
      <c r="J58" s="2">
        <v>28</v>
      </c>
      <c r="K58" s="2" t="s">
        <v>25</v>
      </c>
      <c r="L58" s="4">
        <v>1276.06</v>
      </c>
      <c r="M58" s="2"/>
      <c r="N58" t="s">
        <v>269</v>
      </c>
      <c r="O58" t="s">
        <v>276</v>
      </c>
    </row>
    <row r="59" spans="1:15" ht="118.8" x14ac:dyDescent="0.3">
      <c r="A59" s="2" t="s">
        <v>184</v>
      </c>
      <c r="B59" s="2" t="str">
        <f>HYPERLINK("https://www.wthr.com/article/sports/local-sports/indy-ignite-faces-grand-rapids-rise-saturday-key-game-heading-to-playoffs-pro-volleyball-federation-fishers-tickets-schedule-fan-appreciation-purdue/531-51fa8e82-aa7b-45b7-b6fe-b634039725be")</f>
        <v>https://www.wthr.com/article/sports/local-sports/indy-ignite-faces-grand-rapids-rise-saturday-key-game-heading-to-playoffs-pro-volleyball-federation-fishers-tickets-schedule-fan-appreciation-purdue/531-51fa8e82-aa7b-45b7-b6fe-b634039725be</v>
      </c>
      <c r="C59" s="2"/>
      <c r="D59" s="2" t="s">
        <v>44</v>
      </c>
      <c r="E59" s="5">
        <v>45756.294016203698</v>
      </c>
      <c r="F59" s="2" t="s">
        <v>185</v>
      </c>
      <c r="G59" s="2">
        <v>1222012</v>
      </c>
      <c r="H59" s="2">
        <v>0</v>
      </c>
      <c r="I59" s="2">
        <v>0</v>
      </c>
      <c r="J59" s="2">
        <v>23</v>
      </c>
      <c r="K59" s="2" t="s">
        <v>25</v>
      </c>
      <c r="L59" s="4">
        <v>11303.61</v>
      </c>
      <c r="M59" s="2"/>
      <c r="N59" t="s">
        <v>267</v>
      </c>
      <c r="O59" t="s">
        <v>276</v>
      </c>
    </row>
    <row r="60" spans="1:15" ht="79.2" x14ac:dyDescent="0.3">
      <c r="A60" s="2" t="s">
        <v>186</v>
      </c>
      <c r="B60" s="2" t="str">
        <f>HYPERLINK("https://www.tmnews.com/story/news/education/2025/04/09/emily-ehman-bloomington-south-espn-fox-cbs-sports-big-ten-network-commentator-analyst-volleyball/82792199007/")</f>
        <v>https://www.tmnews.com/story/news/education/2025/04/09/emily-ehman-bloomington-south-espn-fox-cbs-sports-big-ten-network-commentator-analyst-volleyball/82792199007/</v>
      </c>
      <c r="C60" s="2" t="s">
        <v>187</v>
      </c>
      <c r="D60" s="2" t="s">
        <v>188</v>
      </c>
      <c r="E60" s="5">
        <v>45756.198159722233</v>
      </c>
      <c r="F60" s="2" t="s">
        <v>189</v>
      </c>
      <c r="G60" s="2">
        <v>31059</v>
      </c>
      <c r="H60" s="2">
        <v>0</v>
      </c>
      <c r="I60" s="2">
        <v>0</v>
      </c>
      <c r="J60" s="2">
        <v>0</v>
      </c>
      <c r="K60" s="2" t="s">
        <v>33</v>
      </c>
      <c r="L60" s="4">
        <v>287.3</v>
      </c>
      <c r="M60" s="2"/>
      <c r="N60" t="s">
        <v>271</v>
      </c>
      <c r="O60" t="s">
        <v>276</v>
      </c>
    </row>
    <row r="61" spans="1:15" ht="52.8" x14ac:dyDescent="0.3">
      <c r="A61" s="2" t="s">
        <v>190</v>
      </c>
      <c r="B61" s="2" t="str">
        <f>HYPERLINK("https://purduesports.com/news/2025/4/9/volleyball-match-vs-vanderbilt-to-precede-pro-match-in-fishers")</f>
        <v>https://purduesports.com/news/2025/4/9/volleyball-match-vs-vanderbilt-to-precede-pro-match-in-fishers</v>
      </c>
      <c r="C61" s="2" t="s">
        <v>191</v>
      </c>
      <c r="D61" s="2" t="s">
        <v>92</v>
      </c>
      <c r="E61" s="5">
        <v>45755.833333333343</v>
      </c>
      <c r="F61" s="2" t="s">
        <v>192</v>
      </c>
      <c r="G61" s="2">
        <v>269900</v>
      </c>
      <c r="H61" s="2">
        <v>0</v>
      </c>
      <c r="I61" s="2">
        <v>0</v>
      </c>
      <c r="J61" s="2">
        <v>0</v>
      </c>
      <c r="K61" s="2" t="s">
        <v>25</v>
      </c>
      <c r="L61" s="4">
        <v>2496.58</v>
      </c>
      <c r="M61" s="2"/>
      <c r="N61" t="s">
        <v>269</v>
      </c>
      <c r="O61" t="s">
        <v>276</v>
      </c>
    </row>
    <row r="62" spans="1:15" ht="79.2" x14ac:dyDescent="0.3">
      <c r="A62" s="2" t="s">
        <v>193</v>
      </c>
      <c r="B62" s="2" t="str">
        <f>HYPERLINK("https://www.oursportscentral.com/services/releases/rise-gear-up-for-crucial-road-matches-against-valkyries-and-ignite/n-6210873")</f>
        <v>https://www.oursportscentral.com/services/releases/rise-gear-up-for-crucial-road-matches-against-valkyries-and-ignite/n-6210873</v>
      </c>
      <c r="C62" s="2"/>
      <c r="D62" s="2" t="s">
        <v>24</v>
      </c>
      <c r="E62" s="5">
        <v>45755.644444444442</v>
      </c>
      <c r="F62" s="2" t="s">
        <v>194</v>
      </c>
      <c r="G62" s="2">
        <v>40402</v>
      </c>
      <c r="H62" s="2">
        <v>0</v>
      </c>
      <c r="I62" s="2">
        <v>0</v>
      </c>
      <c r="J62" s="2">
        <v>0</v>
      </c>
      <c r="K62" s="2" t="s">
        <v>33</v>
      </c>
      <c r="L62" s="4">
        <v>373.72</v>
      </c>
      <c r="M62" s="2"/>
      <c r="N62" t="s">
        <v>266</v>
      </c>
      <c r="O62" t="s">
        <v>266</v>
      </c>
    </row>
    <row r="63" spans="1:15" ht="92.4" x14ac:dyDescent="0.3">
      <c r="A63" s="2" t="s">
        <v>35</v>
      </c>
      <c r="B63" s="2" t="str">
        <f>HYPERLINK("https://www.oursportscentral.com/services/releases/last-week-around-the-leagues/n-6210604")</f>
        <v>https://www.oursportscentral.com/services/releases/last-week-around-the-leagues/n-6210604</v>
      </c>
      <c r="C63" s="2" t="s">
        <v>36</v>
      </c>
      <c r="D63" s="2" t="s">
        <v>24</v>
      </c>
      <c r="E63" s="5">
        <v>45755.00167824074</v>
      </c>
      <c r="F63" s="2" t="s">
        <v>195</v>
      </c>
      <c r="G63" s="2">
        <v>40402</v>
      </c>
      <c r="H63" s="2">
        <v>0</v>
      </c>
      <c r="I63" s="2">
        <v>0</v>
      </c>
      <c r="J63" s="2">
        <v>32</v>
      </c>
      <c r="K63" s="2" t="s">
        <v>25</v>
      </c>
      <c r="L63" s="4">
        <v>373.72</v>
      </c>
      <c r="M63" s="2"/>
      <c r="N63" t="s">
        <v>266</v>
      </c>
      <c r="O63" t="s">
        <v>266</v>
      </c>
    </row>
    <row r="64" spans="1:15" ht="105.6" x14ac:dyDescent="0.3">
      <c r="A64" s="2" t="s">
        <v>196</v>
      </c>
      <c r="B64" s="2" t="str">
        <f>HYPERLINK("https://www.dispatch.com/story/sports/pro/2025/04/06/volleyball-columbus-fury-top-indy-ignite-in-4-sets/82962933007/")</f>
        <v>https://www.dispatch.com/story/sports/pro/2025/04/06/volleyball-columbus-fury-top-indy-ignite-in-4-sets/82962933007/</v>
      </c>
      <c r="C64" s="2"/>
      <c r="D64" s="2" t="s">
        <v>197</v>
      </c>
      <c r="E64" s="5">
        <v>45753.422233796293</v>
      </c>
      <c r="F64" s="2" t="s">
        <v>198</v>
      </c>
      <c r="G64" s="2">
        <v>3102752</v>
      </c>
      <c r="H64" s="2">
        <v>0</v>
      </c>
      <c r="I64" s="2">
        <v>0</v>
      </c>
      <c r="J64" s="2">
        <v>0</v>
      </c>
      <c r="K64" s="2" t="s">
        <v>33</v>
      </c>
      <c r="L64" s="4">
        <v>28700.46</v>
      </c>
      <c r="M64" s="2"/>
      <c r="N64" t="s">
        <v>270</v>
      </c>
      <c r="O64" t="s">
        <v>266</v>
      </c>
    </row>
    <row r="65" spans="1:15" ht="145.19999999999999" x14ac:dyDescent="0.3">
      <c r="A65" s="2" t="s">
        <v>199</v>
      </c>
      <c r="B65" s="2" t="str">
        <f>HYPERLINK("https://www.keepingupincarmel.com/post/the-in-list-2024-4-7-4-13")</f>
        <v>https://www.keepingupincarmel.com/post/the-in-list-2024-4-7-4-13</v>
      </c>
      <c r="C65" s="2" t="s">
        <v>57</v>
      </c>
      <c r="D65" s="2" t="s">
        <v>58</v>
      </c>
      <c r="E65" s="5">
        <v>45753.166851851849</v>
      </c>
      <c r="F65" s="2" t="s">
        <v>200</v>
      </c>
      <c r="G65" s="2">
        <v>686</v>
      </c>
      <c r="H65" s="2">
        <v>0</v>
      </c>
      <c r="I65" s="2">
        <v>0</v>
      </c>
      <c r="J65" s="2">
        <v>0</v>
      </c>
      <c r="K65" s="2" t="s">
        <v>33</v>
      </c>
      <c r="L65" s="4">
        <v>6.35</v>
      </c>
      <c r="M65" s="2"/>
      <c r="N65" t="s">
        <v>268</v>
      </c>
      <c r="O65" t="s">
        <v>276</v>
      </c>
    </row>
    <row r="66" spans="1:15" ht="158.4" x14ac:dyDescent="0.3">
      <c r="A66" s="2" t="s">
        <v>201</v>
      </c>
      <c r="B66" s="2" t="str">
        <f>HYPERLINK("https://www.oursportscentral.com/services/releases/fury-register-franchise-best-16-blocks-in-ignite-win/n-6209778")</f>
        <v>https://www.oursportscentral.com/services/releases/fury-register-franchise-best-16-blocks-in-ignite-win/n-6209778</v>
      </c>
      <c r="C66" s="2"/>
      <c r="D66" s="2" t="s">
        <v>24</v>
      </c>
      <c r="E66" s="5">
        <v>45752.853472222218</v>
      </c>
      <c r="F66" s="2" t="s">
        <v>202</v>
      </c>
      <c r="G66" s="2">
        <v>40402</v>
      </c>
      <c r="H66" s="2">
        <v>0</v>
      </c>
      <c r="I66" s="2">
        <v>0</v>
      </c>
      <c r="J66" s="2">
        <v>0</v>
      </c>
      <c r="K66" s="2" t="s">
        <v>33</v>
      </c>
      <c r="L66" s="4">
        <v>373.72</v>
      </c>
      <c r="M66" s="2"/>
      <c r="N66" t="s">
        <v>266</v>
      </c>
      <c r="O66" t="s">
        <v>266</v>
      </c>
    </row>
    <row r="67" spans="1:15" ht="105.6" x14ac:dyDescent="0.3">
      <c r="A67" s="2" t="s">
        <v>203</v>
      </c>
      <c r="B67" s="2" t="str">
        <f>HYPERLINK("https://www.oursportscentral.com/services/releases/ignite-run-into-buzzsaw-at-columbus/n-6209743")</f>
        <v>https://www.oursportscentral.com/services/releases/ignite-run-into-buzzsaw-at-columbus/n-6209743</v>
      </c>
      <c r="C67" s="2"/>
      <c r="D67" s="2" t="s">
        <v>24</v>
      </c>
      <c r="E67" s="5">
        <v>45752.847916666673</v>
      </c>
      <c r="F67" s="2" t="s">
        <v>204</v>
      </c>
      <c r="G67" s="2">
        <v>40402</v>
      </c>
      <c r="H67" s="2">
        <v>0</v>
      </c>
      <c r="I67" s="2">
        <v>0</v>
      </c>
      <c r="J67" s="2">
        <v>0</v>
      </c>
      <c r="K67" s="2" t="s">
        <v>33</v>
      </c>
      <c r="L67" s="4">
        <v>373.72</v>
      </c>
      <c r="M67" s="2"/>
      <c r="N67" t="s">
        <v>266</v>
      </c>
      <c r="O67" t="s">
        <v>266</v>
      </c>
    </row>
    <row r="68" spans="1:15" ht="105.6" x14ac:dyDescent="0.3">
      <c r="A68" s="2" t="s">
        <v>205</v>
      </c>
      <c r="B68" s="2" t="str">
        <f>HYPERLINK("https://www.oursportscentral.com/services/releases/fury-return-home-to-face-ignite-for-teacher-appreciation-night/n-6208663")</f>
        <v>https://www.oursportscentral.com/services/releases/fury-return-home-to-face-ignite-for-teacher-appreciation-night/n-6208663</v>
      </c>
      <c r="C68" s="2"/>
      <c r="D68" s="2" t="s">
        <v>24</v>
      </c>
      <c r="E68" s="5">
        <v>45751.249305555553</v>
      </c>
      <c r="F68" s="2" t="s">
        <v>206</v>
      </c>
      <c r="G68" s="2">
        <v>40402</v>
      </c>
      <c r="H68" s="2">
        <v>0</v>
      </c>
      <c r="I68" s="2">
        <v>0</v>
      </c>
      <c r="J68" s="2">
        <v>0</v>
      </c>
      <c r="K68" s="2" t="s">
        <v>33</v>
      </c>
      <c r="L68" s="4">
        <v>373.72</v>
      </c>
      <c r="M68" s="2"/>
      <c r="N68" t="s">
        <v>266</v>
      </c>
      <c r="O68" t="s">
        <v>266</v>
      </c>
    </row>
    <row r="69" spans="1:15" ht="39.6" x14ac:dyDescent="0.3">
      <c r="A69" s="2" t="s">
        <v>35</v>
      </c>
      <c r="B69" s="2" t="str">
        <f>HYPERLINK("https://www.oursportscentral.com/services/releases/last-week-around-the-leagues/n-6207216")</f>
        <v>https://www.oursportscentral.com/services/releases/last-week-around-the-leagues/n-6207216</v>
      </c>
      <c r="C69" s="2" t="s">
        <v>36</v>
      </c>
      <c r="D69" s="2" t="s">
        <v>24</v>
      </c>
      <c r="E69" s="5">
        <v>45748.001562500001</v>
      </c>
      <c r="F69" s="2" t="s">
        <v>207</v>
      </c>
      <c r="G69" s="2">
        <v>40402</v>
      </c>
      <c r="H69" s="2">
        <v>0</v>
      </c>
      <c r="I69" s="2">
        <v>0</v>
      </c>
      <c r="J69" s="2">
        <v>5</v>
      </c>
      <c r="K69" s="2" t="s">
        <v>25</v>
      </c>
      <c r="L69" s="4">
        <v>373.72</v>
      </c>
      <c r="M69" s="2"/>
      <c r="N69" t="s">
        <v>266</v>
      </c>
      <c r="O69" t="s">
        <v>266</v>
      </c>
    </row>
    <row r="70" spans="1:15" x14ac:dyDescent="0.3">
      <c r="L70"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208</v>
      </c>
      <c r="B1" s="1" t="s">
        <v>209</v>
      </c>
      <c r="C1" s="1" t="s">
        <v>210</v>
      </c>
      <c r="D1" s="1" t="s">
        <v>211</v>
      </c>
      <c r="E1" s="1" t="s">
        <v>212</v>
      </c>
      <c r="F1" s="1" t="s">
        <v>213</v>
      </c>
      <c r="G1" s="1" t="s">
        <v>214</v>
      </c>
      <c r="H1" s="1" t="s">
        <v>215</v>
      </c>
      <c r="I1" s="1" t="s">
        <v>216</v>
      </c>
      <c r="J1" s="1" t="s">
        <v>217</v>
      </c>
      <c r="K1" s="1" t="s">
        <v>218</v>
      </c>
      <c r="L1" s="1" t="s">
        <v>219</v>
      </c>
      <c r="M1" s="1" t="s">
        <v>220</v>
      </c>
      <c r="N1" s="1" t="s">
        <v>221</v>
      </c>
      <c r="O1" s="1" t="s">
        <v>222</v>
      </c>
    </row>
    <row r="2" spans="1:15" ht="79.2" x14ac:dyDescent="0.3">
      <c r="A2" s="2" t="s">
        <v>98</v>
      </c>
      <c r="B2" s="2" t="s">
        <v>223</v>
      </c>
      <c r="C2" s="2" t="s">
        <v>224</v>
      </c>
      <c r="D2" s="2" t="s">
        <v>225</v>
      </c>
      <c r="E2" s="2" t="str">
        <f>HYPERLINK("http://twitter.com/MonroeBlade")</f>
        <v>http://twitter.com/MonroeBlade</v>
      </c>
      <c r="F2" s="2" t="str">
        <f>HYPERLINK("https://muckrack.com/mark-monroe")</f>
        <v>https://muckrack.com/mark-monroe</v>
      </c>
      <c r="G2" s="2">
        <v>5006</v>
      </c>
      <c r="H2" s="2" t="s">
        <v>226</v>
      </c>
      <c r="I2" s="2" t="s">
        <v>227</v>
      </c>
      <c r="J2" s="2" t="s">
        <v>228</v>
      </c>
      <c r="K2" s="2" t="s">
        <v>99</v>
      </c>
      <c r="L2" s="2" t="s">
        <v>229</v>
      </c>
      <c r="M2" s="5">
        <v>45769.792141203703</v>
      </c>
      <c r="N2" s="2" t="str">
        <f>HYPERLINK("http://twitter.com/MonroeBlade/status/1914816656263573879")</f>
        <v>http://twitter.com/MonroeBlade/status/1914816656263573879</v>
      </c>
      <c r="O2" s="2" t="str">
        <f>HYPERLINK("https://www.toledoblade.com/sports/walleye/2025/04/22/the-other-barn-indy-s-fishers-event-center/stories/20250422106")</f>
        <v>https://www.toledoblade.com/sports/walleye/2025/04/22/the-other-barn-indy-s-fishers-event-center/stories/20250422106</v>
      </c>
    </row>
    <row r="3" spans="1:15" ht="66" x14ac:dyDescent="0.3">
      <c r="A3" s="2" t="s">
        <v>98</v>
      </c>
      <c r="B3" s="2" t="s">
        <v>223</v>
      </c>
      <c r="C3" s="2" t="s">
        <v>224</v>
      </c>
      <c r="D3" s="2" t="s">
        <v>225</v>
      </c>
      <c r="E3" s="2" t="str">
        <f>HYPERLINK("http://twitter.com/MonroeBlade")</f>
        <v>http://twitter.com/MonroeBlade</v>
      </c>
      <c r="F3" s="2" t="str">
        <f>HYPERLINK("https://muckrack.com/mark-monroe")</f>
        <v>https://muckrack.com/mark-monroe</v>
      </c>
      <c r="G3" s="2">
        <v>5006</v>
      </c>
      <c r="H3" s="2" t="s">
        <v>226</v>
      </c>
      <c r="I3" s="2" t="s">
        <v>227</v>
      </c>
      <c r="J3" s="2" t="s">
        <v>228</v>
      </c>
      <c r="K3" s="2" t="s">
        <v>99</v>
      </c>
      <c r="L3" s="2" t="s">
        <v>230</v>
      </c>
      <c r="M3" s="5">
        <v>45769.963703703703</v>
      </c>
      <c r="N3" s="2" t="str">
        <f>HYPERLINK("http://twitter.com/MonroeBlade/status/1914878831338442767")</f>
        <v>http://twitter.com/MonroeBlade/status/1914878831338442767</v>
      </c>
      <c r="O3" s="2" t="str">
        <f>HYPERLINK("https://www.toledoblade.com/sports/walleye/2025/04/22/the-other-barn-indy-s-fishers-event-center/stories/20250422106")</f>
        <v>https://www.toledoblade.com/sports/walleye/2025/04/22/the-other-barn-indy-s-fishers-event-center/stories/20250422106</v>
      </c>
    </row>
    <row r="4" spans="1:15" ht="39.6" x14ac:dyDescent="0.3">
      <c r="A4" s="2" t="s">
        <v>231</v>
      </c>
      <c r="B4" s="2" t="s">
        <v>232</v>
      </c>
      <c r="C4" s="2"/>
      <c r="D4" s="2" t="s">
        <v>233</v>
      </c>
      <c r="E4" s="2" t="str">
        <f>HYPERLINK("http://twitter.com/fangsbites")</f>
        <v>http://twitter.com/fangsbites</v>
      </c>
      <c r="F4" s="2" t="str">
        <f>HYPERLINK("https://muckrack.com/ken-fang")</f>
        <v>https://muckrack.com/ken-fang</v>
      </c>
      <c r="G4" s="2">
        <v>8105</v>
      </c>
      <c r="H4" s="2" t="s">
        <v>234</v>
      </c>
      <c r="I4" s="2" t="s">
        <v>235</v>
      </c>
      <c r="J4" s="2" t="s">
        <v>236</v>
      </c>
      <c r="K4" s="2" t="s">
        <v>121</v>
      </c>
      <c r="L4" s="2" t="s">
        <v>237</v>
      </c>
      <c r="M4" s="5">
        <v>45766.5315625</v>
      </c>
      <c r="N4" s="2" t="str">
        <f>HYPERLINK("http://twitter.com/fangsbites/status/1913635065168343264")</f>
        <v>http://twitter.com/fangsbites/status/1913635065168343264</v>
      </c>
      <c r="O4" s="2" t="str">
        <f>HYPERLINK("https://awfulannouncing.com/viewing-picks/tv-and-streaming-viewing-picks-for-april-19-2025-part-ii-how-to-watch-wrestlemania.html")</f>
        <v>https://awfulannouncing.com/viewing-picks/tv-and-streaming-viewing-picks-for-april-19-2025-part-ii-how-to-watch-wrestlemania.html</v>
      </c>
    </row>
    <row r="5" spans="1:15" ht="79.2" x14ac:dyDescent="0.3">
      <c r="A5" s="2" t="s">
        <v>238</v>
      </c>
      <c r="B5" s="2" t="s">
        <v>239</v>
      </c>
      <c r="C5" s="2" t="s">
        <v>240</v>
      </c>
      <c r="D5" s="2" t="s">
        <v>241</v>
      </c>
      <c r="E5" s="2" t="str">
        <f>HYPERLINK("http://twitter.com/JoshSanTV")</f>
        <v>http://twitter.com/JoshSanTV</v>
      </c>
      <c r="F5" s="2" t="str">
        <f>HYPERLINK("https://muckrack.com/joshua-sanchez-3")</f>
        <v>https://muckrack.com/joshua-sanchez-3</v>
      </c>
      <c r="G5" s="2">
        <v>286</v>
      </c>
      <c r="H5" s="2" t="s">
        <v>242</v>
      </c>
      <c r="I5" s="2" t="s">
        <v>243</v>
      </c>
      <c r="J5" s="2" t="s">
        <v>244</v>
      </c>
      <c r="K5" s="2" t="s">
        <v>130</v>
      </c>
      <c r="L5" s="2" t="s">
        <v>245</v>
      </c>
      <c r="M5" s="5">
        <v>45765.781944444447</v>
      </c>
      <c r="N5" s="2" t="str">
        <f>HYPERLINK("http://twitter.com/JoshSanTV/status/1913363410621759715")</f>
        <v>http://twitter.com/JoshSanTV/status/1913363410621759715</v>
      </c>
      <c r="O5" s="2" t="str">
        <f>HYPERLINK("https://www.woodtv.com/news/news-8-digital-series/eats-easter-eggs-and-efficient-water-filtration-what-to-do-in-west-michigan-this-weekend/")</f>
        <v>https://www.woodtv.com/news/news-8-digital-series/eats-easter-eggs-and-efficient-water-filtration-what-to-do-in-west-michigan-this-weekend/</v>
      </c>
    </row>
    <row r="6" spans="1:15" ht="79.2" x14ac:dyDescent="0.3">
      <c r="A6" s="2" t="s">
        <v>238</v>
      </c>
      <c r="B6" s="2" t="s">
        <v>239</v>
      </c>
      <c r="C6" s="2" t="s">
        <v>240</v>
      </c>
      <c r="D6" s="2" t="s">
        <v>241</v>
      </c>
      <c r="E6" s="2" t="str">
        <f>HYPERLINK("http://twitter.com/JoshSanTV")</f>
        <v>http://twitter.com/JoshSanTV</v>
      </c>
      <c r="F6" s="2" t="str">
        <f>HYPERLINK("https://muckrack.com/joshua-sanchez-3")</f>
        <v>https://muckrack.com/joshua-sanchez-3</v>
      </c>
      <c r="G6" s="2">
        <v>286</v>
      </c>
      <c r="H6" s="2" t="s">
        <v>242</v>
      </c>
      <c r="I6" s="2" t="s">
        <v>243</v>
      </c>
      <c r="J6" s="2" t="s">
        <v>244</v>
      </c>
      <c r="K6" s="2" t="s">
        <v>130</v>
      </c>
      <c r="L6" s="2" t="s">
        <v>246</v>
      </c>
      <c r="M6" s="5">
        <v>45766.448923611111</v>
      </c>
      <c r="N6" s="2" t="str">
        <f>HYPERLINK("http://twitter.com/JoshSanTV/status/1913605116097171784")</f>
        <v>http://twitter.com/JoshSanTV/status/1913605116097171784</v>
      </c>
      <c r="O6" s="2" t="str">
        <f>HYPERLINK("https://www.woodtv.com/news/news-8-digital-series/eats-easter-eggs-and-efficient-water-filtration-what-to-do-in-west-michigan-this-weekend/")</f>
        <v>https://www.woodtv.com/news/news-8-digital-series/eats-easter-eggs-and-efficient-water-filtration-what-to-do-in-west-michigan-this-weekend/</v>
      </c>
    </row>
    <row r="7" spans="1:15" ht="52.8" x14ac:dyDescent="0.3">
      <c r="A7" s="2" t="s">
        <v>247</v>
      </c>
      <c r="B7" s="2" t="s">
        <v>248</v>
      </c>
      <c r="C7" s="2" t="s">
        <v>249</v>
      </c>
      <c r="D7" s="2" t="s">
        <v>250</v>
      </c>
      <c r="E7" s="2" t="str">
        <f>HYPERLINK("http://twitter.com/KevinLee23")</f>
        <v>http://twitter.com/KevinLee23</v>
      </c>
      <c r="F7" s="2" t="str">
        <f>HYPERLINK("https://muckrack.com/kevin-lee-50")</f>
        <v>https://muckrack.com/kevin-lee-50</v>
      </c>
      <c r="G7" s="2">
        <v>16412</v>
      </c>
      <c r="H7" s="2" t="s">
        <v>251</v>
      </c>
      <c r="I7" s="2" t="s">
        <v>252</v>
      </c>
      <c r="J7" s="2" t="s">
        <v>228</v>
      </c>
      <c r="K7" s="2" t="s">
        <v>253</v>
      </c>
      <c r="L7" s="2" t="s">
        <v>254</v>
      </c>
      <c r="M7" s="5">
        <v>45778.716273148151</v>
      </c>
      <c r="N7" s="2" t="str">
        <f>HYPERLINK("http://twitter.com/KevinLee23/status/1918050654624326008")</f>
        <v>http://twitter.com/KevinLee23/status/1918050654624326008</v>
      </c>
      <c r="O7" s="2" t="str">
        <f>HYPERLINK("https://lifeinindy.com/things-to-do/guide-to-the-month-of-may-in-indianapolis/")</f>
        <v>https://lifeinindy.com/things-to-do/guide-to-the-month-of-may-in-indianapolis/</v>
      </c>
    </row>
    <row r="8" spans="1:15" ht="52.8" x14ac:dyDescent="0.3">
      <c r="A8" s="2" t="s">
        <v>255</v>
      </c>
      <c r="B8" s="2" t="s">
        <v>256</v>
      </c>
      <c r="C8" s="2" t="s">
        <v>257</v>
      </c>
      <c r="D8" s="2" t="s">
        <v>258</v>
      </c>
      <c r="E8" s="2" t="str">
        <f>HYPERLINK("http://twitter.com/RonniHunter997")</f>
        <v>http://twitter.com/RonniHunter997</v>
      </c>
      <c r="F8" s="2" t="str">
        <f>HYPERLINK("https://muckrack.com/ronni-hunter")</f>
        <v>https://muckrack.com/ronni-hunter</v>
      </c>
      <c r="G8" s="2">
        <v>4025</v>
      </c>
      <c r="H8" s="2" t="s">
        <v>259</v>
      </c>
      <c r="I8" s="2" t="s">
        <v>260</v>
      </c>
      <c r="J8" s="2" t="s">
        <v>261</v>
      </c>
      <c r="K8" s="2" t="s">
        <v>262</v>
      </c>
      <c r="L8" s="2" t="s">
        <v>263</v>
      </c>
      <c r="M8" s="5">
        <v>45762.819641203707</v>
      </c>
      <c r="N8" s="2" t="str">
        <f>HYPERLINK("http://twitter.com/RonniHunter997/status/1912289908686794826")</f>
        <v>http://twitter.com/RonniHunter997/status/1912289908686794826</v>
      </c>
      <c r="O8" s="2" t="str">
        <f>HYPERLINK("https://provolleyball.com/news/2025/04/fury-finish-home-season-this-week")</f>
        <v>https://provolleyball.com/news/2025/04/fury-finish-home-season-this-week</v>
      </c>
    </row>
    <row r="9" spans="1:15" ht="92.4" x14ac:dyDescent="0.3">
      <c r="A9" s="2" t="s">
        <v>98</v>
      </c>
      <c r="B9" s="2" t="s">
        <v>223</v>
      </c>
      <c r="C9" s="2" t="s">
        <v>224</v>
      </c>
      <c r="D9" s="2" t="s">
        <v>225</v>
      </c>
      <c r="E9" s="2" t="str">
        <f>HYPERLINK("http://twitter.com/MonroeBlade")</f>
        <v>http://twitter.com/MonroeBlade</v>
      </c>
      <c r="F9" s="2" t="str">
        <f>HYPERLINK("https://muckrack.com/mark-monroe")</f>
        <v>https://muckrack.com/mark-monroe</v>
      </c>
      <c r="G9" s="2">
        <v>5006</v>
      </c>
      <c r="H9" s="2" t="s">
        <v>226</v>
      </c>
      <c r="I9" s="2" t="s">
        <v>227</v>
      </c>
      <c r="J9" s="2" t="s">
        <v>228</v>
      </c>
      <c r="K9" s="2" t="s">
        <v>99</v>
      </c>
      <c r="L9" s="2" t="s">
        <v>264</v>
      </c>
      <c r="M9" s="5">
        <v>45762.433379629627</v>
      </c>
      <c r="N9" s="2" t="str">
        <f>HYPERLINK("http://twitter.com/MonroeBlade/status/1912149931390869761")</f>
        <v>http://twitter.com/MonroeBlade/status/1912149931390869761</v>
      </c>
      <c r="O9" s="2" t="str">
        <f>HYPERLINK("https://www.toledoblade.com/sports/walleye/2025/04/14/indy-fuel-5-things-to-know-about-the-walleye-s-2025-division-semifinal-opponent/stories/20250414081")</f>
        <v>https://www.toledoblade.com/sports/walleye/2025/04/14/indy-fuel-5-things-to-know-about-the-walleye-s-2025-division-semifinal-opponent/stories/20250414081</v>
      </c>
    </row>
    <row r="10" spans="1:15" ht="158.4" x14ac:dyDescent="0.3">
      <c r="A10" s="2" t="s">
        <v>98</v>
      </c>
      <c r="B10" s="2" t="s">
        <v>223</v>
      </c>
      <c r="C10" s="2" t="s">
        <v>224</v>
      </c>
      <c r="D10" s="2" t="s">
        <v>225</v>
      </c>
      <c r="E10" s="2" t="str">
        <f>HYPERLINK("http://twitter.com/MonroeBlade")</f>
        <v>http://twitter.com/MonroeBlade</v>
      </c>
      <c r="F10" s="2" t="str">
        <f>HYPERLINK("https://muckrack.com/mark-monroe")</f>
        <v>https://muckrack.com/mark-monroe</v>
      </c>
      <c r="G10" s="2">
        <v>5006</v>
      </c>
      <c r="H10" s="2" t="s">
        <v>226</v>
      </c>
      <c r="I10" s="2" t="s">
        <v>227</v>
      </c>
      <c r="J10" s="2" t="s">
        <v>228</v>
      </c>
      <c r="K10" s="2" t="s">
        <v>99</v>
      </c>
      <c r="L10" s="2" t="s">
        <v>265</v>
      </c>
      <c r="M10" s="5">
        <v>45763.775208333333</v>
      </c>
      <c r="N10" s="2" t="str">
        <f>HYPERLINK("http://twitter.com/MonroeBlade/status/1912636194363510909")</f>
        <v>http://twitter.com/MonroeBlade/status/1912636194363510909</v>
      </c>
      <c r="O10" s="2" t="str">
        <f>HYPERLINK("https://www.toledoblade.com/sports/walleye/2025/04/14/indy-fuel-5-things-to-know-about-the-walleye-s-2025-division-semifinal-opponent/stories/20250414081")</f>
        <v>https://www.toledoblade.com/sports/walleye/2025/04/14/indy-fuel-5-things-to-know-about-the-walleye-s-2025-division-semifinal-opponent/stories/20250414081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2025-06-10T16:11:11Z</dcterms:created>
  <dcterms:modified xsi:type="dcterms:W3CDTF">2025-06-18T23:45:31Z</dcterms:modified>
</cp:coreProperties>
</file>